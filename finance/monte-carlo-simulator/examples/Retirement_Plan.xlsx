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imulations" sheetId="2" state="visible" r:id="rId4"/>
    <sheet name="Withdrawals" sheetId="3" state="visible" r:id="rId5"/>
    <sheet name="Percentiles by Year" sheetId="4" state="visible" r:id="rId6"/>
    <sheet name="Withdrawal Ra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<sst xmlns="http://schemas.openxmlformats.org/spreadsheetml/2006/main" count="131" uniqueCount="65">
  <si>
    <t xml:space="preserve">Retirement plan: Monte Carlo probability of success</t>
  </si>
  <si>
    <t xml:space="preserve">10,000 simulations of monthly returns | 25 years saving + 30 years spending. Blue cells are inputs; everything else is a formula.</t>
  </si>
  <si>
    <t xml:space="preserve">Inputs</t>
  </si>
  <si>
    <t xml:space="preserve">Check: Excel vs Python</t>
  </si>
  <si>
    <t xml:space="preserve">Excel</t>
  </si>
  <si>
    <t xml:space="preserve">Python</t>
  </si>
  <si>
    <t xml:space="preserve">Difference</t>
  </si>
  <si>
    <t xml:space="preserve">Starting savings ($)</t>
  </si>
  <si>
    <t xml:space="preserve">Monthly log drift</t>
  </si>
  <si>
    <t xml:space="preserve">Monthly contribution ($)</t>
  </si>
  <si>
    <t xml:space="preserve">Monthly log volatility</t>
  </si>
  <si>
    <t xml:space="preserve">Years until retirement</t>
  </si>
  <si>
    <t xml:space="preserve">Median (typical) annual return</t>
  </si>
  <si>
    <t xml:space="preserve">Years in retirement</t>
  </si>
  <si>
    <t xml:space="preserve">First-year withdrawal in retirement ($)</t>
  </si>
  <si>
    <t xml:space="preserve">Annual withdrawal ($)</t>
  </si>
  <si>
    <t xml:space="preserve">Nest egg with no volatility ($)</t>
  </si>
  <si>
    <t xml:space="preserve">Withdrawal stated in today's money? (1 = yes)</t>
  </si>
  <si>
    <t xml:space="preserve">Probability of success</t>
  </si>
  <si>
    <t xml:space="preserve">Inflation (per year)</t>
  </si>
  <si>
    <t xml:space="preserve">Failed simulations</t>
  </si>
  <si>
    <t xml:space="preserve">Expected return (arithmetic, per year)</t>
  </si>
  <si>
    <t xml:space="preserve">Median nest egg at retirement ($)</t>
  </si>
  <si>
    <t xml:space="preserve">Volatility (per year)</t>
  </si>
  <si>
    <t xml:space="preserve">Nest egg, 10th percentile ($)</t>
  </si>
  <si>
    <t xml:space="preserve">Random seed</t>
  </si>
  <si>
    <t xml:space="preserve">Nest egg, 90th percentile ($)</t>
  </si>
  <si>
    <t xml:space="preserve">Median wealth at the end ($)</t>
  </si>
  <si>
    <t xml:space="preserve">Derived (formulas)</t>
  </si>
  <si>
    <t xml:space="preserve">Median year money runs out (failed paths)</t>
  </si>
  <si>
    <t xml:space="preserve">Monthly log drift  (ln(1+r) - σ²/2) / 12</t>
  </si>
  <si>
    <t xml:space="preserve">First-year withdrawal rate</t>
  </si>
  <si>
    <t xml:space="preserve">Monthly log volatility  σ / √12</t>
  </si>
  <si>
    <t xml:space="preserve">Results (formulas over 'Simulations')</t>
  </si>
  <si>
    <t xml:space="preserve">Notes</t>
  </si>
  <si>
    <t xml:space="preserve">Monthly steps. Saving: the balance grows, then the contribution is added (end of month).</t>
  </si>
  <si>
    <t xml:space="preserve">Retirement: 1/12 of the annual withdrawal is taken at the start of each month, then the rest grows.</t>
  </si>
  <si>
    <t xml:space="preserve">Withdrawals rise with inflation once a year. If 'today's money' = 1 they are first grown over the saving years.</t>
  </si>
  <si>
    <t xml:space="preserve">Success = every planned withdrawal is paid in full. A path fails in the first month it cannot pay.</t>
  </si>
  <si>
    <t xml:space="preserve">Returns: i.i.d. lognormal; the expected annual growth factor is 1 + r, the median is lower (volatility drag).</t>
  </si>
  <si>
    <t xml:space="preserve">Percentile paths are percentiles across simulations at each date, not the path of any one simulation.</t>
  </si>
  <si>
    <t xml:space="preserve">Simulation</t>
  </si>
  <si>
    <t xml:space="preserve">Nest egg at retirement ($)</t>
  </si>
  <si>
    <t xml:space="preserve">Wealth at end ($)</t>
  </si>
  <si>
    <t xml:space="preserve">Success (1/0)</t>
  </si>
  <si>
    <t xml:space="preserve">Year money ran out</t>
  </si>
  <si>
    <t xml:space="preserve">Retirement year</t>
  </si>
  <si>
    <t xml:space="preserve">Years from today</t>
  </si>
  <si>
    <t xml:space="preserve">Monthly withdrawal ($)</t>
  </si>
  <si>
    <t xml:space="preserve">In today's money ($)</t>
  </si>
  <si>
    <t xml:space="preserve">Year</t>
  </si>
  <si>
    <t xml:space="preserve">Phase</t>
  </si>
  <si>
    <t xml:space="preserve">P5</t>
  </si>
  <si>
    <t xml:space="preserve">P25</t>
  </si>
  <si>
    <t xml:space="preserve">Median</t>
  </si>
  <si>
    <t xml:space="preserve">P75</t>
  </si>
  <si>
    <t xml:space="preserve">P95</t>
  </si>
  <si>
    <t xml:space="preserve">Median in today's money</t>
  </si>
  <si>
    <t xml:space="preserve">Saving</t>
  </si>
  <si>
    <t xml:space="preserve">Retirement starts</t>
  </si>
  <si>
    <t xml:space="preserve">Retirement</t>
  </si>
  <si>
    <t xml:space="preserve">Success of an x% initial withdrawal (raised with inflation) over 30 years</t>
  </si>
  <si>
    <t xml:space="preserve">Nest egg at retirement used ($)</t>
  </si>
  <si>
    <t xml:space="preserve">Initial withdrawal rate</t>
  </si>
  <si>
    <t xml:space="preserve">First-year withdrawal ($)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</si>
</sst>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"/>
    <numFmt numFmtId="166" formatCode="#,##0.0000"/>
    <numFmt numFmtId="167" formatCode="0.0E+00"/>
    <numFmt numFmtId="168" formatCode="0"/>
    <numFmt numFmtId="169" formatCode="0.00%"/>
    <numFmt numFmtId="170" formatCode="0.000000"/>
    <numFmt numFmtId="171" formatCode="0.000%"/>
    <numFmt numFmtId="172" formatCode="#,##0"/>
    <numFmt numFmtId="173" formatCode="0.0"/>
    <numFmt numFmtId="174" formatCode="0.00"/>
    <numFmt numFmtId="17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40"/>
    <col collapsed="false" customWidth="true" hidden="false" outlineLevel="0" max="6" min="5" style="0" width="16"/>
    <col collapsed="false" customWidth="true" hidden="false" outlineLevel="0" max="7" min="7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4" t="s">
        <v>3</v>
      </c>
      <c r="E4" s="4" t="s">
        <v>4</v>
      </c>
      <c r="F4" s="4" t="s">
        <v>5</v>
      </c>
      <c r="G4" s="4" t="s">
        <v>6</v>
      </c>
    </row>
    <row r="5" customFormat="false" ht="15" hidden="false" customHeight="false" outlineLevel="0" collapsed="false">
      <c r="A5" s="5" t="s">
        <v>7</v>
      </c>
      <c r="B5" s="6" t="n">
        <v>50000</v>
      </c>
      <c r="D5" s="5" t="s">
        <v>8</v>
      </c>
      <c r="E5" s="7" t="n">
        <f aca="false">B17</f>
        <v>0.00470072070615124</v>
      </c>
      <c r="F5" s="7" t="n">
        <v>0.00470072070615123</v>
      </c>
      <c r="G5" s="8" t="n">
        <f aca="false">IFERROR(E5-F5,"n/a")</f>
        <v>0</v>
      </c>
    </row>
    <row r="6" customFormat="false" ht="15" hidden="false" customHeight="false" outlineLevel="0" collapsed="false">
      <c r="A6" s="5" t="s">
        <v>9</v>
      </c>
      <c r="B6" s="6" t="n">
        <v>1000</v>
      </c>
      <c r="D6" s="5" t="s">
        <v>10</v>
      </c>
      <c r="E6" s="7" t="n">
        <f aca="false">B18</f>
        <v>0.0433012701892219</v>
      </c>
      <c r="F6" s="7" t="n">
        <v>0.0433012701892219</v>
      </c>
      <c r="G6" s="8" t="n">
        <f aca="false">IFERROR(E6-F6,"n/a")</f>
        <v>0</v>
      </c>
    </row>
    <row r="7" customFormat="false" ht="15" hidden="false" customHeight="false" outlineLevel="0" collapsed="false">
      <c r="A7" s="5" t="s">
        <v>11</v>
      </c>
      <c r="B7" s="9" t="n">
        <v>25</v>
      </c>
      <c r="D7" s="5" t="s">
        <v>12</v>
      </c>
      <c r="E7" s="7" t="n">
        <f aca="false">B19</f>
        <v>0.0580299577340195</v>
      </c>
      <c r="F7" s="7" t="n">
        <v>0.0580299577340194</v>
      </c>
      <c r="G7" s="8" t="n">
        <f aca="false">IFERROR(E7-F7,"n/a")</f>
        <v>0</v>
      </c>
    </row>
    <row r="8" customFormat="false" ht="15" hidden="false" customHeight="false" outlineLevel="0" collapsed="false">
      <c r="A8" s="5" t="s">
        <v>13</v>
      </c>
      <c r="B8" s="9" t="n">
        <v>30</v>
      </c>
      <c r="D8" s="5" t="s">
        <v>14</v>
      </c>
      <c r="E8" s="7" t="n">
        <f aca="false">B20</f>
        <v>60000</v>
      </c>
      <c r="F8" s="7" t="n">
        <v>60000</v>
      </c>
      <c r="G8" s="8" t="n">
        <f aca="false">IFERROR(E8-F8,"n/a")</f>
        <v>0</v>
      </c>
    </row>
    <row r="9" customFormat="false" ht="15" hidden="false" customHeight="false" outlineLevel="0" collapsed="false">
      <c r="A9" s="5" t="s">
        <v>15</v>
      </c>
      <c r="B9" s="6" t="n">
        <v>60000</v>
      </c>
      <c r="D9" s="5" t="s">
        <v>16</v>
      </c>
      <c r="E9" s="7" t="n">
        <f aca="false">B21</f>
        <v>1054413.51309839</v>
      </c>
      <c r="F9" s="7" t="n">
        <v>1054413.51309839</v>
      </c>
      <c r="G9" s="8" t="n">
        <f aca="false">IFERROR(E9-F9,"n/a")</f>
        <v>0</v>
      </c>
    </row>
    <row r="10" customFormat="false" ht="15" hidden="false" customHeight="false" outlineLevel="0" collapsed="false">
      <c r="A10" s="5" t="s">
        <v>17</v>
      </c>
      <c r="B10" s="9" t="n">
        <v>0</v>
      </c>
      <c r="D10" s="5" t="s">
        <v>18</v>
      </c>
      <c r="E10" s="7" t="n">
        <f aca="false">B24</f>
        <v>0.3433</v>
      </c>
      <c r="F10" s="7" t="n">
        <v>0.3433</v>
      </c>
      <c r="G10" s="8" t="n">
        <f aca="false">IFERROR(E10-F10,"n/a")</f>
        <v>0</v>
      </c>
    </row>
    <row r="11" customFormat="false" ht="15" hidden="false" customHeight="false" outlineLevel="0" collapsed="false">
      <c r="A11" s="5" t="s">
        <v>19</v>
      </c>
      <c r="B11" s="10" t="n">
        <v>0.025</v>
      </c>
      <c r="D11" s="5" t="s">
        <v>20</v>
      </c>
      <c r="E11" s="7" t="n">
        <f aca="false">B25</f>
        <v>6567</v>
      </c>
      <c r="F11" s="7" t="n">
        <v>6567</v>
      </c>
      <c r="G11" s="8" t="n">
        <f aca="false">IFERROR(E11-F11,"n/a")</f>
        <v>0</v>
      </c>
    </row>
    <row r="12" customFormat="false" ht="15" hidden="false" customHeight="false" outlineLevel="0" collapsed="false">
      <c r="A12" s="5" t="s">
        <v>21</v>
      </c>
      <c r="B12" s="10" t="n">
        <v>0.07</v>
      </c>
      <c r="D12" s="5" t="s">
        <v>22</v>
      </c>
      <c r="E12" s="7" t="n">
        <f aca="false">B26</f>
        <v>889155.360764368</v>
      </c>
      <c r="F12" s="7" t="n">
        <v>889155.360764368</v>
      </c>
      <c r="G12" s="8" t="n">
        <f aca="false">IFERROR(E12-F12,"n/a")</f>
        <v>0</v>
      </c>
    </row>
    <row r="13" customFormat="false" ht="15" hidden="false" customHeight="false" outlineLevel="0" collapsed="false">
      <c r="A13" s="5" t="s">
        <v>23</v>
      </c>
      <c r="B13" s="10" t="n">
        <v>0.15</v>
      </c>
      <c r="D13" s="5" t="s">
        <v>24</v>
      </c>
      <c r="E13" s="7" t="n">
        <f aca="false">B27</f>
        <v>451615.713376471</v>
      </c>
      <c r="F13" s="7" t="n">
        <v>451615.713376471</v>
      </c>
      <c r="G13" s="8" t="n">
        <f aca="false">IFERROR(E13-F13,"n/a")</f>
        <v>0</v>
      </c>
    </row>
    <row r="14" customFormat="false" ht="15" hidden="false" customHeight="false" outlineLevel="0" collapsed="false">
      <c r="A14" s="5" t="s">
        <v>25</v>
      </c>
      <c r="B14" s="5" t="n">
        <v>42</v>
      </c>
      <c r="D14" s="5" t="s">
        <v>26</v>
      </c>
      <c r="E14" s="7" t="n">
        <f aca="false">B28</f>
        <v>1877929.6370928</v>
      </c>
      <c r="F14" s="7" t="n">
        <v>1877929.6370928</v>
      </c>
      <c r="G14" s="8" t="n">
        <f aca="false">IFERROR(E14-F14,"n/a")</f>
        <v>0</v>
      </c>
    </row>
    <row r="15" customFormat="false" ht="15" hidden="false" customHeight="false" outlineLevel="0" collapsed="false">
      <c r="D15" s="5" t="s">
        <v>27</v>
      </c>
      <c r="E15" s="7" t="n">
        <f aca="false">B29</f>
        <v>0</v>
      </c>
      <c r="F15" s="7" t="n">
        <v>0</v>
      </c>
      <c r="G15" s="8" t="n">
        <f aca="false">IFERROR(E15-F15,"n/a")</f>
        <v>0</v>
      </c>
    </row>
    <row r="16" customFormat="false" ht="15" hidden="false" customHeight="false" outlineLevel="0" collapsed="false">
      <c r="A16" s="3" t="s">
        <v>28</v>
      </c>
      <c r="B16" s="3"/>
      <c r="C16" s="3"/>
      <c r="D16" s="5" t="s">
        <v>29</v>
      </c>
      <c r="E16" s="7" t="n">
        <f aca="false">B30</f>
        <v>38.6666666666667</v>
      </c>
      <c r="F16" s="7" t="n">
        <v>38.6666666666667</v>
      </c>
      <c r="G16" s="8" t="n">
        <f aca="false">IFERROR(E16-F16,"n/a")</f>
        <v>0</v>
      </c>
    </row>
    <row r="17" customFormat="false" ht="15" hidden="false" customHeight="false" outlineLevel="0" collapsed="false">
      <c r="A17" s="5" t="s">
        <v>30</v>
      </c>
      <c r="B17" s="11" t="n">
        <f aca="false">(LN(1+B12)-B13^2/2)/12</f>
        <v>0.00470072070615124</v>
      </c>
      <c r="D17" s="5" t="s">
        <v>31</v>
      </c>
      <c r="E17" s="7" t="n">
        <f aca="false">B31</f>
        <v>0.0674797708562659</v>
      </c>
      <c r="F17" s="7" t="n">
        <v>0.0674797708562659</v>
      </c>
      <c r="G17" s="8" t="n">
        <f aca="false">IFERROR(E17-F17,"n/a")</f>
        <v>0</v>
      </c>
    </row>
    <row r="18" customFormat="false" ht="15" hidden="false" customHeight="false" outlineLevel="0" collapsed="false">
      <c r="A18" s="5" t="s">
        <v>32</v>
      </c>
      <c r="B18" s="11" t="n">
        <f aca="false">B13/SQRT(12)</f>
        <v>0.0433012701892219</v>
      </c>
    </row>
    <row r="19" customFormat="false" ht="15" hidden="false" customHeight="false" outlineLevel="0" collapsed="false">
      <c r="A19" s="5" t="s">
        <v>12</v>
      </c>
      <c r="B19" s="12" t="n">
        <f aca="false">EXP(12*B17)-1</f>
        <v>0.0580299577340195</v>
      </c>
    </row>
    <row r="20" customFormat="false" ht="15" hidden="false" customHeight="false" outlineLevel="0" collapsed="false">
      <c r="A20" s="5" t="s">
        <v>14</v>
      </c>
      <c r="B20" s="13" t="n">
        <f aca="false">IF(B10=1,B9*(1+B11)^B7,B9)</f>
        <v>60000</v>
      </c>
    </row>
    <row r="21" customFormat="false" ht="15" hidden="false" customHeight="false" outlineLevel="0" collapsed="false">
      <c r="A21" s="5" t="s">
        <v>16</v>
      </c>
      <c r="B21" s="13" t="n">
        <f aca="false">FV((1+B12)^(1/12)-1,12*B7,-B6,-B5)</f>
        <v>1054413.51309839</v>
      </c>
    </row>
    <row r="23" customFormat="false" ht="15" hidden="false" customHeight="false" outlineLevel="0" collapsed="false">
      <c r="A23" s="3" t="s">
        <v>33</v>
      </c>
      <c r="B23" s="3"/>
      <c r="C23" s="3"/>
    </row>
    <row r="24" customFormat="false" ht="15" hidden="false" customHeight="false" outlineLevel="0" collapsed="false">
      <c r="A24" s="5" t="s">
        <v>18</v>
      </c>
      <c r="B24" s="14" t="n">
        <f aca="false">AVERAGE(Simulations!$D$2:$D$10001)</f>
        <v>0.3433</v>
      </c>
    </row>
    <row r="25" customFormat="false" ht="15" hidden="false" customHeight="false" outlineLevel="0" collapsed="false">
      <c r="A25" s="5" t="s">
        <v>20</v>
      </c>
      <c r="B25" s="15" t="n">
        <f aca="false">COUNTIF(Simulations!$D$2:$D$10001,0)</f>
        <v>6567</v>
      </c>
    </row>
    <row r="26" customFormat="false" ht="15" hidden="false" customHeight="false" outlineLevel="0" collapsed="false">
      <c r="A26" s="5" t="s">
        <v>22</v>
      </c>
      <c r="B26" s="13" t="n">
        <f aca="false">MEDIAN(Simulations!$B$2:$B$10001)</f>
        <v>889155.360764368</v>
      </c>
    </row>
    <row r="27" customFormat="false" ht="15" hidden="false" customHeight="false" outlineLevel="0" collapsed="false">
      <c r="A27" s="5" t="s">
        <v>24</v>
      </c>
      <c r="B27" s="13" t="n">
        <f aca="false">_xlfn.PERCENTILE.INC(Simulations!$B$2:$B$10001,0.1)</f>
        <v>451615.713376471</v>
      </c>
    </row>
    <row r="28" customFormat="false" ht="15" hidden="false" customHeight="false" outlineLevel="0" collapsed="false">
      <c r="A28" s="5" t="s">
        <v>26</v>
      </c>
      <c r="B28" s="13" t="n">
        <f aca="false">_xlfn.PERCENTILE.INC(Simulations!$B$2:$B$10001,0.9)</f>
        <v>1877929.6370928</v>
      </c>
    </row>
    <row r="29" customFormat="false" ht="15" hidden="false" customHeight="false" outlineLevel="0" collapsed="false">
      <c r="A29" s="5" t="s">
        <v>27</v>
      </c>
      <c r="B29" s="13" t="n">
        <f aca="false">MEDIAN(Simulations!$C$2:$C$10001)</f>
        <v>0</v>
      </c>
    </row>
    <row r="30" customFormat="false" ht="15" hidden="false" customHeight="false" outlineLevel="0" collapsed="false">
      <c r="A30" s="5" t="s">
        <v>29</v>
      </c>
      <c r="B30" s="16" t="n">
        <f aca="false">IFERROR(MEDIAN(Simulations!$E$2:$E$10001),"none")</f>
        <v>38.6666666666667</v>
      </c>
    </row>
    <row r="31" customFormat="false" ht="15" hidden="false" customHeight="false" outlineLevel="0" collapsed="false">
      <c r="A31" s="5" t="s">
        <v>31</v>
      </c>
      <c r="B31" s="14" t="n">
        <f aca="false">B20/B26</f>
        <v>0.0674797708562659</v>
      </c>
    </row>
    <row r="33" customFormat="false" ht="15" hidden="false" customHeight="false" outlineLevel="0" collapsed="false">
      <c r="A33" s="17" t="s">
        <v>34</v>
      </c>
    </row>
    <row r="34" customFormat="false" ht="15" hidden="false" customHeight="false" outlineLevel="0" collapsed="false">
      <c r="A34" s="2" t="s">
        <v>35</v>
      </c>
    </row>
    <row r="35" customFormat="false" ht="15" hidden="false" customHeight="false" outlineLevel="0" collapsed="false">
      <c r="A35" s="2" t="s">
        <v>36</v>
      </c>
    </row>
    <row r="36" customFormat="false" ht="15" hidden="false" customHeight="false" outlineLevel="0" collapsed="false">
      <c r="A36" s="2" t="s">
        <v>37</v>
      </c>
    </row>
    <row r="37" customFormat="false" ht="15" hidden="false" customHeight="false" outlineLevel="0" collapsed="false">
      <c r="A37" s="2" t="s">
        <v>38</v>
      </c>
    </row>
    <row r="38" customFormat="false" ht="15" hidden="false" customHeight="false" outlineLevel="0" collapsed="false">
      <c r="A38" s="2" t="s">
        <v>39</v>
      </c>
    </row>
    <row r="39" customFormat="false" ht="15" hidden="false" customHeight="false" outlineLevel="0" collapsed="false">
      <c r="A39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6"/>
  </cols>
  <sheetData>
    <row r="1" customFormat="false" ht="28.35" hidden="false" customHeight="fals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</row>
    <row r="2" customFormat="false" ht="15" hidden="false" customHeight="false" outlineLevel="0" collapsed="false">
      <c r="A2" s="0" t="n">
        <v>1</v>
      </c>
      <c r="B2" s="18" t="n">
        <v>910911.566602833</v>
      </c>
      <c r="C2" s="18" t="n">
        <v>0</v>
      </c>
      <c r="D2" s="0" t="n">
        <v>0</v>
      </c>
      <c r="E2" s="19" t="n">
        <v>40.9166666666667</v>
      </c>
    </row>
    <row r="3" customFormat="false" ht="15" hidden="false" customHeight="false" outlineLevel="0" collapsed="false">
      <c r="A3" s="0" t="n">
        <v>2</v>
      </c>
      <c r="B3" s="18" t="n">
        <v>1290237.15967974</v>
      </c>
      <c r="C3" s="18" t="n">
        <v>0</v>
      </c>
      <c r="D3" s="0" t="n">
        <v>0</v>
      </c>
      <c r="E3" s="19" t="n">
        <v>40.75</v>
      </c>
    </row>
    <row r="4" customFormat="false" ht="15" hidden="false" customHeight="false" outlineLevel="0" collapsed="false">
      <c r="A4" s="0" t="n">
        <v>3</v>
      </c>
      <c r="B4" s="18" t="n">
        <v>561684.181884281</v>
      </c>
      <c r="C4" s="18" t="n">
        <v>0</v>
      </c>
      <c r="D4" s="0" t="n">
        <v>0</v>
      </c>
      <c r="E4" s="19" t="n">
        <v>38.75</v>
      </c>
    </row>
    <row r="5" customFormat="false" ht="15" hidden="false" customHeight="false" outlineLevel="0" collapsed="false">
      <c r="A5" s="0" t="n">
        <v>4</v>
      </c>
      <c r="B5" s="18" t="n">
        <v>910407.48886354</v>
      </c>
      <c r="C5" s="18" t="n">
        <v>2519950.91402072</v>
      </c>
      <c r="D5" s="0" t="n">
        <v>1</v>
      </c>
    </row>
    <row r="6" customFormat="false" ht="15" hidden="false" customHeight="false" outlineLevel="0" collapsed="false">
      <c r="A6" s="0" t="n">
        <v>5</v>
      </c>
      <c r="B6" s="18" t="n">
        <v>1279288.36493545</v>
      </c>
      <c r="C6" s="18" t="n">
        <v>553430.819138187</v>
      </c>
      <c r="D6" s="0" t="n">
        <v>1</v>
      </c>
    </row>
    <row r="7" customFormat="false" ht="15" hidden="false" customHeight="false" outlineLevel="0" collapsed="false">
      <c r="A7" s="0" t="n">
        <v>6</v>
      </c>
      <c r="B7" s="18" t="n">
        <v>745110.028121718</v>
      </c>
      <c r="C7" s="18" t="n">
        <v>0</v>
      </c>
      <c r="D7" s="0" t="n">
        <v>0</v>
      </c>
      <c r="E7" s="19" t="n">
        <v>44.9166666666667</v>
      </c>
    </row>
    <row r="8" customFormat="false" ht="15" hidden="false" customHeight="false" outlineLevel="0" collapsed="false">
      <c r="A8" s="0" t="n">
        <v>7</v>
      </c>
      <c r="B8" s="18" t="n">
        <v>417436.626910641</v>
      </c>
      <c r="C8" s="18" t="n">
        <v>0</v>
      </c>
      <c r="D8" s="0" t="n">
        <v>0</v>
      </c>
      <c r="E8" s="19" t="n">
        <v>34.0833333333333</v>
      </c>
    </row>
    <row r="9" customFormat="false" ht="15" hidden="false" customHeight="false" outlineLevel="0" collapsed="false">
      <c r="A9" s="0" t="n">
        <v>8</v>
      </c>
      <c r="B9" s="18" t="n">
        <v>931805.625077046</v>
      </c>
      <c r="C9" s="18" t="n">
        <v>0</v>
      </c>
      <c r="D9" s="0" t="n">
        <v>0</v>
      </c>
      <c r="E9" s="19" t="n">
        <v>53.5</v>
      </c>
    </row>
    <row r="10" customFormat="false" ht="15" hidden="false" customHeight="false" outlineLevel="0" collapsed="false">
      <c r="A10" s="0" t="n">
        <v>9</v>
      </c>
      <c r="B10" s="18" t="n">
        <v>2105842.16475066</v>
      </c>
      <c r="C10" s="18" t="n">
        <v>110505.882157217</v>
      </c>
      <c r="D10" s="0" t="n">
        <v>1</v>
      </c>
    </row>
    <row r="11" customFormat="false" ht="15" hidden="false" customHeight="false" outlineLevel="0" collapsed="false">
      <c r="A11" s="0" t="n">
        <v>10</v>
      </c>
      <c r="B11" s="18" t="n">
        <v>846973.410686036</v>
      </c>
      <c r="C11" s="18" t="n">
        <v>0</v>
      </c>
      <c r="D11" s="0" t="n">
        <v>0</v>
      </c>
      <c r="E11" s="19" t="n">
        <v>36.0833333333333</v>
      </c>
    </row>
    <row r="12" customFormat="false" ht="15" hidden="false" customHeight="false" outlineLevel="0" collapsed="false">
      <c r="A12" s="0" t="n">
        <v>11</v>
      </c>
      <c r="B12" s="18" t="n">
        <v>764701.60578754</v>
      </c>
      <c r="C12" s="18" t="n">
        <v>0</v>
      </c>
      <c r="D12" s="0" t="n">
        <v>0</v>
      </c>
      <c r="E12" s="19" t="n">
        <v>40.9166666666667</v>
      </c>
    </row>
    <row r="13" customFormat="false" ht="15" hidden="false" customHeight="false" outlineLevel="0" collapsed="false">
      <c r="A13" s="0" t="n">
        <v>12</v>
      </c>
      <c r="B13" s="18" t="n">
        <v>1890415.88917384</v>
      </c>
      <c r="C13" s="18" t="n">
        <v>3399925.48437709</v>
      </c>
      <c r="D13" s="0" t="n">
        <v>1</v>
      </c>
    </row>
    <row r="14" customFormat="false" ht="15" hidden="false" customHeight="false" outlineLevel="0" collapsed="false">
      <c r="A14" s="0" t="n">
        <v>13</v>
      </c>
      <c r="B14" s="18" t="n">
        <v>1221705.70345346</v>
      </c>
      <c r="C14" s="18" t="n">
        <v>0</v>
      </c>
      <c r="D14" s="0" t="n">
        <v>0</v>
      </c>
      <c r="E14" s="19" t="n">
        <v>47.8333333333333</v>
      </c>
    </row>
    <row r="15" customFormat="false" ht="15" hidden="false" customHeight="false" outlineLevel="0" collapsed="false">
      <c r="A15" s="0" t="n">
        <v>14</v>
      </c>
      <c r="B15" s="18" t="n">
        <v>868856.437089878</v>
      </c>
      <c r="C15" s="18" t="n">
        <v>0</v>
      </c>
      <c r="D15" s="0" t="n">
        <v>0</v>
      </c>
      <c r="E15" s="19" t="n">
        <v>47.0833333333333</v>
      </c>
    </row>
    <row r="16" customFormat="false" ht="15" hidden="false" customHeight="false" outlineLevel="0" collapsed="false">
      <c r="A16" s="0" t="n">
        <v>15</v>
      </c>
      <c r="B16" s="18" t="n">
        <v>578290.77980938</v>
      </c>
      <c r="C16" s="18" t="n">
        <v>0</v>
      </c>
      <c r="D16" s="0" t="n">
        <v>0</v>
      </c>
      <c r="E16" s="19" t="n">
        <v>31.6666666666667</v>
      </c>
    </row>
    <row r="17" customFormat="false" ht="15" hidden="false" customHeight="false" outlineLevel="0" collapsed="false">
      <c r="A17" s="0" t="n">
        <v>16</v>
      </c>
      <c r="B17" s="18" t="n">
        <v>1093633.73293602</v>
      </c>
      <c r="C17" s="18" t="n">
        <v>0</v>
      </c>
      <c r="D17" s="0" t="n">
        <v>0</v>
      </c>
      <c r="E17" s="19" t="n">
        <v>43.75</v>
      </c>
    </row>
    <row r="18" customFormat="false" ht="15" hidden="false" customHeight="false" outlineLevel="0" collapsed="false">
      <c r="A18" s="0" t="n">
        <v>17</v>
      </c>
      <c r="B18" s="18" t="n">
        <v>964461.43267569</v>
      </c>
      <c r="C18" s="18" t="n">
        <v>190322.886521775</v>
      </c>
      <c r="D18" s="0" t="n">
        <v>1</v>
      </c>
    </row>
    <row r="19" customFormat="false" ht="15" hidden="false" customHeight="false" outlineLevel="0" collapsed="false">
      <c r="A19" s="0" t="n">
        <v>18</v>
      </c>
      <c r="B19" s="18" t="n">
        <v>1430042.75809839</v>
      </c>
      <c r="C19" s="18" t="n">
        <v>0</v>
      </c>
      <c r="D19" s="0" t="n">
        <v>0</v>
      </c>
      <c r="E19" s="19" t="n">
        <v>46.25</v>
      </c>
    </row>
    <row r="20" customFormat="false" ht="15" hidden="false" customHeight="false" outlineLevel="0" collapsed="false">
      <c r="A20" s="0" t="n">
        <v>19</v>
      </c>
      <c r="B20" s="18" t="n">
        <v>1435123.69493471</v>
      </c>
      <c r="C20" s="18" t="n">
        <v>2593428.95732418</v>
      </c>
      <c r="D20" s="0" t="n">
        <v>1</v>
      </c>
    </row>
    <row r="21" customFormat="false" ht="15" hidden="false" customHeight="false" outlineLevel="0" collapsed="false">
      <c r="A21" s="0" t="n">
        <v>20</v>
      </c>
      <c r="B21" s="18" t="n">
        <v>4922705.40023753</v>
      </c>
      <c r="C21" s="18" t="n">
        <v>5939948.1573986</v>
      </c>
      <c r="D21" s="0" t="n">
        <v>1</v>
      </c>
    </row>
    <row r="22" customFormat="false" ht="15" hidden="false" customHeight="false" outlineLevel="0" collapsed="false">
      <c r="A22" s="0" t="n">
        <v>21</v>
      </c>
      <c r="B22" s="18" t="n">
        <v>1718979.50570961</v>
      </c>
      <c r="C22" s="18" t="n">
        <v>1223010.34482549</v>
      </c>
      <c r="D22" s="0" t="n">
        <v>1</v>
      </c>
    </row>
    <row r="23" customFormat="false" ht="15" hidden="false" customHeight="false" outlineLevel="0" collapsed="false">
      <c r="A23" s="0" t="n">
        <v>22</v>
      </c>
      <c r="B23" s="18" t="n">
        <v>741727.239811763</v>
      </c>
      <c r="C23" s="18" t="n">
        <v>0</v>
      </c>
      <c r="D23" s="0" t="n">
        <v>0</v>
      </c>
      <c r="E23" s="19" t="n">
        <v>42</v>
      </c>
    </row>
    <row r="24" customFormat="false" ht="15" hidden="false" customHeight="false" outlineLevel="0" collapsed="false">
      <c r="A24" s="0" t="n">
        <v>23</v>
      </c>
      <c r="B24" s="18" t="n">
        <v>980513.195684976</v>
      </c>
      <c r="C24" s="18" t="n">
        <v>266783.34700041</v>
      </c>
      <c r="D24" s="0" t="n">
        <v>1</v>
      </c>
    </row>
    <row r="25" customFormat="false" ht="15" hidden="false" customHeight="false" outlineLevel="0" collapsed="false">
      <c r="A25" s="0" t="n">
        <v>24</v>
      </c>
      <c r="B25" s="18" t="n">
        <v>358411.162343306</v>
      </c>
      <c r="C25" s="18" t="n">
        <v>0</v>
      </c>
      <c r="D25" s="0" t="n">
        <v>0</v>
      </c>
      <c r="E25" s="19" t="n">
        <v>32.1666666666667</v>
      </c>
    </row>
    <row r="26" customFormat="false" ht="15" hidden="false" customHeight="false" outlineLevel="0" collapsed="false">
      <c r="A26" s="0" t="n">
        <v>25</v>
      </c>
      <c r="B26" s="18" t="n">
        <v>928066.240322042</v>
      </c>
      <c r="C26" s="18" t="n">
        <v>22268642.9549477</v>
      </c>
      <c r="D26" s="0" t="n">
        <v>1</v>
      </c>
    </row>
    <row r="27" customFormat="false" ht="15" hidden="false" customHeight="false" outlineLevel="0" collapsed="false">
      <c r="A27" s="0" t="n">
        <v>26</v>
      </c>
      <c r="B27" s="18" t="n">
        <v>1695442.08486673</v>
      </c>
      <c r="C27" s="18" t="n">
        <v>1550825.24062563</v>
      </c>
      <c r="D27" s="0" t="n">
        <v>1</v>
      </c>
    </row>
    <row r="28" customFormat="false" ht="15" hidden="false" customHeight="false" outlineLevel="0" collapsed="false">
      <c r="A28" s="0" t="n">
        <v>27</v>
      </c>
      <c r="B28" s="18" t="n">
        <v>822980.170031205</v>
      </c>
      <c r="C28" s="18" t="n">
        <v>0</v>
      </c>
      <c r="D28" s="0" t="n">
        <v>0</v>
      </c>
      <c r="E28" s="19" t="n">
        <v>37.4166666666667</v>
      </c>
    </row>
    <row r="29" customFormat="false" ht="15" hidden="false" customHeight="false" outlineLevel="0" collapsed="false">
      <c r="A29" s="0" t="n">
        <v>28</v>
      </c>
      <c r="B29" s="18" t="n">
        <v>1863530.98899126</v>
      </c>
      <c r="C29" s="18" t="n">
        <v>1312676.3919587</v>
      </c>
      <c r="D29" s="0" t="n">
        <v>1</v>
      </c>
    </row>
    <row r="30" customFormat="false" ht="15" hidden="false" customHeight="false" outlineLevel="0" collapsed="false">
      <c r="A30" s="0" t="n">
        <v>29</v>
      </c>
      <c r="B30" s="18" t="n">
        <v>264991.470049912</v>
      </c>
      <c r="C30" s="18" t="n">
        <v>0</v>
      </c>
      <c r="D30" s="0" t="n">
        <v>0</v>
      </c>
      <c r="E30" s="19" t="n">
        <v>29.1666666666667</v>
      </c>
    </row>
    <row r="31" customFormat="false" ht="15" hidden="false" customHeight="false" outlineLevel="0" collapsed="false">
      <c r="A31" s="0" t="n">
        <v>30</v>
      </c>
      <c r="B31" s="18" t="n">
        <v>841286.053546419</v>
      </c>
      <c r="C31" s="18" t="n">
        <v>0</v>
      </c>
      <c r="D31" s="0" t="n">
        <v>0</v>
      </c>
      <c r="E31" s="19" t="n">
        <v>41.5833333333333</v>
      </c>
    </row>
    <row r="32" customFormat="false" ht="15" hidden="false" customHeight="false" outlineLevel="0" collapsed="false">
      <c r="A32" s="0" t="n">
        <v>31</v>
      </c>
      <c r="B32" s="18" t="n">
        <v>807847.290932332</v>
      </c>
      <c r="C32" s="18" t="n">
        <v>0</v>
      </c>
      <c r="D32" s="0" t="n">
        <v>0</v>
      </c>
      <c r="E32" s="19" t="n">
        <v>48.8333333333333</v>
      </c>
    </row>
    <row r="33" customFormat="false" ht="15" hidden="false" customHeight="false" outlineLevel="0" collapsed="false">
      <c r="A33" s="0" t="n">
        <v>32</v>
      </c>
      <c r="B33" s="18" t="n">
        <v>1476133.35248643</v>
      </c>
      <c r="C33" s="18" t="n">
        <v>11265294.0292548</v>
      </c>
      <c r="D33" s="0" t="n">
        <v>1</v>
      </c>
    </row>
    <row r="34" customFormat="false" ht="15" hidden="false" customHeight="false" outlineLevel="0" collapsed="false">
      <c r="A34" s="0" t="n">
        <v>33</v>
      </c>
      <c r="B34" s="18" t="n">
        <v>784791.423343331</v>
      </c>
      <c r="C34" s="18" t="n">
        <v>0</v>
      </c>
      <c r="D34" s="0" t="n">
        <v>0</v>
      </c>
      <c r="E34" s="19" t="n">
        <v>48.9166666666667</v>
      </c>
    </row>
    <row r="35" customFormat="false" ht="15" hidden="false" customHeight="false" outlineLevel="0" collapsed="false">
      <c r="A35" s="0" t="n">
        <v>34</v>
      </c>
      <c r="B35" s="18" t="n">
        <v>776470.314371023</v>
      </c>
      <c r="C35" s="18" t="n">
        <v>0</v>
      </c>
      <c r="D35" s="0" t="n">
        <v>0</v>
      </c>
      <c r="E35" s="19" t="n">
        <v>45.8333333333333</v>
      </c>
    </row>
    <row r="36" customFormat="false" ht="15" hidden="false" customHeight="false" outlineLevel="0" collapsed="false">
      <c r="A36" s="0" t="n">
        <v>35</v>
      </c>
      <c r="B36" s="18" t="n">
        <v>382092.458232117</v>
      </c>
      <c r="C36" s="18" t="n">
        <v>0</v>
      </c>
      <c r="D36" s="0" t="n">
        <v>0</v>
      </c>
      <c r="E36" s="19" t="n">
        <v>32.4166666666667</v>
      </c>
    </row>
    <row r="37" customFormat="false" ht="15" hidden="false" customHeight="false" outlineLevel="0" collapsed="false">
      <c r="A37" s="0" t="n">
        <v>36</v>
      </c>
      <c r="B37" s="18" t="n">
        <v>837641.196031676</v>
      </c>
      <c r="C37" s="18" t="n">
        <v>205422.888169086</v>
      </c>
      <c r="D37" s="0" t="n">
        <v>1</v>
      </c>
    </row>
    <row r="38" customFormat="false" ht="15" hidden="false" customHeight="false" outlineLevel="0" collapsed="false">
      <c r="A38" s="0" t="n">
        <v>37</v>
      </c>
      <c r="B38" s="18" t="n">
        <v>1421539.02229523</v>
      </c>
      <c r="C38" s="18" t="n">
        <v>6241370.04181472</v>
      </c>
      <c r="D38" s="0" t="n">
        <v>1</v>
      </c>
    </row>
    <row r="39" customFormat="false" ht="15" hidden="false" customHeight="false" outlineLevel="0" collapsed="false">
      <c r="A39" s="0" t="n">
        <v>38</v>
      </c>
      <c r="B39" s="18" t="n">
        <v>1382593.21343548</v>
      </c>
      <c r="C39" s="18" t="n">
        <v>6528463.98115638</v>
      </c>
      <c r="D39" s="0" t="n">
        <v>1</v>
      </c>
    </row>
    <row r="40" customFormat="false" ht="15" hidden="false" customHeight="false" outlineLevel="0" collapsed="false">
      <c r="A40" s="0" t="n">
        <v>39</v>
      </c>
      <c r="B40" s="18" t="n">
        <v>1006216.75240175</v>
      </c>
      <c r="C40" s="18" t="n">
        <v>0</v>
      </c>
      <c r="D40" s="0" t="n">
        <v>0</v>
      </c>
      <c r="E40" s="19" t="n">
        <v>41.4166666666667</v>
      </c>
    </row>
    <row r="41" customFormat="false" ht="15" hidden="false" customHeight="false" outlineLevel="0" collapsed="false">
      <c r="A41" s="0" t="n">
        <v>40</v>
      </c>
      <c r="B41" s="18" t="n">
        <v>382220.296119341</v>
      </c>
      <c r="C41" s="18" t="n">
        <v>0</v>
      </c>
      <c r="D41" s="0" t="n">
        <v>0</v>
      </c>
      <c r="E41" s="19" t="n">
        <v>33.3333333333333</v>
      </c>
    </row>
    <row r="42" customFormat="false" ht="15" hidden="false" customHeight="false" outlineLevel="0" collapsed="false">
      <c r="A42" s="0" t="n">
        <v>41</v>
      </c>
      <c r="B42" s="18" t="n">
        <v>1178995.97351324</v>
      </c>
      <c r="C42" s="18" t="n">
        <v>1230954.5414263</v>
      </c>
      <c r="D42" s="0" t="n">
        <v>1</v>
      </c>
    </row>
    <row r="43" customFormat="false" ht="15" hidden="false" customHeight="false" outlineLevel="0" collapsed="false">
      <c r="A43" s="0" t="n">
        <v>42</v>
      </c>
      <c r="B43" s="18" t="n">
        <v>448759.232485685</v>
      </c>
      <c r="C43" s="18" t="n">
        <v>0</v>
      </c>
      <c r="D43" s="0" t="n">
        <v>0</v>
      </c>
      <c r="E43" s="19" t="n">
        <v>31.3333333333333</v>
      </c>
    </row>
    <row r="44" customFormat="false" ht="15" hidden="false" customHeight="false" outlineLevel="0" collapsed="false">
      <c r="A44" s="0" t="n">
        <v>43</v>
      </c>
      <c r="B44" s="18" t="n">
        <v>1315071.62109677</v>
      </c>
      <c r="C44" s="18" t="n">
        <v>0</v>
      </c>
      <c r="D44" s="0" t="n">
        <v>0</v>
      </c>
      <c r="E44" s="19" t="n">
        <v>41.9166666666667</v>
      </c>
    </row>
    <row r="45" customFormat="false" ht="15" hidden="false" customHeight="false" outlineLevel="0" collapsed="false">
      <c r="A45" s="0" t="n">
        <v>44</v>
      </c>
      <c r="B45" s="18" t="n">
        <v>731050.281564483</v>
      </c>
      <c r="C45" s="18" t="n">
        <v>0</v>
      </c>
      <c r="D45" s="0" t="n">
        <v>0</v>
      </c>
      <c r="E45" s="19" t="n">
        <v>39.75</v>
      </c>
    </row>
    <row r="46" customFormat="false" ht="15" hidden="false" customHeight="false" outlineLevel="0" collapsed="false">
      <c r="A46" s="0" t="n">
        <v>45</v>
      </c>
      <c r="B46" s="18" t="n">
        <v>418965.974057987</v>
      </c>
      <c r="C46" s="18" t="n">
        <v>0</v>
      </c>
      <c r="D46" s="0" t="n">
        <v>0</v>
      </c>
      <c r="E46" s="19" t="n">
        <v>33.75</v>
      </c>
    </row>
    <row r="47" customFormat="false" ht="15" hidden="false" customHeight="false" outlineLevel="0" collapsed="false">
      <c r="A47" s="0" t="n">
        <v>46</v>
      </c>
      <c r="B47" s="18" t="n">
        <v>1678454.29913698</v>
      </c>
      <c r="C47" s="18" t="n">
        <v>2174940.93813455</v>
      </c>
      <c r="D47" s="0" t="n">
        <v>1</v>
      </c>
    </row>
    <row r="48" customFormat="false" ht="15" hidden="false" customHeight="false" outlineLevel="0" collapsed="false">
      <c r="A48" s="0" t="n">
        <v>47</v>
      </c>
      <c r="B48" s="18" t="n">
        <v>457725.232598939</v>
      </c>
      <c r="C48" s="18" t="n">
        <v>0</v>
      </c>
      <c r="D48" s="0" t="n">
        <v>0</v>
      </c>
      <c r="E48" s="19" t="n">
        <v>32.1666666666667</v>
      </c>
    </row>
    <row r="49" customFormat="false" ht="15" hidden="false" customHeight="false" outlineLevel="0" collapsed="false">
      <c r="A49" s="0" t="n">
        <v>48</v>
      </c>
      <c r="B49" s="18" t="n">
        <v>1084713.17016382</v>
      </c>
      <c r="C49" s="18" t="n">
        <v>3355444.56750723</v>
      </c>
      <c r="D49" s="0" t="n">
        <v>1</v>
      </c>
    </row>
    <row r="50" customFormat="false" ht="15" hidden="false" customHeight="false" outlineLevel="0" collapsed="false">
      <c r="A50" s="0" t="n">
        <v>49</v>
      </c>
      <c r="B50" s="18" t="n">
        <v>849109.848523164</v>
      </c>
      <c r="C50" s="18" t="n">
        <v>0</v>
      </c>
      <c r="D50" s="0" t="n">
        <v>0</v>
      </c>
      <c r="E50" s="19" t="n">
        <v>35.1666666666667</v>
      </c>
    </row>
    <row r="51" customFormat="false" ht="15" hidden="false" customHeight="false" outlineLevel="0" collapsed="false">
      <c r="A51" s="0" t="n">
        <v>50</v>
      </c>
      <c r="B51" s="18" t="n">
        <v>867264.582542367</v>
      </c>
      <c r="C51" s="18" t="n">
        <v>0</v>
      </c>
      <c r="D51" s="0" t="n">
        <v>0</v>
      </c>
      <c r="E51" s="19" t="n">
        <v>39.1666666666667</v>
      </c>
    </row>
    <row r="52" customFormat="false" ht="15" hidden="false" customHeight="false" outlineLevel="0" collapsed="false">
      <c r="A52" s="0" t="n">
        <v>51</v>
      </c>
      <c r="B52" s="18" t="n">
        <v>906298.091835013</v>
      </c>
      <c r="C52" s="18" t="n">
        <v>0</v>
      </c>
      <c r="D52" s="0" t="n">
        <v>0</v>
      </c>
      <c r="E52" s="19" t="n">
        <v>36.25</v>
      </c>
    </row>
    <row r="53" customFormat="false" ht="15" hidden="false" customHeight="false" outlineLevel="0" collapsed="false">
      <c r="A53" s="0" t="n">
        <v>52</v>
      </c>
      <c r="B53" s="18" t="n">
        <v>2419935.01924096</v>
      </c>
      <c r="C53" s="18" t="n">
        <v>4129249.25897349</v>
      </c>
      <c r="D53" s="0" t="n">
        <v>1</v>
      </c>
    </row>
    <row r="54" customFormat="false" ht="15" hidden="false" customHeight="false" outlineLevel="0" collapsed="false">
      <c r="A54" s="0" t="n">
        <v>53</v>
      </c>
      <c r="B54" s="18" t="n">
        <v>426457.852701943</v>
      </c>
      <c r="C54" s="18" t="n">
        <v>0</v>
      </c>
      <c r="D54" s="0" t="n">
        <v>0</v>
      </c>
      <c r="E54" s="19" t="n">
        <v>32.5</v>
      </c>
    </row>
    <row r="55" customFormat="false" ht="15" hidden="false" customHeight="false" outlineLevel="0" collapsed="false">
      <c r="A55" s="0" t="n">
        <v>54</v>
      </c>
      <c r="B55" s="18" t="n">
        <v>445636.490154628</v>
      </c>
      <c r="C55" s="18" t="n">
        <v>0</v>
      </c>
      <c r="D55" s="0" t="n">
        <v>0</v>
      </c>
      <c r="E55" s="19" t="n">
        <v>33.0833333333333</v>
      </c>
    </row>
    <row r="56" customFormat="false" ht="15" hidden="false" customHeight="false" outlineLevel="0" collapsed="false">
      <c r="A56" s="0" t="n">
        <v>55</v>
      </c>
      <c r="B56" s="18" t="n">
        <v>488996.998947496</v>
      </c>
      <c r="C56" s="18" t="n">
        <v>0</v>
      </c>
      <c r="D56" s="0" t="n">
        <v>0</v>
      </c>
      <c r="E56" s="19" t="n">
        <v>32.6666666666667</v>
      </c>
    </row>
    <row r="57" customFormat="false" ht="15" hidden="false" customHeight="false" outlineLevel="0" collapsed="false">
      <c r="A57" s="0" t="n">
        <v>56</v>
      </c>
      <c r="B57" s="18" t="n">
        <v>884009.384419714</v>
      </c>
      <c r="C57" s="18" t="n">
        <v>0</v>
      </c>
      <c r="D57" s="0" t="n">
        <v>0</v>
      </c>
      <c r="E57" s="19" t="n">
        <v>38</v>
      </c>
    </row>
    <row r="58" customFormat="false" ht="15" hidden="false" customHeight="false" outlineLevel="0" collapsed="false">
      <c r="A58" s="0" t="n">
        <v>57</v>
      </c>
      <c r="B58" s="18" t="n">
        <v>1076923.63853923</v>
      </c>
      <c r="C58" s="18" t="n">
        <v>0</v>
      </c>
      <c r="D58" s="0" t="n">
        <v>0</v>
      </c>
      <c r="E58" s="19" t="n">
        <v>45.8333333333333</v>
      </c>
    </row>
    <row r="59" customFormat="false" ht="15" hidden="false" customHeight="false" outlineLevel="0" collapsed="false">
      <c r="A59" s="0" t="n">
        <v>58</v>
      </c>
      <c r="B59" s="18" t="n">
        <v>851001.599746225</v>
      </c>
      <c r="C59" s="18" t="n">
        <v>0</v>
      </c>
      <c r="D59" s="0" t="n">
        <v>0</v>
      </c>
      <c r="E59" s="19" t="n">
        <v>45.9166666666667</v>
      </c>
    </row>
    <row r="60" customFormat="false" ht="15" hidden="false" customHeight="false" outlineLevel="0" collapsed="false">
      <c r="A60" s="0" t="n">
        <v>59</v>
      </c>
      <c r="B60" s="18" t="n">
        <v>827187.894760534</v>
      </c>
      <c r="C60" s="18" t="n">
        <v>0</v>
      </c>
      <c r="D60" s="0" t="n">
        <v>0</v>
      </c>
      <c r="E60" s="19" t="n">
        <v>40.6666666666667</v>
      </c>
    </row>
    <row r="61" customFormat="false" ht="15" hidden="false" customHeight="false" outlineLevel="0" collapsed="false">
      <c r="A61" s="0" t="n">
        <v>60</v>
      </c>
      <c r="B61" s="18" t="n">
        <v>589904.849043776</v>
      </c>
      <c r="C61" s="18" t="n">
        <v>0</v>
      </c>
      <c r="D61" s="0" t="n">
        <v>0</v>
      </c>
      <c r="E61" s="19" t="n">
        <v>36.1666666666667</v>
      </c>
    </row>
    <row r="62" customFormat="false" ht="15" hidden="false" customHeight="false" outlineLevel="0" collapsed="false">
      <c r="A62" s="0" t="n">
        <v>61</v>
      </c>
      <c r="B62" s="18" t="n">
        <v>452902.628367189</v>
      </c>
      <c r="C62" s="18" t="n">
        <v>0</v>
      </c>
      <c r="D62" s="0" t="n">
        <v>0</v>
      </c>
      <c r="E62" s="19" t="n">
        <v>40.6666666666667</v>
      </c>
    </row>
    <row r="63" customFormat="false" ht="15" hidden="false" customHeight="false" outlineLevel="0" collapsed="false">
      <c r="A63" s="0" t="n">
        <v>62</v>
      </c>
      <c r="B63" s="18" t="n">
        <v>254855.768806785</v>
      </c>
      <c r="C63" s="18" t="n">
        <v>0</v>
      </c>
      <c r="D63" s="0" t="n">
        <v>0</v>
      </c>
      <c r="E63" s="19" t="n">
        <v>30.9166666666667</v>
      </c>
    </row>
    <row r="64" customFormat="false" ht="15" hidden="false" customHeight="false" outlineLevel="0" collapsed="false">
      <c r="A64" s="0" t="n">
        <v>63</v>
      </c>
      <c r="B64" s="18" t="n">
        <v>709988.335550607</v>
      </c>
      <c r="C64" s="18" t="n">
        <v>0</v>
      </c>
      <c r="D64" s="0" t="n">
        <v>0</v>
      </c>
      <c r="E64" s="19" t="n">
        <v>33.4166666666667</v>
      </c>
    </row>
    <row r="65" customFormat="false" ht="15" hidden="false" customHeight="false" outlineLevel="0" collapsed="false">
      <c r="A65" s="0" t="n">
        <v>64</v>
      </c>
      <c r="B65" s="18" t="n">
        <v>483939.857623674</v>
      </c>
      <c r="C65" s="18" t="n">
        <v>0</v>
      </c>
      <c r="D65" s="0" t="n">
        <v>0</v>
      </c>
      <c r="E65" s="19" t="n">
        <v>36.0833333333333</v>
      </c>
    </row>
    <row r="66" customFormat="false" ht="15" hidden="false" customHeight="false" outlineLevel="0" collapsed="false">
      <c r="A66" s="0" t="n">
        <v>65</v>
      </c>
      <c r="B66" s="18" t="n">
        <v>541507.370833515</v>
      </c>
      <c r="C66" s="18" t="n">
        <v>0</v>
      </c>
      <c r="D66" s="0" t="n">
        <v>0</v>
      </c>
      <c r="E66" s="19" t="n">
        <v>37.6666666666667</v>
      </c>
    </row>
    <row r="67" customFormat="false" ht="15" hidden="false" customHeight="false" outlineLevel="0" collapsed="false">
      <c r="A67" s="0" t="n">
        <v>66</v>
      </c>
      <c r="B67" s="18" t="n">
        <v>1435475.78453713</v>
      </c>
      <c r="C67" s="18" t="n">
        <v>18416273.8245585</v>
      </c>
      <c r="D67" s="0" t="n">
        <v>1</v>
      </c>
    </row>
    <row r="68" customFormat="false" ht="15" hidden="false" customHeight="false" outlineLevel="0" collapsed="false">
      <c r="A68" s="0" t="n">
        <v>67</v>
      </c>
      <c r="B68" s="18" t="n">
        <v>843287.553346673</v>
      </c>
      <c r="C68" s="18" t="n">
        <v>0</v>
      </c>
      <c r="D68" s="0" t="n">
        <v>0</v>
      </c>
      <c r="E68" s="19" t="n">
        <v>41.25</v>
      </c>
    </row>
    <row r="69" customFormat="false" ht="15" hidden="false" customHeight="false" outlineLevel="0" collapsed="false">
      <c r="A69" s="0" t="n">
        <v>68</v>
      </c>
      <c r="B69" s="18" t="n">
        <v>1155262.80169983</v>
      </c>
      <c r="C69" s="18" t="n">
        <v>0</v>
      </c>
      <c r="D69" s="0" t="n">
        <v>0</v>
      </c>
      <c r="E69" s="19" t="n">
        <v>45.8333333333333</v>
      </c>
    </row>
    <row r="70" customFormat="false" ht="15" hidden="false" customHeight="false" outlineLevel="0" collapsed="false">
      <c r="A70" s="0" t="n">
        <v>69</v>
      </c>
      <c r="B70" s="18" t="n">
        <v>833834.470428032</v>
      </c>
      <c r="C70" s="18" t="n">
        <v>0</v>
      </c>
      <c r="D70" s="0" t="n">
        <v>0</v>
      </c>
      <c r="E70" s="19" t="n">
        <v>47.75</v>
      </c>
    </row>
    <row r="71" customFormat="false" ht="15" hidden="false" customHeight="false" outlineLevel="0" collapsed="false">
      <c r="A71" s="0" t="n">
        <v>70</v>
      </c>
      <c r="B71" s="18" t="n">
        <v>1661809.79960607</v>
      </c>
      <c r="C71" s="18" t="n">
        <v>2297665.2489331</v>
      </c>
      <c r="D71" s="0" t="n">
        <v>1</v>
      </c>
    </row>
    <row r="72" customFormat="false" ht="15" hidden="false" customHeight="false" outlineLevel="0" collapsed="false">
      <c r="A72" s="0" t="n">
        <v>71</v>
      </c>
      <c r="B72" s="18" t="n">
        <v>792971.814838039</v>
      </c>
      <c r="C72" s="18" t="n">
        <v>0</v>
      </c>
      <c r="D72" s="0" t="n">
        <v>0</v>
      </c>
      <c r="E72" s="19" t="n">
        <v>40.1666666666667</v>
      </c>
    </row>
    <row r="73" customFormat="false" ht="15" hidden="false" customHeight="false" outlineLevel="0" collapsed="false">
      <c r="A73" s="0" t="n">
        <v>72</v>
      </c>
      <c r="B73" s="18" t="n">
        <v>763744.082536252</v>
      </c>
      <c r="C73" s="18" t="n">
        <v>209862.315930676</v>
      </c>
      <c r="D73" s="0" t="n">
        <v>1</v>
      </c>
    </row>
    <row r="74" customFormat="false" ht="15" hidden="false" customHeight="false" outlineLevel="0" collapsed="false">
      <c r="A74" s="0" t="n">
        <v>73</v>
      </c>
      <c r="B74" s="18" t="n">
        <v>1096165.59424018</v>
      </c>
      <c r="C74" s="18" t="n">
        <v>2334758.36615188</v>
      </c>
      <c r="D74" s="0" t="n">
        <v>1</v>
      </c>
    </row>
    <row r="75" customFormat="false" ht="15" hidden="false" customHeight="false" outlineLevel="0" collapsed="false">
      <c r="A75" s="0" t="n">
        <v>74</v>
      </c>
      <c r="B75" s="18" t="n">
        <v>695383.092895961</v>
      </c>
      <c r="C75" s="18" t="n">
        <v>3223008.50035544</v>
      </c>
      <c r="D75" s="0" t="n">
        <v>1</v>
      </c>
    </row>
    <row r="76" customFormat="false" ht="15" hidden="false" customHeight="false" outlineLevel="0" collapsed="false">
      <c r="A76" s="0" t="n">
        <v>75</v>
      </c>
      <c r="B76" s="18" t="n">
        <v>504580.137246362</v>
      </c>
      <c r="C76" s="18" t="n">
        <v>0</v>
      </c>
      <c r="D76" s="0" t="n">
        <v>0</v>
      </c>
      <c r="E76" s="19" t="n">
        <v>39.4166666666667</v>
      </c>
    </row>
    <row r="77" customFormat="false" ht="15" hidden="false" customHeight="false" outlineLevel="0" collapsed="false">
      <c r="A77" s="0" t="n">
        <v>76</v>
      </c>
      <c r="B77" s="18" t="n">
        <v>1097418.29240369</v>
      </c>
      <c r="C77" s="18" t="n">
        <v>1520237.18401294</v>
      </c>
      <c r="D77" s="0" t="n">
        <v>1</v>
      </c>
    </row>
    <row r="78" customFormat="false" ht="15" hidden="false" customHeight="false" outlineLevel="0" collapsed="false">
      <c r="A78" s="0" t="n">
        <v>77</v>
      </c>
      <c r="B78" s="18" t="n">
        <v>1616207.97000565</v>
      </c>
      <c r="C78" s="18" t="n">
        <v>0</v>
      </c>
      <c r="D78" s="0" t="n">
        <v>0</v>
      </c>
      <c r="E78" s="19" t="n">
        <v>53.8333333333333</v>
      </c>
    </row>
    <row r="79" customFormat="false" ht="15" hidden="false" customHeight="false" outlineLevel="0" collapsed="false">
      <c r="A79" s="0" t="n">
        <v>78</v>
      </c>
      <c r="B79" s="18" t="n">
        <v>327239.942920814</v>
      </c>
      <c r="C79" s="18" t="n">
        <v>0</v>
      </c>
      <c r="D79" s="0" t="n">
        <v>0</v>
      </c>
      <c r="E79" s="19" t="n">
        <v>30.8333333333333</v>
      </c>
    </row>
    <row r="80" customFormat="false" ht="15" hidden="false" customHeight="false" outlineLevel="0" collapsed="false">
      <c r="A80" s="0" t="n">
        <v>79</v>
      </c>
      <c r="B80" s="18" t="n">
        <v>975225.583622372</v>
      </c>
      <c r="C80" s="18" t="n">
        <v>1282598.62836653</v>
      </c>
      <c r="D80" s="0" t="n">
        <v>1</v>
      </c>
    </row>
    <row r="81" customFormat="false" ht="15" hidden="false" customHeight="false" outlineLevel="0" collapsed="false">
      <c r="A81" s="0" t="n">
        <v>80</v>
      </c>
      <c r="B81" s="18" t="n">
        <v>312969.645134057</v>
      </c>
      <c r="C81" s="18" t="n">
        <v>0</v>
      </c>
      <c r="D81" s="0" t="n">
        <v>0</v>
      </c>
      <c r="E81" s="19" t="n">
        <v>32.9166666666667</v>
      </c>
    </row>
    <row r="82" customFormat="false" ht="15" hidden="false" customHeight="false" outlineLevel="0" collapsed="false">
      <c r="A82" s="0" t="n">
        <v>81</v>
      </c>
      <c r="B82" s="18" t="n">
        <v>2252935.55292879</v>
      </c>
      <c r="C82" s="18" t="n">
        <v>1096039.8583212</v>
      </c>
      <c r="D82" s="0" t="n">
        <v>1</v>
      </c>
    </row>
    <row r="83" customFormat="false" ht="15" hidden="false" customHeight="false" outlineLevel="0" collapsed="false">
      <c r="A83" s="0" t="n">
        <v>82</v>
      </c>
      <c r="B83" s="18" t="n">
        <v>579524.922559754</v>
      </c>
      <c r="C83" s="18" t="n">
        <v>0</v>
      </c>
      <c r="D83" s="0" t="n">
        <v>0</v>
      </c>
      <c r="E83" s="19" t="n">
        <v>38.8333333333333</v>
      </c>
    </row>
    <row r="84" customFormat="false" ht="15" hidden="false" customHeight="false" outlineLevel="0" collapsed="false">
      <c r="A84" s="0" t="n">
        <v>83</v>
      </c>
      <c r="B84" s="18" t="n">
        <v>1128071.35942042</v>
      </c>
      <c r="C84" s="18" t="n">
        <v>4475720.16539634</v>
      </c>
      <c r="D84" s="0" t="n">
        <v>1</v>
      </c>
    </row>
    <row r="85" customFormat="false" ht="15" hidden="false" customHeight="false" outlineLevel="0" collapsed="false">
      <c r="A85" s="0" t="n">
        <v>84</v>
      </c>
      <c r="B85" s="18" t="n">
        <v>781067.788995024</v>
      </c>
      <c r="C85" s="18" t="n">
        <v>0</v>
      </c>
      <c r="D85" s="0" t="n">
        <v>0</v>
      </c>
      <c r="E85" s="19" t="n">
        <v>38.9166666666667</v>
      </c>
    </row>
    <row r="86" customFormat="false" ht="15" hidden="false" customHeight="false" outlineLevel="0" collapsed="false">
      <c r="A86" s="0" t="n">
        <v>85</v>
      </c>
      <c r="B86" s="18" t="n">
        <v>760113.647416486</v>
      </c>
      <c r="C86" s="18" t="n">
        <v>0</v>
      </c>
      <c r="D86" s="0" t="n">
        <v>0</v>
      </c>
      <c r="E86" s="19" t="n">
        <v>43.4166666666667</v>
      </c>
    </row>
    <row r="87" customFormat="false" ht="15" hidden="false" customHeight="false" outlineLevel="0" collapsed="false">
      <c r="A87" s="0" t="n">
        <v>86</v>
      </c>
      <c r="B87" s="18" t="n">
        <v>1632964.88995659</v>
      </c>
      <c r="C87" s="18" t="n">
        <v>0</v>
      </c>
      <c r="D87" s="0" t="n">
        <v>0</v>
      </c>
      <c r="E87" s="19" t="n">
        <v>40.8333333333333</v>
      </c>
    </row>
    <row r="88" customFormat="false" ht="15" hidden="false" customHeight="false" outlineLevel="0" collapsed="false">
      <c r="A88" s="0" t="n">
        <v>87</v>
      </c>
      <c r="B88" s="18" t="n">
        <v>616519.16874365</v>
      </c>
      <c r="C88" s="18" t="n">
        <v>0</v>
      </c>
      <c r="D88" s="0" t="n">
        <v>0</v>
      </c>
      <c r="E88" s="19" t="n">
        <v>36.5</v>
      </c>
    </row>
    <row r="89" customFormat="false" ht="15" hidden="false" customHeight="false" outlineLevel="0" collapsed="false">
      <c r="A89" s="0" t="n">
        <v>88</v>
      </c>
      <c r="B89" s="18" t="n">
        <v>727108.217674137</v>
      </c>
      <c r="C89" s="18" t="n">
        <v>111498.047110259</v>
      </c>
      <c r="D89" s="0" t="n">
        <v>1</v>
      </c>
    </row>
    <row r="90" customFormat="false" ht="15" hidden="false" customHeight="false" outlineLevel="0" collapsed="false">
      <c r="A90" s="0" t="n">
        <v>89</v>
      </c>
      <c r="B90" s="18" t="n">
        <v>388748.312035226</v>
      </c>
      <c r="C90" s="18" t="n">
        <v>0</v>
      </c>
      <c r="D90" s="0" t="n">
        <v>0</v>
      </c>
      <c r="E90" s="19" t="n">
        <v>33.5</v>
      </c>
    </row>
    <row r="91" customFormat="false" ht="15" hidden="false" customHeight="false" outlineLevel="0" collapsed="false">
      <c r="A91" s="0" t="n">
        <v>90</v>
      </c>
      <c r="B91" s="18" t="n">
        <v>612106.879475226</v>
      </c>
      <c r="C91" s="18" t="n">
        <v>0</v>
      </c>
      <c r="D91" s="0" t="n">
        <v>0</v>
      </c>
      <c r="E91" s="19" t="n">
        <v>40.3333333333333</v>
      </c>
    </row>
    <row r="92" customFormat="false" ht="15" hidden="false" customHeight="false" outlineLevel="0" collapsed="false">
      <c r="A92" s="0" t="n">
        <v>91</v>
      </c>
      <c r="B92" s="18" t="n">
        <v>612456.252997686</v>
      </c>
      <c r="C92" s="18" t="n">
        <v>0</v>
      </c>
      <c r="D92" s="0" t="n">
        <v>0</v>
      </c>
      <c r="E92" s="19" t="n">
        <v>32.8333333333333</v>
      </c>
    </row>
    <row r="93" customFormat="false" ht="15" hidden="false" customHeight="false" outlineLevel="0" collapsed="false">
      <c r="A93" s="0" t="n">
        <v>92</v>
      </c>
      <c r="B93" s="18" t="n">
        <v>980250.531261492</v>
      </c>
      <c r="C93" s="18" t="n">
        <v>0</v>
      </c>
      <c r="D93" s="0" t="n">
        <v>0</v>
      </c>
      <c r="E93" s="19" t="n">
        <v>34.75</v>
      </c>
    </row>
    <row r="94" customFormat="false" ht="15" hidden="false" customHeight="false" outlineLevel="0" collapsed="false">
      <c r="A94" s="0" t="n">
        <v>93</v>
      </c>
      <c r="B94" s="18" t="n">
        <v>503016.989063892</v>
      </c>
      <c r="C94" s="18" t="n">
        <v>0</v>
      </c>
      <c r="D94" s="0" t="n">
        <v>0</v>
      </c>
      <c r="E94" s="19" t="n">
        <v>33</v>
      </c>
    </row>
    <row r="95" customFormat="false" ht="15" hidden="false" customHeight="false" outlineLevel="0" collapsed="false">
      <c r="A95" s="0" t="n">
        <v>94</v>
      </c>
      <c r="B95" s="18" t="n">
        <v>495991.84437698</v>
      </c>
      <c r="C95" s="18" t="n">
        <v>0</v>
      </c>
      <c r="D95" s="0" t="n">
        <v>0</v>
      </c>
      <c r="E95" s="19" t="n">
        <v>33.4166666666667</v>
      </c>
    </row>
    <row r="96" customFormat="false" ht="15" hidden="false" customHeight="false" outlineLevel="0" collapsed="false">
      <c r="A96" s="0" t="n">
        <v>95</v>
      </c>
      <c r="B96" s="18" t="n">
        <v>679891.557513002</v>
      </c>
      <c r="C96" s="18" t="n">
        <v>0</v>
      </c>
      <c r="D96" s="0" t="n">
        <v>0</v>
      </c>
      <c r="E96" s="19" t="n">
        <v>36</v>
      </c>
    </row>
    <row r="97" customFormat="false" ht="15" hidden="false" customHeight="false" outlineLevel="0" collapsed="false">
      <c r="A97" s="0" t="n">
        <v>96</v>
      </c>
      <c r="B97" s="18" t="n">
        <v>802110.853183637</v>
      </c>
      <c r="C97" s="18" t="n">
        <v>0</v>
      </c>
      <c r="D97" s="0" t="n">
        <v>0</v>
      </c>
      <c r="E97" s="19" t="n">
        <v>35.9166666666667</v>
      </c>
    </row>
    <row r="98" customFormat="false" ht="15" hidden="false" customHeight="false" outlineLevel="0" collapsed="false">
      <c r="A98" s="0" t="n">
        <v>97</v>
      </c>
      <c r="B98" s="18" t="n">
        <v>516020.695036594</v>
      </c>
      <c r="C98" s="18" t="n">
        <v>0</v>
      </c>
      <c r="D98" s="0" t="n">
        <v>0</v>
      </c>
      <c r="E98" s="19" t="n">
        <v>34</v>
      </c>
    </row>
    <row r="99" customFormat="false" ht="15" hidden="false" customHeight="false" outlineLevel="0" collapsed="false">
      <c r="A99" s="0" t="n">
        <v>98</v>
      </c>
      <c r="B99" s="18" t="n">
        <v>639768.047494244</v>
      </c>
      <c r="C99" s="18" t="n">
        <v>0</v>
      </c>
      <c r="D99" s="0" t="n">
        <v>0</v>
      </c>
      <c r="E99" s="19" t="n">
        <v>33.1666666666667</v>
      </c>
    </row>
    <row r="100" customFormat="false" ht="15" hidden="false" customHeight="false" outlineLevel="0" collapsed="false">
      <c r="A100" s="0" t="n">
        <v>99</v>
      </c>
      <c r="B100" s="18" t="n">
        <v>831263.741304875</v>
      </c>
      <c r="C100" s="18" t="n">
        <v>0</v>
      </c>
      <c r="D100" s="0" t="n">
        <v>0</v>
      </c>
      <c r="E100" s="19" t="n">
        <v>45.25</v>
      </c>
    </row>
    <row r="101" customFormat="false" ht="15" hidden="false" customHeight="false" outlineLevel="0" collapsed="false">
      <c r="A101" s="0" t="n">
        <v>100</v>
      </c>
      <c r="B101" s="18" t="n">
        <v>3022961.99445066</v>
      </c>
      <c r="C101" s="18" t="n">
        <v>39351154.6715086</v>
      </c>
      <c r="D101" s="0" t="n">
        <v>1</v>
      </c>
    </row>
    <row r="102" customFormat="false" ht="15" hidden="false" customHeight="false" outlineLevel="0" collapsed="false">
      <c r="A102" s="0" t="n">
        <v>101</v>
      </c>
      <c r="B102" s="18" t="n">
        <v>353018.743006994</v>
      </c>
      <c r="C102" s="18" t="n">
        <v>0</v>
      </c>
      <c r="D102" s="0" t="n">
        <v>0</v>
      </c>
      <c r="E102" s="19" t="n">
        <v>33.3333333333333</v>
      </c>
    </row>
    <row r="103" customFormat="false" ht="15" hidden="false" customHeight="false" outlineLevel="0" collapsed="false">
      <c r="A103" s="0" t="n">
        <v>102</v>
      </c>
      <c r="B103" s="18" t="n">
        <v>1558681.56240834</v>
      </c>
      <c r="C103" s="18" t="n">
        <v>0</v>
      </c>
      <c r="D103" s="0" t="n">
        <v>0</v>
      </c>
      <c r="E103" s="19" t="n">
        <v>50</v>
      </c>
    </row>
    <row r="104" customFormat="false" ht="15" hidden="false" customHeight="false" outlineLevel="0" collapsed="false">
      <c r="A104" s="0" t="n">
        <v>103</v>
      </c>
      <c r="B104" s="18" t="n">
        <v>549354.994812726</v>
      </c>
      <c r="C104" s="18" t="n">
        <v>0</v>
      </c>
      <c r="D104" s="0" t="n">
        <v>0</v>
      </c>
      <c r="E104" s="19" t="n">
        <v>39.3333333333333</v>
      </c>
    </row>
    <row r="105" customFormat="false" ht="15" hidden="false" customHeight="false" outlineLevel="0" collapsed="false">
      <c r="A105" s="0" t="n">
        <v>104</v>
      </c>
      <c r="B105" s="18" t="n">
        <v>2194810.90689952</v>
      </c>
      <c r="C105" s="18" t="n">
        <v>3794485.24147576</v>
      </c>
      <c r="D105" s="0" t="n">
        <v>1</v>
      </c>
    </row>
    <row r="106" customFormat="false" ht="15" hidden="false" customHeight="false" outlineLevel="0" collapsed="false">
      <c r="A106" s="0" t="n">
        <v>105</v>
      </c>
      <c r="B106" s="18" t="n">
        <v>617303.412411576</v>
      </c>
      <c r="C106" s="18" t="n">
        <v>0</v>
      </c>
      <c r="D106" s="0" t="n">
        <v>0</v>
      </c>
      <c r="E106" s="19" t="n">
        <v>34.5</v>
      </c>
    </row>
    <row r="107" customFormat="false" ht="15" hidden="false" customHeight="false" outlineLevel="0" collapsed="false">
      <c r="A107" s="0" t="n">
        <v>106</v>
      </c>
      <c r="B107" s="18" t="n">
        <v>425892.537540417</v>
      </c>
      <c r="C107" s="18" t="n">
        <v>0</v>
      </c>
      <c r="D107" s="0" t="n">
        <v>0</v>
      </c>
      <c r="E107" s="19" t="n">
        <v>39</v>
      </c>
    </row>
    <row r="108" customFormat="false" ht="15" hidden="false" customHeight="false" outlineLevel="0" collapsed="false">
      <c r="A108" s="0" t="n">
        <v>107</v>
      </c>
      <c r="B108" s="18" t="n">
        <v>696639.359015449</v>
      </c>
      <c r="C108" s="18" t="n">
        <v>744590.862348657</v>
      </c>
      <c r="D108" s="0" t="n">
        <v>1</v>
      </c>
    </row>
    <row r="109" customFormat="false" ht="15" hidden="false" customHeight="false" outlineLevel="0" collapsed="false">
      <c r="A109" s="0" t="n">
        <v>108</v>
      </c>
      <c r="B109" s="18" t="n">
        <v>465515.502942483</v>
      </c>
      <c r="C109" s="18" t="n">
        <v>0</v>
      </c>
      <c r="D109" s="0" t="n">
        <v>0</v>
      </c>
      <c r="E109" s="19" t="n">
        <v>32.0833333333333</v>
      </c>
    </row>
    <row r="110" customFormat="false" ht="15" hidden="false" customHeight="false" outlineLevel="0" collapsed="false">
      <c r="A110" s="0" t="n">
        <v>109</v>
      </c>
      <c r="B110" s="18" t="n">
        <v>830837.972240906</v>
      </c>
      <c r="C110" s="18" t="n">
        <v>0</v>
      </c>
      <c r="D110" s="0" t="n">
        <v>0</v>
      </c>
      <c r="E110" s="19" t="n">
        <v>39.1666666666667</v>
      </c>
    </row>
    <row r="111" customFormat="false" ht="15" hidden="false" customHeight="false" outlineLevel="0" collapsed="false">
      <c r="A111" s="0" t="n">
        <v>110</v>
      </c>
      <c r="B111" s="18" t="n">
        <v>1178856.03479831</v>
      </c>
      <c r="C111" s="18" t="n">
        <v>2274583.76333263</v>
      </c>
      <c r="D111" s="0" t="n">
        <v>1</v>
      </c>
    </row>
    <row r="112" customFormat="false" ht="15" hidden="false" customHeight="false" outlineLevel="0" collapsed="false">
      <c r="A112" s="0" t="n">
        <v>111</v>
      </c>
      <c r="B112" s="18" t="n">
        <v>1673648.54042965</v>
      </c>
      <c r="C112" s="18" t="n">
        <v>10745938.6511423</v>
      </c>
      <c r="D112" s="0" t="n">
        <v>1</v>
      </c>
    </row>
    <row r="113" customFormat="false" ht="15" hidden="false" customHeight="false" outlineLevel="0" collapsed="false">
      <c r="A113" s="0" t="n">
        <v>112</v>
      </c>
      <c r="B113" s="18" t="n">
        <v>1810112.76727449</v>
      </c>
      <c r="C113" s="18" t="n">
        <v>0</v>
      </c>
      <c r="D113" s="0" t="n">
        <v>0</v>
      </c>
      <c r="E113" s="19" t="n">
        <v>43.1666666666667</v>
      </c>
    </row>
    <row r="114" customFormat="false" ht="15" hidden="false" customHeight="false" outlineLevel="0" collapsed="false">
      <c r="A114" s="0" t="n">
        <v>113</v>
      </c>
      <c r="B114" s="18" t="n">
        <v>1137826.86770253</v>
      </c>
      <c r="C114" s="18" t="n">
        <v>991935.784770299</v>
      </c>
      <c r="D114" s="0" t="n">
        <v>1</v>
      </c>
    </row>
    <row r="115" customFormat="false" ht="15" hidden="false" customHeight="false" outlineLevel="0" collapsed="false">
      <c r="A115" s="0" t="n">
        <v>114</v>
      </c>
      <c r="B115" s="18" t="n">
        <v>4003725.63343863</v>
      </c>
      <c r="C115" s="18" t="n">
        <v>58668772.5259244</v>
      </c>
      <c r="D115" s="0" t="n">
        <v>1</v>
      </c>
    </row>
    <row r="116" customFormat="false" ht="15" hidden="false" customHeight="false" outlineLevel="0" collapsed="false">
      <c r="A116" s="0" t="n">
        <v>115</v>
      </c>
      <c r="B116" s="18" t="n">
        <v>731846.128072966</v>
      </c>
      <c r="C116" s="18" t="n">
        <v>0</v>
      </c>
      <c r="D116" s="0" t="n">
        <v>0</v>
      </c>
      <c r="E116" s="19" t="n">
        <v>33.5</v>
      </c>
    </row>
    <row r="117" customFormat="false" ht="15" hidden="false" customHeight="false" outlineLevel="0" collapsed="false">
      <c r="A117" s="0" t="n">
        <v>116</v>
      </c>
      <c r="B117" s="18" t="n">
        <v>935937.100227814</v>
      </c>
      <c r="C117" s="18" t="n">
        <v>0</v>
      </c>
      <c r="D117" s="0" t="n">
        <v>0</v>
      </c>
      <c r="E117" s="19" t="n">
        <v>44.8333333333333</v>
      </c>
    </row>
    <row r="118" customFormat="false" ht="15" hidden="false" customHeight="false" outlineLevel="0" collapsed="false">
      <c r="A118" s="0" t="n">
        <v>117</v>
      </c>
      <c r="B118" s="18" t="n">
        <v>2253247.70693408</v>
      </c>
      <c r="C118" s="18" t="n">
        <v>29277872.3749626</v>
      </c>
      <c r="D118" s="0" t="n">
        <v>1</v>
      </c>
    </row>
    <row r="119" customFormat="false" ht="15" hidden="false" customHeight="false" outlineLevel="0" collapsed="false">
      <c r="A119" s="0" t="n">
        <v>118</v>
      </c>
      <c r="B119" s="18" t="n">
        <v>630895.817208701</v>
      </c>
      <c r="C119" s="18" t="n">
        <v>0</v>
      </c>
      <c r="D119" s="0" t="n">
        <v>0</v>
      </c>
      <c r="E119" s="19" t="n">
        <v>36.25</v>
      </c>
    </row>
    <row r="120" customFormat="false" ht="15" hidden="false" customHeight="false" outlineLevel="0" collapsed="false">
      <c r="A120" s="0" t="n">
        <v>119</v>
      </c>
      <c r="B120" s="18" t="n">
        <v>760750.790908327</v>
      </c>
      <c r="C120" s="18" t="n">
        <v>0</v>
      </c>
      <c r="D120" s="0" t="n">
        <v>0</v>
      </c>
      <c r="E120" s="19" t="n">
        <v>34.9166666666667</v>
      </c>
    </row>
    <row r="121" customFormat="false" ht="15" hidden="false" customHeight="false" outlineLevel="0" collapsed="false">
      <c r="A121" s="0" t="n">
        <v>120</v>
      </c>
      <c r="B121" s="18" t="n">
        <v>611248.771337863</v>
      </c>
      <c r="C121" s="18" t="n">
        <v>853164.952132827</v>
      </c>
      <c r="D121" s="0" t="n">
        <v>1</v>
      </c>
    </row>
    <row r="122" customFormat="false" ht="15" hidden="false" customHeight="false" outlineLevel="0" collapsed="false">
      <c r="A122" s="0" t="n">
        <v>121</v>
      </c>
      <c r="B122" s="18" t="n">
        <v>302197.29601039</v>
      </c>
      <c r="C122" s="18" t="n">
        <v>0</v>
      </c>
      <c r="D122" s="0" t="n">
        <v>0</v>
      </c>
      <c r="E122" s="19" t="n">
        <v>29.5833333333333</v>
      </c>
    </row>
    <row r="123" customFormat="false" ht="15" hidden="false" customHeight="false" outlineLevel="0" collapsed="false">
      <c r="A123" s="0" t="n">
        <v>122</v>
      </c>
      <c r="B123" s="18" t="n">
        <v>1418886.81902709</v>
      </c>
      <c r="C123" s="18" t="n">
        <v>759006.564470177</v>
      </c>
      <c r="D123" s="0" t="n">
        <v>1</v>
      </c>
    </row>
    <row r="124" customFormat="false" ht="15" hidden="false" customHeight="false" outlineLevel="0" collapsed="false">
      <c r="A124" s="0" t="n">
        <v>123</v>
      </c>
      <c r="B124" s="18" t="n">
        <v>382854.944729856</v>
      </c>
      <c r="C124" s="18" t="n">
        <v>0</v>
      </c>
      <c r="D124" s="0" t="n">
        <v>0</v>
      </c>
      <c r="E124" s="19" t="n">
        <v>32.5833333333333</v>
      </c>
    </row>
    <row r="125" customFormat="false" ht="15" hidden="false" customHeight="false" outlineLevel="0" collapsed="false">
      <c r="A125" s="0" t="n">
        <v>124</v>
      </c>
      <c r="B125" s="18" t="n">
        <v>623150.71410102</v>
      </c>
      <c r="C125" s="18" t="n">
        <v>0</v>
      </c>
      <c r="D125" s="0" t="n">
        <v>0</v>
      </c>
      <c r="E125" s="19" t="n">
        <v>43.9166666666667</v>
      </c>
    </row>
    <row r="126" customFormat="false" ht="15" hidden="false" customHeight="false" outlineLevel="0" collapsed="false">
      <c r="A126" s="0" t="n">
        <v>125</v>
      </c>
      <c r="B126" s="18" t="n">
        <v>234698.786245295</v>
      </c>
      <c r="C126" s="18" t="n">
        <v>0</v>
      </c>
      <c r="D126" s="0" t="n">
        <v>0</v>
      </c>
      <c r="E126" s="19" t="n">
        <v>28.3333333333333</v>
      </c>
    </row>
    <row r="127" customFormat="false" ht="15" hidden="false" customHeight="false" outlineLevel="0" collapsed="false">
      <c r="A127" s="0" t="n">
        <v>126</v>
      </c>
      <c r="B127" s="18" t="n">
        <v>343136.823892047</v>
      </c>
      <c r="C127" s="18" t="n">
        <v>0</v>
      </c>
      <c r="D127" s="0" t="n">
        <v>0</v>
      </c>
      <c r="E127" s="19" t="n">
        <v>33.3333333333333</v>
      </c>
    </row>
    <row r="128" customFormat="false" ht="15" hidden="false" customHeight="false" outlineLevel="0" collapsed="false">
      <c r="A128" s="0" t="n">
        <v>127</v>
      </c>
      <c r="B128" s="18" t="n">
        <v>459817.008569912</v>
      </c>
      <c r="C128" s="18" t="n">
        <v>0</v>
      </c>
      <c r="D128" s="0" t="n">
        <v>0</v>
      </c>
      <c r="E128" s="19" t="n">
        <v>34.0833333333333</v>
      </c>
    </row>
    <row r="129" customFormat="false" ht="15" hidden="false" customHeight="false" outlineLevel="0" collapsed="false">
      <c r="A129" s="0" t="n">
        <v>128</v>
      </c>
      <c r="B129" s="18" t="n">
        <v>395405.445917458</v>
      </c>
      <c r="C129" s="18" t="n">
        <v>0</v>
      </c>
      <c r="D129" s="0" t="n">
        <v>0</v>
      </c>
      <c r="E129" s="19" t="n">
        <v>33.0833333333333</v>
      </c>
    </row>
    <row r="130" customFormat="false" ht="15" hidden="false" customHeight="false" outlineLevel="0" collapsed="false">
      <c r="A130" s="0" t="n">
        <v>129</v>
      </c>
      <c r="B130" s="18" t="n">
        <v>1127209.4780673</v>
      </c>
      <c r="C130" s="18" t="n">
        <v>0</v>
      </c>
      <c r="D130" s="0" t="n">
        <v>0</v>
      </c>
      <c r="E130" s="19" t="n">
        <v>39</v>
      </c>
    </row>
    <row r="131" customFormat="false" ht="15" hidden="false" customHeight="false" outlineLevel="0" collapsed="false">
      <c r="A131" s="0" t="n">
        <v>130</v>
      </c>
      <c r="B131" s="18" t="n">
        <v>840168.530046922</v>
      </c>
      <c r="C131" s="18" t="n">
        <v>0</v>
      </c>
      <c r="D131" s="0" t="n">
        <v>0</v>
      </c>
      <c r="E131" s="19" t="n">
        <v>42.75</v>
      </c>
    </row>
    <row r="132" customFormat="false" ht="15" hidden="false" customHeight="false" outlineLevel="0" collapsed="false">
      <c r="A132" s="0" t="n">
        <v>131</v>
      </c>
      <c r="B132" s="18" t="n">
        <v>930573.997810962</v>
      </c>
      <c r="C132" s="18" t="n">
        <v>1888386.67268661</v>
      </c>
      <c r="D132" s="0" t="n">
        <v>1</v>
      </c>
    </row>
    <row r="133" customFormat="false" ht="15" hidden="false" customHeight="false" outlineLevel="0" collapsed="false">
      <c r="A133" s="0" t="n">
        <v>132</v>
      </c>
      <c r="B133" s="18" t="n">
        <v>1262461.72430586</v>
      </c>
      <c r="C133" s="18" t="n">
        <v>3353348.66884159</v>
      </c>
      <c r="D133" s="0" t="n">
        <v>1</v>
      </c>
    </row>
    <row r="134" customFormat="false" ht="15" hidden="false" customHeight="false" outlineLevel="0" collapsed="false">
      <c r="A134" s="0" t="n">
        <v>133</v>
      </c>
      <c r="B134" s="18" t="n">
        <v>1159398.71392822</v>
      </c>
      <c r="C134" s="18" t="n">
        <v>5404071.36980613</v>
      </c>
      <c r="D134" s="0" t="n">
        <v>1</v>
      </c>
    </row>
    <row r="135" customFormat="false" ht="15" hidden="false" customHeight="false" outlineLevel="0" collapsed="false">
      <c r="A135" s="0" t="n">
        <v>134</v>
      </c>
      <c r="B135" s="18" t="n">
        <v>570386.603056204</v>
      </c>
      <c r="C135" s="18" t="n">
        <v>0</v>
      </c>
      <c r="D135" s="0" t="n">
        <v>0</v>
      </c>
      <c r="E135" s="19" t="n">
        <v>31.3333333333333</v>
      </c>
    </row>
    <row r="136" customFormat="false" ht="15" hidden="false" customHeight="false" outlineLevel="0" collapsed="false">
      <c r="A136" s="0" t="n">
        <v>135</v>
      </c>
      <c r="B136" s="18" t="n">
        <v>1133876.83798242</v>
      </c>
      <c r="C136" s="18" t="n">
        <v>5120451.92043827</v>
      </c>
      <c r="D136" s="0" t="n">
        <v>1</v>
      </c>
    </row>
    <row r="137" customFormat="false" ht="15" hidden="false" customHeight="false" outlineLevel="0" collapsed="false">
      <c r="A137" s="0" t="n">
        <v>136</v>
      </c>
      <c r="B137" s="18" t="n">
        <v>1252812.06713793</v>
      </c>
      <c r="C137" s="18" t="n">
        <v>0</v>
      </c>
      <c r="D137" s="0" t="n">
        <v>0</v>
      </c>
      <c r="E137" s="19" t="n">
        <v>45.75</v>
      </c>
    </row>
    <row r="138" customFormat="false" ht="15" hidden="false" customHeight="false" outlineLevel="0" collapsed="false">
      <c r="A138" s="0" t="n">
        <v>137</v>
      </c>
      <c r="B138" s="18" t="n">
        <v>1255144.4452813</v>
      </c>
      <c r="C138" s="18" t="n">
        <v>0</v>
      </c>
      <c r="D138" s="0" t="n">
        <v>0</v>
      </c>
      <c r="E138" s="19" t="n">
        <v>49.5833333333333</v>
      </c>
    </row>
    <row r="139" customFormat="false" ht="15" hidden="false" customHeight="false" outlineLevel="0" collapsed="false">
      <c r="A139" s="0" t="n">
        <v>138</v>
      </c>
      <c r="B139" s="18" t="n">
        <v>1219266.35083297</v>
      </c>
      <c r="C139" s="18" t="n">
        <v>0</v>
      </c>
      <c r="D139" s="0" t="n">
        <v>0</v>
      </c>
      <c r="E139" s="19" t="n">
        <v>38.6666666666667</v>
      </c>
    </row>
    <row r="140" customFormat="false" ht="15" hidden="false" customHeight="false" outlineLevel="0" collapsed="false">
      <c r="A140" s="0" t="n">
        <v>139</v>
      </c>
      <c r="B140" s="18" t="n">
        <v>1079333.14569908</v>
      </c>
      <c r="C140" s="18" t="n">
        <v>0</v>
      </c>
      <c r="D140" s="0" t="n">
        <v>0</v>
      </c>
      <c r="E140" s="19" t="n">
        <v>38.1666666666667</v>
      </c>
    </row>
    <row r="141" customFormat="false" ht="15" hidden="false" customHeight="false" outlineLevel="0" collapsed="false">
      <c r="A141" s="0" t="n">
        <v>140</v>
      </c>
      <c r="B141" s="18" t="n">
        <v>1040097.6141032</v>
      </c>
      <c r="C141" s="18" t="n">
        <v>0</v>
      </c>
      <c r="D141" s="0" t="n">
        <v>0</v>
      </c>
      <c r="E141" s="19" t="n">
        <v>41</v>
      </c>
    </row>
    <row r="142" customFormat="false" ht="15" hidden="false" customHeight="false" outlineLevel="0" collapsed="false">
      <c r="A142" s="0" t="n">
        <v>141</v>
      </c>
      <c r="B142" s="18" t="n">
        <v>1451535.85041126</v>
      </c>
      <c r="C142" s="18" t="n">
        <v>0</v>
      </c>
      <c r="D142" s="0" t="n">
        <v>0</v>
      </c>
      <c r="E142" s="19" t="n">
        <v>41.5</v>
      </c>
    </row>
    <row r="143" customFormat="false" ht="15" hidden="false" customHeight="false" outlineLevel="0" collapsed="false">
      <c r="A143" s="0" t="n">
        <v>142</v>
      </c>
      <c r="B143" s="18" t="n">
        <v>505458.480589671</v>
      </c>
      <c r="C143" s="18" t="n">
        <v>0</v>
      </c>
      <c r="D143" s="0" t="n">
        <v>0</v>
      </c>
      <c r="E143" s="19" t="n">
        <v>36.1666666666667</v>
      </c>
    </row>
    <row r="144" customFormat="false" ht="15" hidden="false" customHeight="false" outlineLevel="0" collapsed="false">
      <c r="A144" s="0" t="n">
        <v>143</v>
      </c>
      <c r="B144" s="18" t="n">
        <v>3043849.41726225</v>
      </c>
      <c r="C144" s="18" t="n">
        <v>79024447.4150536</v>
      </c>
      <c r="D144" s="0" t="n">
        <v>1</v>
      </c>
    </row>
    <row r="145" customFormat="false" ht="15" hidden="false" customHeight="false" outlineLevel="0" collapsed="false">
      <c r="A145" s="0" t="n">
        <v>144</v>
      </c>
      <c r="B145" s="18" t="n">
        <v>1055888.80262251</v>
      </c>
      <c r="C145" s="18" t="n">
        <v>0</v>
      </c>
      <c r="D145" s="0" t="n">
        <v>0</v>
      </c>
      <c r="E145" s="19" t="n">
        <v>50.5833333333333</v>
      </c>
    </row>
    <row r="146" customFormat="false" ht="15" hidden="false" customHeight="false" outlineLevel="0" collapsed="false">
      <c r="A146" s="0" t="n">
        <v>145</v>
      </c>
      <c r="B146" s="18" t="n">
        <v>1056357.56532668</v>
      </c>
      <c r="C146" s="18" t="n">
        <v>0</v>
      </c>
      <c r="D146" s="0" t="n">
        <v>0</v>
      </c>
      <c r="E146" s="19" t="n">
        <v>50.9166666666667</v>
      </c>
    </row>
    <row r="147" customFormat="false" ht="15" hidden="false" customHeight="false" outlineLevel="0" collapsed="false">
      <c r="A147" s="0" t="n">
        <v>146</v>
      </c>
      <c r="B147" s="18" t="n">
        <v>782270.493185931</v>
      </c>
      <c r="C147" s="18" t="n">
        <v>4786648.82018192</v>
      </c>
      <c r="D147" s="0" t="n">
        <v>1</v>
      </c>
    </row>
    <row r="148" customFormat="false" ht="15" hidden="false" customHeight="false" outlineLevel="0" collapsed="false">
      <c r="A148" s="0" t="n">
        <v>147</v>
      </c>
      <c r="B148" s="18" t="n">
        <v>958816.788903364</v>
      </c>
      <c r="C148" s="18" t="n">
        <v>0</v>
      </c>
      <c r="D148" s="0" t="n">
        <v>0</v>
      </c>
      <c r="E148" s="19" t="n">
        <v>41.4166666666667</v>
      </c>
    </row>
    <row r="149" customFormat="false" ht="15" hidden="false" customHeight="false" outlineLevel="0" collapsed="false">
      <c r="A149" s="0" t="n">
        <v>148</v>
      </c>
      <c r="B149" s="18" t="n">
        <v>954360.806240707</v>
      </c>
      <c r="C149" s="18" t="n">
        <v>3895133.61489123</v>
      </c>
      <c r="D149" s="0" t="n">
        <v>1</v>
      </c>
    </row>
    <row r="150" customFormat="false" ht="15" hidden="false" customHeight="false" outlineLevel="0" collapsed="false">
      <c r="A150" s="0" t="n">
        <v>149</v>
      </c>
      <c r="B150" s="18" t="n">
        <v>1956209.06732672</v>
      </c>
      <c r="C150" s="18" t="n">
        <v>893942.185148506</v>
      </c>
      <c r="D150" s="0" t="n">
        <v>1</v>
      </c>
    </row>
    <row r="151" customFormat="false" ht="15" hidden="false" customHeight="false" outlineLevel="0" collapsed="false">
      <c r="A151" s="0" t="n">
        <v>150</v>
      </c>
      <c r="B151" s="18" t="n">
        <v>580289.194336224</v>
      </c>
      <c r="C151" s="18" t="n">
        <v>0</v>
      </c>
      <c r="D151" s="0" t="n">
        <v>0</v>
      </c>
      <c r="E151" s="19" t="n">
        <v>42.6666666666667</v>
      </c>
    </row>
    <row r="152" customFormat="false" ht="15" hidden="false" customHeight="false" outlineLevel="0" collapsed="false">
      <c r="A152" s="0" t="n">
        <v>151</v>
      </c>
      <c r="B152" s="18" t="n">
        <v>723383.260688856</v>
      </c>
      <c r="C152" s="18" t="n">
        <v>0</v>
      </c>
      <c r="D152" s="0" t="n">
        <v>0</v>
      </c>
      <c r="E152" s="19" t="n">
        <v>43.25</v>
      </c>
    </row>
    <row r="153" customFormat="false" ht="15" hidden="false" customHeight="false" outlineLevel="0" collapsed="false">
      <c r="A153" s="0" t="n">
        <v>152</v>
      </c>
      <c r="B153" s="18" t="n">
        <v>2622886.36178055</v>
      </c>
      <c r="C153" s="18" t="n">
        <v>3293256.13328438</v>
      </c>
      <c r="D153" s="0" t="n">
        <v>1</v>
      </c>
    </row>
    <row r="154" customFormat="false" ht="15" hidden="false" customHeight="false" outlineLevel="0" collapsed="false">
      <c r="A154" s="0" t="n">
        <v>153</v>
      </c>
      <c r="B154" s="18" t="n">
        <v>579829.04324462</v>
      </c>
      <c r="C154" s="18" t="n">
        <v>0</v>
      </c>
      <c r="D154" s="0" t="n">
        <v>0</v>
      </c>
      <c r="E154" s="19" t="n">
        <v>36.1666666666667</v>
      </c>
    </row>
    <row r="155" customFormat="false" ht="15" hidden="false" customHeight="false" outlineLevel="0" collapsed="false">
      <c r="A155" s="0" t="n">
        <v>154</v>
      </c>
      <c r="B155" s="18" t="n">
        <v>1198440.39318855</v>
      </c>
      <c r="C155" s="18" t="n">
        <v>5635375.13516223</v>
      </c>
      <c r="D155" s="0" t="n">
        <v>1</v>
      </c>
    </row>
    <row r="156" customFormat="false" ht="15" hidden="false" customHeight="false" outlineLevel="0" collapsed="false">
      <c r="A156" s="0" t="n">
        <v>155</v>
      </c>
      <c r="B156" s="18" t="n">
        <v>1382826.93475648</v>
      </c>
      <c r="C156" s="18" t="n">
        <v>0</v>
      </c>
      <c r="D156" s="0" t="n">
        <v>0</v>
      </c>
      <c r="E156" s="19" t="n">
        <v>53.75</v>
      </c>
    </row>
    <row r="157" customFormat="false" ht="15" hidden="false" customHeight="false" outlineLevel="0" collapsed="false">
      <c r="A157" s="0" t="n">
        <v>156</v>
      </c>
      <c r="B157" s="18" t="n">
        <v>432653.139114509</v>
      </c>
      <c r="C157" s="18" t="n">
        <v>0</v>
      </c>
      <c r="D157" s="0" t="n">
        <v>0</v>
      </c>
      <c r="E157" s="19" t="n">
        <v>31.4166666666667</v>
      </c>
    </row>
    <row r="158" customFormat="false" ht="15" hidden="false" customHeight="false" outlineLevel="0" collapsed="false">
      <c r="A158" s="0" t="n">
        <v>157</v>
      </c>
      <c r="B158" s="18" t="n">
        <v>3609545.80058379</v>
      </c>
      <c r="C158" s="18" t="n">
        <v>70317063.8385066</v>
      </c>
      <c r="D158" s="0" t="n">
        <v>1</v>
      </c>
    </row>
    <row r="159" customFormat="false" ht="15" hidden="false" customHeight="false" outlineLevel="0" collapsed="false">
      <c r="A159" s="0" t="n">
        <v>158</v>
      </c>
      <c r="B159" s="18" t="n">
        <v>1579463.95177</v>
      </c>
      <c r="C159" s="18" t="n">
        <v>701445.701385378</v>
      </c>
      <c r="D159" s="0" t="n">
        <v>1</v>
      </c>
    </row>
    <row r="160" customFormat="false" ht="15" hidden="false" customHeight="false" outlineLevel="0" collapsed="false">
      <c r="A160" s="0" t="n">
        <v>159</v>
      </c>
      <c r="B160" s="18" t="n">
        <v>326636.23680855</v>
      </c>
      <c r="C160" s="18" t="n">
        <v>0</v>
      </c>
      <c r="D160" s="0" t="n">
        <v>0</v>
      </c>
      <c r="E160" s="19" t="n">
        <v>30.4166666666667</v>
      </c>
    </row>
    <row r="161" customFormat="false" ht="15" hidden="false" customHeight="false" outlineLevel="0" collapsed="false">
      <c r="A161" s="0" t="n">
        <v>160</v>
      </c>
      <c r="B161" s="18" t="n">
        <v>757643.893053896</v>
      </c>
      <c r="C161" s="18" t="n">
        <v>0</v>
      </c>
      <c r="D161" s="0" t="n">
        <v>0</v>
      </c>
      <c r="E161" s="19" t="n">
        <v>37.75</v>
      </c>
    </row>
    <row r="162" customFormat="false" ht="15" hidden="false" customHeight="false" outlineLevel="0" collapsed="false">
      <c r="A162" s="0" t="n">
        <v>161</v>
      </c>
      <c r="B162" s="18" t="n">
        <v>1084695.16722721</v>
      </c>
      <c r="C162" s="18" t="n">
        <v>0</v>
      </c>
      <c r="D162" s="0" t="n">
        <v>0</v>
      </c>
      <c r="E162" s="19" t="n">
        <v>48.1666666666667</v>
      </c>
    </row>
    <row r="163" customFormat="false" ht="15" hidden="false" customHeight="false" outlineLevel="0" collapsed="false">
      <c r="A163" s="0" t="n">
        <v>162</v>
      </c>
      <c r="B163" s="18" t="n">
        <v>1674068.38497293</v>
      </c>
      <c r="C163" s="18" t="n">
        <v>3645444.85217829</v>
      </c>
      <c r="D163" s="0" t="n">
        <v>1</v>
      </c>
    </row>
    <row r="164" customFormat="false" ht="15" hidden="false" customHeight="false" outlineLevel="0" collapsed="false">
      <c r="A164" s="0" t="n">
        <v>163</v>
      </c>
      <c r="B164" s="18" t="n">
        <v>909794.185459673</v>
      </c>
      <c r="C164" s="18" t="n">
        <v>0</v>
      </c>
      <c r="D164" s="0" t="n">
        <v>0</v>
      </c>
      <c r="E164" s="19" t="n">
        <v>41.1666666666667</v>
      </c>
    </row>
    <row r="165" customFormat="false" ht="15" hidden="false" customHeight="false" outlineLevel="0" collapsed="false">
      <c r="A165" s="0" t="n">
        <v>164</v>
      </c>
      <c r="B165" s="18" t="n">
        <v>557915.119376844</v>
      </c>
      <c r="C165" s="18" t="n">
        <v>0</v>
      </c>
      <c r="D165" s="0" t="n">
        <v>0</v>
      </c>
      <c r="E165" s="19" t="n">
        <v>37.8333333333333</v>
      </c>
    </row>
    <row r="166" customFormat="false" ht="15" hidden="false" customHeight="false" outlineLevel="0" collapsed="false">
      <c r="A166" s="0" t="n">
        <v>165</v>
      </c>
      <c r="B166" s="18" t="n">
        <v>1370513.3738649</v>
      </c>
      <c r="C166" s="18" t="n">
        <v>2461909.40292095</v>
      </c>
      <c r="D166" s="0" t="n">
        <v>1</v>
      </c>
    </row>
    <row r="167" customFormat="false" ht="15" hidden="false" customHeight="false" outlineLevel="0" collapsed="false">
      <c r="A167" s="0" t="n">
        <v>166</v>
      </c>
      <c r="B167" s="18" t="n">
        <v>620351.362529957</v>
      </c>
      <c r="C167" s="18" t="n">
        <v>0</v>
      </c>
      <c r="D167" s="0" t="n">
        <v>0</v>
      </c>
      <c r="E167" s="19" t="n">
        <v>36.4166666666667</v>
      </c>
    </row>
    <row r="168" customFormat="false" ht="15" hidden="false" customHeight="false" outlineLevel="0" collapsed="false">
      <c r="A168" s="0" t="n">
        <v>167</v>
      </c>
      <c r="B168" s="18" t="n">
        <v>362247.419188068</v>
      </c>
      <c r="C168" s="18" t="n">
        <v>0</v>
      </c>
      <c r="D168" s="0" t="n">
        <v>0</v>
      </c>
      <c r="E168" s="19" t="n">
        <v>36.4166666666667</v>
      </c>
    </row>
    <row r="169" customFormat="false" ht="15" hidden="false" customHeight="false" outlineLevel="0" collapsed="false">
      <c r="A169" s="0" t="n">
        <v>168</v>
      </c>
      <c r="B169" s="18" t="n">
        <v>577537.453913458</v>
      </c>
      <c r="C169" s="18" t="n">
        <v>0</v>
      </c>
      <c r="D169" s="0" t="n">
        <v>0</v>
      </c>
      <c r="E169" s="19" t="n">
        <v>36.5833333333333</v>
      </c>
    </row>
    <row r="170" customFormat="false" ht="15" hidden="false" customHeight="false" outlineLevel="0" collapsed="false">
      <c r="A170" s="0" t="n">
        <v>169</v>
      </c>
      <c r="B170" s="18" t="n">
        <v>793157.107248334</v>
      </c>
      <c r="C170" s="18" t="n">
        <v>0</v>
      </c>
      <c r="D170" s="0" t="n">
        <v>0</v>
      </c>
      <c r="E170" s="19" t="n">
        <v>43.5833333333333</v>
      </c>
    </row>
    <row r="171" customFormat="false" ht="15" hidden="false" customHeight="false" outlineLevel="0" collapsed="false">
      <c r="A171" s="0" t="n">
        <v>170</v>
      </c>
      <c r="B171" s="18" t="n">
        <v>2001394.82532229</v>
      </c>
      <c r="C171" s="18" t="n">
        <v>3294953.54212535</v>
      </c>
      <c r="D171" s="0" t="n">
        <v>1</v>
      </c>
    </row>
    <row r="172" customFormat="false" ht="15" hidden="false" customHeight="false" outlineLevel="0" collapsed="false">
      <c r="A172" s="0" t="n">
        <v>171</v>
      </c>
      <c r="B172" s="18" t="n">
        <v>607970.676116358</v>
      </c>
      <c r="C172" s="18" t="n">
        <v>0</v>
      </c>
      <c r="D172" s="0" t="n">
        <v>0</v>
      </c>
      <c r="E172" s="19" t="n">
        <v>35</v>
      </c>
    </row>
    <row r="173" customFormat="false" ht="15" hidden="false" customHeight="false" outlineLevel="0" collapsed="false">
      <c r="A173" s="0" t="n">
        <v>172</v>
      </c>
      <c r="B173" s="18" t="n">
        <v>656649.752950394</v>
      </c>
      <c r="C173" s="18" t="n">
        <v>0</v>
      </c>
      <c r="D173" s="0" t="n">
        <v>0</v>
      </c>
      <c r="E173" s="19" t="n">
        <v>43.75</v>
      </c>
    </row>
    <row r="174" customFormat="false" ht="15" hidden="false" customHeight="false" outlineLevel="0" collapsed="false">
      <c r="A174" s="0" t="n">
        <v>173</v>
      </c>
      <c r="B174" s="18" t="n">
        <v>1088907.78846426</v>
      </c>
      <c r="C174" s="18" t="n">
        <v>0</v>
      </c>
      <c r="D174" s="0" t="n">
        <v>0</v>
      </c>
      <c r="E174" s="19" t="n">
        <v>47.3333333333333</v>
      </c>
    </row>
    <row r="175" customFormat="false" ht="15" hidden="false" customHeight="false" outlineLevel="0" collapsed="false">
      <c r="A175" s="0" t="n">
        <v>174</v>
      </c>
      <c r="B175" s="18" t="n">
        <v>562296.761997659</v>
      </c>
      <c r="C175" s="18" t="n">
        <v>0</v>
      </c>
      <c r="D175" s="0" t="n">
        <v>0</v>
      </c>
      <c r="E175" s="19" t="n">
        <v>40.8333333333333</v>
      </c>
    </row>
    <row r="176" customFormat="false" ht="15" hidden="false" customHeight="false" outlineLevel="0" collapsed="false">
      <c r="A176" s="0" t="n">
        <v>175</v>
      </c>
      <c r="B176" s="18" t="n">
        <v>1176600.60013772</v>
      </c>
      <c r="C176" s="18" t="n">
        <v>0</v>
      </c>
      <c r="D176" s="0" t="n">
        <v>0</v>
      </c>
      <c r="E176" s="19" t="n">
        <v>42.6666666666667</v>
      </c>
    </row>
    <row r="177" customFormat="false" ht="15" hidden="false" customHeight="false" outlineLevel="0" collapsed="false">
      <c r="A177" s="0" t="n">
        <v>176</v>
      </c>
      <c r="B177" s="18" t="n">
        <v>616848.12339446</v>
      </c>
      <c r="C177" s="18" t="n">
        <v>0</v>
      </c>
      <c r="D177" s="0" t="n">
        <v>0</v>
      </c>
      <c r="E177" s="19" t="n">
        <v>39.6666666666667</v>
      </c>
    </row>
    <row r="178" customFormat="false" ht="15" hidden="false" customHeight="false" outlineLevel="0" collapsed="false">
      <c r="A178" s="0" t="n">
        <v>177</v>
      </c>
      <c r="B178" s="18" t="n">
        <v>1409040.67201059</v>
      </c>
      <c r="C178" s="18" t="n">
        <v>0</v>
      </c>
      <c r="D178" s="0" t="n">
        <v>0</v>
      </c>
      <c r="E178" s="19" t="n">
        <v>41.75</v>
      </c>
    </row>
    <row r="179" customFormat="false" ht="15" hidden="false" customHeight="false" outlineLevel="0" collapsed="false">
      <c r="A179" s="0" t="n">
        <v>178</v>
      </c>
      <c r="B179" s="18" t="n">
        <v>1769187.19974243</v>
      </c>
      <c r="C179" s="18" t="n">
        <v>14828846.2639338</v>
      </c>
      <c r="D179" s="0" t="n">
        <v>1</v>
      </c>
    </row>
    <row r="180" customFormat="false" ht="15" hidden="false" customHeight="false" outlineLevel="0" collapsed="false">
      <c r="A180" s="0" t="n">
        <v>179</v>
      </c>
      <c r="B180" s="18" t="n">
        <v>446626.262377723</v>
      </c>
      <c r="C180" s="18" t="n">
        <v>0</v>
      </c>
      <c r="D180" s="0" t="n">
        <v>0</v>
      </c>
      <c r="E180" s="19" t="n">
        <v>32.5833333333333</v>
      </c>
    </row>
    <row r="181" customFormat="false" ht="15" hidden="false" customHeight="false" outlineLevel="0" collapsed="false">
      <c r="A181" s="0" t="n">
        <v>180</v>
      </c>
      <c r="B181" s="18" t="n">
        <v>777547.25473813</v>
      </c>
      <c r="C181" s="18" t="n">
        <v>2550803.77848646</v>
      </c>
      <c r="D181" s="0" t="n">
        <v>1</v>
      </c>
    </row>
    <row r="182" customFormat="false" ht="15" hidden="false" customHeight="false" outlineLevel="0" collapsed="false">
      <c r="A182" s="0" t="n">
        <v>181</v>
      </c>
      <c r="B182" s="18" t="n">
        <v>1083827.5842306</v>
      </c>
      <c r="C182" s="18" t="n">
        <v>0</v>
      </c>
      <c r="D182" s="0" t="n">
        <v>0</v>
      </c>
      <c r="E182" s="19" t="n">
        <v>43.5833333333333</v>
      </c>
    </row>
    <row r="183" customFormat="false" ht="15" hidden="false" customHeight="false" outlineLevel="0" collapsed="false">
      <c r="A183" s="0" t="n">
        <v>182</v>
      </c>
      <c r="B183" s="18" t="n">
        <v>1182946.84849718</v>
      </c>
      <c r="C183" s="18" t="n">
        <v>0</v>
      </c>
      <c r="D183" s="0" t="n">
        <v>0</v>
      </c>
      <c r="E183" s="19" t="n">
        <v>51.8333333333333</v>
      </c>
    </row>
    <row r="184" customFormat="false" ht="15" hidden="false" customHeight="false" outlineLevel="0" collapsed="false">
      <c r="A184" s="0" t="n">
        <v>183</v>
      </c>
      <c r="B184" s="18" t="n">
        <v>2140190.65568601</v>
      </c>
      <c r="C184" s="18" t="n">
        <v>1134542.18291752</v>
      </c>
      <c r="D184" s="0" t="n">
        <v>1</v>
      </c>
    </row>
    <row r="185" customFormat="false" ht="15" hidden="false" customHeight="false" outlineLevel="0" collapsed="false">
      <c r="A185" s="0" t="n">
        <v>184</v>
      </c>
      <c r="B185" s="18" t="n">
        <v>1749442.666991</v>
      </c>
      <c r="C185" s="18" t="n">
        <v>2844886.94530125</v>
      </c>
      <c r="D185" s="0" t="n">
        <v>1</v>
      </c>
    </row>
    <row r="186" customFormat="false" ht="15" hidden="false" customHeight="false" outlineLevel="0" collapsed="false">
      <c r="A186" s="0" t="n">
        <v>185</v>
      </c>
      <c r="B186" s="18" t="n">
        <v>1290182.05803922</v>
      </c>
      <c r="C186" s="18" t="n">
        <v>0</v>
      </c>
      <c r="D186" s="0" t="n">
        <v>0</v>
      </c>
      <c r="E186" s="19" t="n">
        <v>40.0833333333333</v>
      </c>
    </row>
    <row r="187" customFormat="false" ht="15" hidden="false" customHeight="false" outlineLevel="0" collapsed="false">
      <c r="A187" s="0" t="n">
        <v>186</v>
      </c>
      <c r="B187" s="18" t="n">
        <v>1340024.35450124</v>
      </c>
      <c r="C187" s="18" t="n">
        <v>0</v>
      </c>
      <c r="D187" s="0" t="n">
        <v>0</v>
      </c>
      <c r="E187" s="19" t="n">
        <v>53.3333333333333</v>
      </c>
    </row>
    <row r="188" customFormat="false" ht="15" hidden="false" customHeight="false" outlineLevel="0" collapsed="false">
      <c r="A188" s="0" t="n">
        <v>187</v>
      </c>
      <c r="B188" s="18" t="n">
        <v>711305.514225353</v>
      </c>
      <c r="C188" s="18" t="n">
        <v>0</v>
      </c>
      <c r="D188" s="0" t="n">
        <v>0</v>
      </c>
      <c r="E188" s="19" t="n">
        <v>53.3333333333333</v>
      </c>
    </row>
    <row r="189" customFormat="false" ht="15" hidden="false" customHeight="false" outlineLevel="0" collapsed="false">
      <c r="A189" s="0" t="n">
        <v>188</v>
      </c>
      <c r="B189" s="18" t="n">
        <v>1074338.61243476</v>
      </c>
      <c r="C189" s="18" t="n">
        <v>5036199.43071785</v>
      </c>
      <c r="D189" s="0" t="n">
        <v>1</v>
      </c>
    </row>
    <row r="190" customFormat="false" ht="15" hidden="false" customHeight="false" outlineLevel="0" collapsed="false">
      <c r="A190" s="0" t="n">
        <v>189</v>
      </c>
      <c r="B190" s="18" t="n">
        <v>2266869.28621924</v>
      </c>
      <c r="C190" s="18" t="n">
        <v>32289645.0133656</v>
      </c>
      <c r="D190" s="0" t="n">
        <v>1</v>
      </c>
    </row>
    <row r="191" customFormat="false" ht="15" hidden="false" customHeight="false" outlineLevel="0" collapsed="false">
      <c r="A191" s="0" t="n">
        <v>190</v>
      </c>
      <c r="B191" s="18" t="n">
        <v>789381.500468758</v>
      </c>
      <c r="C191" s="18" t="n">
        <v>0</v>
      </c>
      <c r="D191" s="0" t="n">
        <v>0</v>
      </c>
      <c r="E191" s="19" t="n">
        <v>38.5833333333333</v>
      </c>
    </row>
    <row r="192" customFormat="false" ht="15" hidden="false" customHeight="false" outlineLevel="0" collapsed="false">
      <c r="A192" s="0" t="n">
        <v>191</v>
      </c>
      <c r="B192" s="18" t="n">
        <v>779483.122115937</v>
      </c>
      <c r="C192" s="18" t="n">
        <v>0</v>
      </c>
      <c r="D192" s="0" t="n">
        <v>0</v>
      </c>
      <c r="E192" s="19" t="n">
        <v>43.0833333333333</v>
      </c>
    </row>
    <row r="193" customFormat="false" ht="15" hidden="false" customHeight="false" outlineLevel="0" collapsed="false">
      <c r="A193" s="0" t="n">
        <v>192</v>
      </c>
      <c r="B193" s="18" t="n">
        <v>1639164.90840935</v>
      </c>
      <c r="C193" s="18" t="n">
        <v>4284135.09757581</v>
      </c>
      <c r="D193" s="0" t="n">
        <v>1</v>
      </c>
    </row>
    <row r="194" customFormat="false" ht="15" hidden="false" customHeight="false" outlineLevel="0" collapsed="false">
      <c r="A194" s="0" t="n">
        <v>193</v>
      </c>
      <c r="B194" s="18" t="n">
        <v>2562241.72448366</v>
      </c>
      <c r="C194" s="18" t="n">
        <v>3725668.59404458</v>
      </c>
      <c r="D194" s="0" t="n">
        <v>1</v>
      </c>
    </row>
    <row r="195" customFormat="false" ht="15" hidden="false" customHeight="false" outlineLevel="0" collapsed="false">
      <c r="A195" s="0" t="n">
        <v>194</v>
      </c>
      <c r="B195" s="18" t="n">
        <v>662785.56185242</v>
      </c>
      <c r="C195" s="18" t="n">
        <v>0</v>
      </c>
      <c r="D195" s="0" t="n">
        <v>0</v>
      </c>
      <c r="E195" s="19" t="n">
        <v>35.1666666666667</v>
      </c>
    </row>
    <row r="196" customFormat="false" ht="15" hidden="false" customHeight="false" outlineLevel="0" collapsed="false">
      <c r="A196" s="0" t="n">
        <v>195</v>
      </c>
      <c r="B196" s="18" t="n">
        <v>409432.547891397</v>
      </c>
      <c r="C196" s="18" t="n">
        <v>0</v>
      </c>
      <c r="D196" s="0" t="n">
        <v>0</v>
      </c>
      <c r="E196" s="19" t="n">
        <v>32.0833333333333</v>
      </c>
    </row>
    <row r="197" customFormat="false" ht="15" hidden="false" customHeight="false" outlineLevel="0" collapsed="false">
      <c r="A197" s="0" t="n">
        <v>196</v>
      </c>
      <c r="B197" s="18" t="n">
        <v>197598.677587737</v>
      </c>
      <c r="C197" s="18" t="n">
        <v>0</v>
      </c>
      <c r="D197" s="0" t="n">
        <v>0</v>
      </c>
      <c r="E197" s="19" t="n">
        <v>28.3333333333333</v>
      </c>
    </row>
    <row r="198" customFormat="false" ht="15" hidden="false" customHeight="false" outlineLevel="0" collapsed="false">
      <c r="A198" s="0" t="n">
        <v>197</v>
      </c>
      <c r="B198" s="18" t="n">
        <v>990372.910008307</v>
      </c>
      <c r="C198" s="18" t="n">
        <v>0</v>
      </c>
      <c r="D198" s="0" t="n">
        <v>0</v>
      </c>
      <c r="E198" s="19" t="n">
        <v>41.8333333333333</v>
      </c>
    </row>
    <row r="199" customFormat="false" ht="15" hidden="false" customHeight="false" outlineLevel="0" collapsed="false">
      <c r="A199" s="0" t="n">
        <v>198</v>
      </c>
      <c r="B199" s="18" t="n">
        <v>1269670.53795056</v>
      </c>
      <c r="C199" s="18" t="n">
        <v>22043226.9033165</v>
      </c>
      <c r="D199" s="0" t="n">
        <v>1</v>
      </c>
    </row>
    <row r="200" customFormat="false" ht="15" hidden="false" customHeight="false" outlineLevel="0" collapsed="false">
      <c r="A200" s="0" t="n">
        <v>199</v>
      </c>
      <c r="B200" s="18" t="n">
        <v>1473228.88020071</v>
      </c>
      <c r="C200" s="18" t="n">
        <v>664546.077767282</v>
      </c>
      <c r="D200" s="0" t="n">
        <v>1</v>
      </c>
    </row>
    <row r="201" customFormat="false" ht="15" hidden="false" customHeight="false" outlineLevel="0" collapsed="false">
      <c r="A201" s="0" t="n">
        <v>200</v>
      </c>
      <c r="B201" s="18" t="n">
        <v>725924.341820735</v>
      </c>
      <c r="C201" s="18" t="n">
        <v>0</v>
      </c>
      <c r="D201" s="0" t="n">
        <v>0</v>
      </c>
      <c r="E201" s="19" t="n">
        <v>36.5</v>
      </c>
    </row>
    <row r="202" customFormat="false" ht="15" hidden="false" customHeight="false" outlineLevel="0" collapsed="false">
      <c r="A202" s="0" t="n">
        <v>201</v>
      </c>
      <c r="B202" s="18" t="n">
        <v>621045.708942232</v>
      </c>
      <c r="C202" s="18" t="n">
        <v>0</v>
      </c>
      <c r="D202" s="0" t="n">
        <v>0</v>
      </c>
      <c r="E202" s="19" t="n">
        <v>44</v>
      </c>
    </row>
    <row r="203" customFormat="false" ht="15" hidden="false" customHeight="false" outlineLevel="0" collapsed="false">
      <c r="A203" s="0" t="n">
        <v>202</v>
      </c>
      <c r="B203" s="18" t="n">
        <v>406037.39168639</v>
      </c>
      <c r="C203" s="18" t="n">
        <v>0</v>
      </c>
      <c r="D203" s="0" t="n">
        <v>0</v>
      </c>
      <c r="E203" s="19" t="n">
        <v>33.25</v>
      </c>
    </row>
    <row r="204" customFormat="false" ht="15" hidden="false" customHeight="false" outlineLevel="0" collapsed="false">
      <c r="A204" s="0" t="n">
        <v>203</v>
      </c>
      <c r="B204" s="18" t="n">
        <v>522924.63119115</v>
      </c>
      <c r="C204" s="18" t="n">
        <v>0</v>
      </c>
      <c r="D204" s="0" t="n">
        <v>0</v>
      </c>
      <c r="E204" s="19" t="n">
        <v>32.9166666666667</v>
      </c>
    </row>
    <row r="205" customFormat="false" ht="15" hidden="false" customHeight="false" outlineLevel="0" collapsed="false">
      <c r="A205" s="0" t="n">
        <v>204</v>
      </c>
      <c r="B205" s="18" t="n">
        <v>1136894.21143693</v>
      </c>
      <c r="C205" s="18" t="n">
        <v>0</v>
      </c>
      <c r="D205" s="0" t="n">
        <v>0</v>
      </c>
      <c r="E205" s="19" t="n">
        <v>41.1666666666667</v>
      </c>
    </row>
    <row r="206" customFormat="false" ht="15" hidden="false" customHeight="false" outlineLevel="0" collapsed="false">
      <c r="A206" s="0" t="n">
        <v>205</v>
      </c>
      <c r="B206" s="18" t="n">
        <v>434888.573595052</v>
      </c>
      <c r="C206" s="18" t="n">
        <v>0</v>
      </c>
      <c r="D206" s="0" t="n">
        <v>0</v>
      </c>
      <c r="E206" s="19" t="n">
        <v>31.3333333333333</v>
      </c>
    </row>
    <row r="207" customFormat="false" ht="15" hidden="false" customHeight="false" outlineLevel="0" collapsed="false">
      <c r="A207" s="0" t="n">
        <v>206</v>
      </c>
      <c r="B207" s="18" t="n">
        <v>2036811.67581826</v>
      </c>
      <c r="C207" s="18" t="n">
        <v>7259711.57311451</v>
      </c>
      <c r="D207" s="0" t="n">
        <v>1</v>
      </c>
    </row>
    <row r="208" customFormat="false" ht="15" hidden="false" customHeight="false" outlineLevel="0" collapsed="false">
      <c r="A208" s="0" t="n">
        <v>207</v>
      </c>
      <c r="B208" s="18" t="n">
        <v>970223.683525743</v>
      </c>
      <c r="C208" s="18" t="n">
        <v>0</v>
      </c>
      <c r="D208" s="0" t="n">
        <v>0</v>
      </c>
      <c r="E208" s="19" t="n">
        <v>50.75</v>
      </c>
    </row>
    <row r="209" customFormat="false" ht="15" hidden="false" customHeight="false" outlineLevel="0" collapsed="false">
      <c r="A209" s="0" t="n">
        <v>208</v>
      </c>
      <c r="B209" s="18" t="n">
        <v>884950.564590433</v>
      </c>
      <c r="C209" s="18" t="n">
        <v>0</v>
      </c>
      <c r="D209" s="0" t="n">
        <v>0</v>
      </c>
      <c r="E209" s="19" t="n">
        <v>44</v>
      </c>
    </row>
    <row r="210" customFormat="false" ht="15" hidden="false" customHeight="false" outlineLevel="0" collapsed="false">
      <c r="A210" s="0" t="n">
        <v>209</v>
      </c>
      <c r="B210" s="18" t="n">
        <v>599837.690304939</v>
      </c>
      <c r="C210" s="18" t="n">
        <v>3892771.92321322</v>
      </c>
      <c r="D210" s="0" t="n">
        <v>1</v>
      </c>
    </row>
    <row r="211" customFormat="false" ht="15" hidden="false" customHeight="false" outlineLevel="0" collapsed="false">
      <c r="A211" s="0" t="n">
        <v>210</v>
      </c>
      <c r="B211" s="18" t="n">
        <v>674127.440591322</v>
      </c>
      <c r="C211" s="18" t="n">
        <v>0</v>
      </c>
      <c r="D211" s="0" t="n">
        <v>0</v>
      </c>
      <c r="E211" s="19" t="n">
        <v>36.4166666666667</v>
      </c>
    </row>
    <row r="212" customFormat="false" ht="15" hidden="false" customHeight="false" outlineLevel="0" collapsed="false">
      <c r="A212" s="0" t="n">
        <v>211</v>
      </c>
      <c r="B212" s="18" t="n">
        <v>755877.825636904</v>
      </c>
      <c r="C212" s="18" t="n">
        <v>0</v>
      </c>
      <c r="D212" s="0" t="n">
        <v>0</v>
      </c>
      <c r="E212" s="19" t="n">
        <v>35.6666666666667</v>
      </c>
    </row>
    <row r="213" customFormat="false" ht="15" hidden="false" customHeight="false" outlineLevel="0" collapsed="false">
      <c r="A213" s="0" t="n">
        <v>212</v>
      </c>
      <c r="B213" s="18" t="n">
        <v>2079161.61593977</v>
      </c>
      <c r="C213" s="18" t="n">
        <v>390162.178067227</v>
      </c>
      <c r="D213" s="0" t="n">
        <v>1</v>
      </c>
    </row>
    <row r="214" customFormat="false" ht="15" hidden="false" customHeight="false" outlineLevel="0" collapsed="false">
      <c r="A214" s="0" t="n">
        <v>213</v>
      </c>
      <c r="B214" s="18" t="n">
        <v>2184912.4803638</v>
      </c>
      <c r="C214" s="18" t="n">
        <v>8309303.72492526</v>
      </c>
      <c r="D214" s="0" t="n">
        <v>1</v>
      </c>
    </row>
    <row r="215" customFormat="false" ht="15" hidden="false" customHeight="false" outlineLevel="0" collapsed="false">
      <c r="A215" s="0" t="n">
        <v>214</v>
      </c>
      <c r="B215" s="18" t="n">
        <v>593753.787603771</v>
      </c>
      <c r="C215" s="18" t="n">
        <v>0</v>
      </c>
      <c r="D215" s="0" t="n">
        <v>0</v>
      </c>
      <c r="E215" s="19" t="n">
        <v>32.25</v>
      </c>
    </row>
    <row r="216" customFormat="false" ht="15" hidden="false" customHeight="false" outlineLevel="0" collapsed="false">
      <c r="A216" s="0" t="n">
        <v>215</v>
      </c>
      <c r="B216" s="18" t="n">
        <v>747338.524029434</v>
      </c>
      <c r="C216" s="18" t="n">
        <v>0</v>
      </c>
      <c r="D216" s="0" t="n">
        <v>0</v>
      </c>
      <c r="E216" s="19" t="n">
        <v>50.5</v>
      </c>
    </row>
    <row r="217" customFormat="false" ht="15" hidden="false" customHeight="false" outlineLevel="0" collapsed="false">
      <c r="A217" s="0" t="n">
        <v>216</v>
      </c>
      <c r="B217" s="18" t="n">
        <v>1268591.06892781</v>
      </c>
      <c r="C217" s="18" t="n">
        <v>3861793.05809558</v>
      </c>
      <c r="D217" s="0" t="n">
        <v>1</v>
      </c>
    </row>
    <row r="218" customFormat="false" ht="15" hidden="false" customHeight="false" outlineLevel="0" collapsed="false">
      <c r="A218" s="0" t="n">
        <v>217</v>
      </c>
      <c r="B218" s="18" t="n">
        <v>1300177.6124534</v>
      </c>
      <c r="C218" s="18" t="n">
        <v>0</v>
      </c>
      <c r="D218" s="0" t="n">
        <v>0</v>
      </c>
      <c r="E218" s="19" t="n">
        <v>47.1666666666667</v>
      </c>
    </row>
    <row r="219" customFormat="false" ht="15" hidden="false" customHeight="false" outlineLevel="0" collapsed="false">
      <c r="A219" s="0" t="n">
        <v>218</v>
      </c>
      <c r="B219" s="18" t="n">
        <v>2163930.31758871</v>
      </c>
      <c r="C219" s="18" t="n">
        <v>0</v>
      </c>
      <c r="D219" s="0" t="n">
        <v>0</v>
      </c>
      <c r="E219" s="19" t="n">
        <v>52.8333333333333</v>
      </c>
    </row>
    <row r="220" customFormat="false" ht="15" hidden="false" customHeight="false" outlineLevel="0" collapsed="false">
      <c r="A220" s="0" t="n">
        <v>219</v>
      </c>
      <c r="B220" s="18" t="n">
        <v>475790.944199465</v>
      </c>
      <c r="C220" s="18" t="n">
        <v>0</v>
      </c>
      <c r="D220" s="0" t="n">
        <v>0</v>
      </c>
      <c r="E220" s="19" t="n">
        <v>39.4166666666667</v>
      </c>
    </row>
    <row r="221" customFormat="false" ht="15" hidden="false" customHeight="false" outlineLevel="0" collapsed="false">
      <c r="A221" s="0" t="n">
        <v>220</v>
      </c>
      <c r="B221" s="18" t="n">
        <v>556372.425210852</v>
      </c>
      <c r="C221" s="18" t="n">
        <v>0</v>
      </c>
      <c r="D221" s="0" t="n">
        <v>0</v>
      </c>
      <c r="E221" s="19" t="n">
        <v>32.75</v>
      </c>
    </row>
    <row r="222" customFormat="false" ht="15" hidden="false" customHeight="false" outlineLevel="0" collapsed="false">
      <c r="A222" s="0" t="n">
        <v>221</v>
      </c>
      <c r="B222" s="18" t="n">
        <v>525484.856495885</v>
      </c>
      <c r="C222" s="18" t="n">
        <v>0</v>
      </c>
      <c r="D222" s="0" t="n">
        <v>0</v>
      </c>
      <c r="E222" s="19" t="n">
        <v>36.9166666666667</v>
      </c>
    </row>
    <row r="223" customFormat="false" ht="15" hidden="false" customHeight="false" outlineLevel="0" collapsed="false">
      <c r="A223" s="0" t="n">
        <v>222</v>
      </c>
      <c r="B223" s="18" t="n">
        <v>1196781.73006039</v>
      </c>
      <c r="C223" s="18" t="n">
        <v>0</v>
      </c>
      <c r="D223" s="0" t="n">
        <v>0</v>
      </c>
      <c r="E223" s="19" t="n">
        <v>51.25</v>
      </c>
    </row>
    <row r="224" customFormat="false" ht="15" hidden="false" customHeight="false" outlineLevel="0" collapsed="false">
      <c r="A224" s="0" t="n">
        <v>223</v>
      </c>
      <c r="B224" s="18" t="n">
        <v>320237.412559181</v>
      </c>
      <c r="C224" s="18" t="n">
        <v>0</v>
      </c>
      <c r="D224" s="0" t="n">
        <v>0</v>
      </c>
      <c r="E224" s="19" t="n">
        <v>31.0833333333333</v>
      </c>
    </row>
    <row r="225" customFormat="false" ht="15" hidden="false" customHeight="false" outlineLevel="0" collapsed="false">
      <c r="A225" s="0" t="n">
        <v>224</v>
      </c>
      <c r="B225" s="18" t="n">
        <v>463922.730725419</v>
      </c>
      <c r="C225" s="18" t="n">
        <v>0</v>
      </c>
      <c r="D225" s="0" t="n">
        <v>0</v>
      </c>
      <c r="E225" s="19" t="n">
        <v>42.6666666666667</v>
      </c>
    </row>
    <row r="226" customFormat="false" ht="15" hidden="false" customHeight="false" outlineLevel="0" collapsed="false">
      <c r="A226" s="0" t="n">
        <v>225</v>
      </c>
      <c r="B226" s="18" t="n">
        <v>897631.735216458</v>
      </c>
      <c r="C226" s="18" t="n">
        <v>0</v>
      </c>
      <c r="D226" s="0" t="n">
        <v>0</v>
      </c>
      <c r="E226" s="19" t="n">
        <v>37.4166666666667</v>
      </c>
    </row>
    <row r="227" customFormat="false" ht="15" hidden="false" customHeight="false" outlineLevel="0" collapsed="false">
      <c r="A227" s="0" t="n">
        <v>226</v>
      </c>
      <c r="B227" s="18" t="n">
        <v>1901044.22519104</v>
      </c>
      <c r="C227" s="18" t="n">
        <v>0</v>
      </c>
      <c r="D227" s="0" t="n">
        <v>0</v>
      </c>
      <c r="E227" s="19" t="n">
        <v>44.5833333333333</v>
      </c>
    </row>
    <row r="228" customFormat="false" ht="15" hidden="false" customHeight="false" outlineLevel="0" collapsed="false">
      <c r="A228" s="0" t="n">
        <v>227</v>
      </c>
      <c r="B228" s="18" t="n">
        <v>669536.506562203</v>
      </c>
      <c r="C228" s="18" t="n">
        <v>0</v>
      </c>
      <c r="D228" s="0" t="n">
        <v>0</v>
      </c>
      <c r="E228" s="19" t="n">
        <v>42.4166666666667</v>
      </c>
    </row>
    <row r="229" customFormat="false" ht="15" hidden="false" customHeight="false" outlineLevel="0" collapsed="false">
      <c r="A229" s="0" t="n">
        <v>228</v>
      </c>
      <c r="B229" s="18" t="n">
        <v>583228.45528602</v>
      </c>
      <c r="C229" s="18" t="n">
        <v>0</v>
      </c>
      <c r="D229" s="0" t="n">
        <v>0</v>
      </c>
      <c r="E229" s="19" t="n">
        <v>33.3333333333333</v>
      </c>
    </row>
    <row r="230" customFormat="false" ht="15" hidden="false" customHeight="false" outlineLevel="0" collapsed="false">
      <c r="A230" s="0" t="n">
        <v>229</v>
      </c>
      <c r="B230" s="18" t="n">
        <v>280350.579354318</v>
      </c>
      <c r="C230" s="18" t="n">
        <v>0</v>
      </c>
      <c r="D230" s="0" t="n">
        <v>0</v>
      </c>
      <c r="E230" s="19" t="n">
        <v>31.8333333333333</v>
      </c>
    </row>
    <row r="231" customFormat="false" ht="15" hidden="false" customHeight="false" outlineLevel="0" collapsed="false">
      <c r="A231" s="0" t="n">
        <v>230</v>
      </c>
      <c r="B231" s="18" t="n">
        <v>1244158.46807767</v>
      </c>
      <c r="C231" s="18" t="n">
        <v>0</v>
      </c>
      <c r="D231" s="0" t="n">
        <v>0</v>
      </c>
      <c r="E231" s="19" t="n">
        <v>38.25</v>
      </c>
    </row>
    <row r="232" customFormat="false" ht="15" hidden="false" customHeight="false" outlineLevel="0" collapsed="false">
      <c r="A232" s="0" t="n">
        <v>231</v>
      </c>
      <c r="B232" s="18" t="n">
        <v>881945.305350745</v>
      </c>
      <c r="C232" s="18" t="n">
        <v>0</v>
      </c>
      <c r="D232" s="0" t="n">
        <v>0</v>
      </c>
      <c r="E232" s="19" t="n">
        <v>42.5833333333333</v>
      </c>
    </row>
    <row r="233" customFormat="false" ht="15" hidden="false" customHeight="false" outlineLevel="0" collapsed="false">
      <c r="A233" s="0" t="n">
        <v>232</v>
      </c>
      <c r="B233" s="18" t="n">
        <v>2448179.46278611</v>
      </c>
      <c r="C233" s="18" t="n">
        <v>15399342.8716563</v>
      </c>
      <c r="D233" s="0" t="n">
        <v>1</v>
      </c>
    </row>
    <row r="234" customFormat="false" ht="15" hidden="false" customHeight="false" outlineLevel="0" collapsed="false">
      <c r="A234" s="0" t="n">
        <v>233</v>
      </c>
      <c r="B234" s="18" t="n">
        <v>905717.57497574</v>
      </c>
      <c r="C234" s="18" t="n">
        <v>0</v>
      </c>
      <c r="D234" s="0" t="n">
        <v>0</v>
      </c>
      <c r="E234" s="19" t="n">
        <v>43</v>
      </c>
    </row>
    <row r="235" customFormat="false" ht="15" hidden="false" customHeight="false" outlineLevel="0" collapsed="false">
      <c r="A235" s="0" t="n">
        <v>234</v>
      </c>
      <c r="B235" s="18" t="n">
        <v>2423974.68774465</v>
      </c>
      <c r="C235" s="18" t="n">
        <v>6188373.95529113</v>
      </c>
      <c r="D235" s="0" t="n">
        <v>1</v>
      </c>
    </row>
    <row r="236" customFormat="false" ht="15" hidden="false" customHeight="false" outlineLevel="0" collapsed="false">
      <c r="A236" s="0" t="n">
        <v>235</v>
      </c>
      <c r="B236" s="18" t="n">
        <v>670706.69546087</v>
      </c>
      <c r="C236" s="18" t="n">
        <v>0</v>
      </c>
      <c r="D236" s="0" t="n">
        <v>0</v>
      </c>
      <c r="E236" s="19" t="n">
        <v>41.1666666666667</v>
      </c>
    </row>
    <row r="237" customFormat="false" ht="15" hidden="false" customHeight="false" outlineLevel="0" collapsed="false">
      <c r="A237" s="0" t="n">
        <v>236</v>
      </c>
      <c r="B237" s="18" t="n">
        <v>760629.137907194</v>
      </c>
      <c r="C237" s="18" t="n">
        <v>142616.585205597</v>
      </c>
      <c r="D237" s="0" t="n">
        <v>1</v>
      </c>
    </row>
    <row r="238" customFormat="false" ht="15" hidden="false" customHeight="false" outlineLevel="0" collapsed="false">
      <c r="A238" s="0" t="n">
        <v>237</v>
      </c>
      <c r="B238" s="18" t="n">
        <v>2283707.39568717</v>
      </c>
      <c r="C238" s="18" t="n">
        <v>0</v>
      </c>
      <c r="D238" s="0" t="n">
        <v>0</v>
      </c>
      <c r="E238" s="19" t="n">
        <v>50.8333333333333</v>
      </c>
    </row>
    <row r="239" customFormat="false" ht="15" hidden="false" customHeight="false" outlineLevel="0" collapsed="false">
      <c r="A239" s="0" t="n">
        <v>238</v>
      </c>
      <c r="B239" s="18" t="n">
        <v>2379726.41800137</v>
      </c>
      <c r="C239" s="18" t="n">
        <v>388470.640733777</v>
      </c>
      <c r="D239" s="0" t="n">
        <v>1</v>
      </c>
    </row>
    <row r="240" customFormat="false" ht="15" hidden="false" customHeight="false" outlineLevel="0" collapsed="false">
      <c r="A240" s="0" t="n">
        <v>239</v>
      </c>
      <c r="B240" s="18" t="n">
        <v>705784.451072677</v>
      </c>
      <c r="C240" s="18" t="n">
        <v>0</v>
      </c>
      <c r="D240" s="0" t="n">
        <v>0</v>
      </c>
      <c r="E240" s="19" t="n">
        <v>41.5</v>
      </c>
    </row>
    <row r="241" customFormat="false" ht="15" hidden="false" customHeight="false" outlineLevel="0" collapsed="false">
      <c r="A241" s="0" t="n">
        <v>240</v>
      </c>
      <c r="B241" s="18" t="n">
        <v>784917.252950141</v>
      </c>
      <c r="C241" s="18" t="n">
        <v>0</v>
      </c>
      <c r="D241" s="0" t="n">
        <v>0</v>
      </c>
      <c r="E241" s="19" t="n">
        <v>37.8333333333333</v>
      </c>
    </row>
    <row r="242" customFormat="false" ht="15" hidden="false" customHeight="false" outlineLevel="0" collapsed="false">
      <c r="A242" s="0" t="n">
        <v>241</v>
      </c>
      <c r="B242" s="18" t="n">
        <v>727973.214772419</v>
      </c>
      <c r="C242" s="18" t="n">
        <v>0</v>
      </c>
      <c r="D242" s="0" t="n">
        <v>0</v>
      </c>
      <c r="E242" s="19" t="n">
        <v>36.1666666666667</v>
      </c>
    </row>
    <row r="243" customFormat="false" ht="15" hidden="false" customHeight="false" outlineLevel="0" collapsed="false">
      <c r="A243" s="0" t="n">
        <v>242</v>
      </c>
      <c r="B243" s="18" t="n">
        <v>777096.15867063</v>
      </c>
      <c r="C243" s="18" t="n">
        <v>0</v>
      </c>
      <c r="D243" s="0" t="n">
        <v>0</v>
      </c>
      <c r="E243" s="19" t="n">
        <v>37.75</v>
      </c>
    </row>
    <row r="244" customFormat="false" ht="15" hidden="false" customHeight="false" outlineLevel="0" collapsed="false">
      <c r="A244" s="0" t="n">
        <v>243</v>
      </c>
      <c r="B244" s="18" t="n">
        <v>667877.009026052</v>
      </c>
      <c r="C244" s="18" t="n">
        <v>0</v>
      </c>
      <c r="D244" s="0" t="n">
        <v>0</v>
      </c>
      <c r="E244" s="19" t="n">
        <v>49.9166666666667</v>
      </c>
    </row>
    <row r="245" customFormat="false" ht="15" hidden="false" customHeight="false" outlineLevel="0" collapsed="false">
      <c r="A245" s="0" t="n">
        <v>244</v>
      </c>
      <c r="B245" s="18" t="n">
        <v>3374749.25465321</v>
      </c>
      <c r="C245" s="18" t="n">
        <v>15863776.7202846</v>
      </c>
      <c r="D245" s="0" t="n">
        <v>1</v>
      </c>
    </row>
    <row r="246" customFormat="false" ht="15" hidden="false" customHeight="false" outlineLevel="0" collapsed="false">
      <c r="A246" s="0" t="n">
        <v>245</v>
      </c>
      <c r="B246" s="18" t="n">
        <v>747606.422427358</v>
      </c>
      <c r="C246" s="18" t="n">
        <v>0</v>
      </c>
      <c r="D246" s="0" t="n">
        <v>0</v>
      </c>
      <c r="E246" s="19" t="n">
        <v>38.5833333333333</v>
      </c>
    </row>
    <row r="247" customFormat="false" ht="15" hidden="false" customHeight="false" outlineLevel="0" collapsed="false">
      <c r="A247" s="0" t="n">
        <v>246</v>
      </c>
      <c r="B247" s="18" t="n">
        <v>234560.107819301</v>
      </c>
      <c r="C247" s="18" t="n">
        <v>0</v>
      </c>
      <c r="D247" s="0" t="n">
        <v>0</v>
      </c>
      <c r="E247" s="19" t="n">
        <v>30.0833333333333</v>
      </c>
    </row>
    <row r="248" customFormat="false" ht="15" hidden="false" customHeight="false" outlineLevel="0" collapsed="false">
      <c r="A248" s="0" t="n">
        <v>247</v>
      </c>
      <c r="B248" s="18" t="n">
        <v>628776.603542897</v>
      </c>
      <c r="C248" s="18" t="n">
        <v>0</v>
      </c>
      <c r="D248" s="0" t="n">
        <v>0</v>
      </c>
      <c r="E248" s="19" t="n">
        <v>37.3333333333333</v>
      </c>
    </row>
    <row r="249" customFormat="false" ht="15" hidden="false" customHeight="false" outlineLevel="0" collapsed="false">
      <c r="A249" s="0" t="n">
        <v>248</v>
      </c>
      <c r="B249" s="18" t="n">
        <v>2216641.78292778</v>
      </c>
      <c r="C249" s="18" t="n">
        <v>8885715.26366068</v>
      </c>
      <c r="D249" s="0" t="n">
        <v>1</v>
      </c>
    </row>
    <row r="250" customFormat="false" ht="15" hidden="false" customHeight="false" outlineLevel="0" collapsed="false">
      <c r="A250" s="0" t="n">
        <v>249</v>
      </c>
      <c r="B250" s="18" t="n">
        <v>397189.281966656</v>
      </c>
      <c r="C250" s="18" t="n">
        <v>0</v>
      </c>
      <c r="D250" s="0" t="n">
        <v>0</v>
      </c>
      <c r="E250" s="19" t="n">
        <v>32.9166666666667</v>
      </c>
    </row>
    <row r="251" customFormat="false" ht="15" hidden="false" customHeight="false" outlineLevel="0" collapsed="false">
      <c r="A251" s="0" t="n">
        <v>250</v>
      </c>
      <c r="B251" s="18" t="n">
        <v>972774.31548016</v>
      </c>
      <c r="C251" s="18" t="n">
        <v>6177577.55490203</v>
      </c>
      <c r="D251" s="0" t="n">
        <v>1</v>
      </c>
    </row>
    <row r="252" customFormat="false" ht="15" hidden="false" customHeight="false" outlineLevel="0" collapsed="false">
      <c r="A252" s="0" t="n">
        <v>251</v>
      </c>
      <c r="B252" s="18" t="n">
        <v>757207.129547024</v>
      </c>
      <c r="C252" s="18" t="n">
        <v>0</v>
      </c>
      <c r="D252" s="0" t="n">
        <v>0</v>
      </c>
      <c r="E252" s="19" t="n">
        <v>40.0833333333333</v>
      </c>
    </row>
    <row r="253" customFormat="false" ht="15" hidden="false" customHeight="false" outlineLevel="0" collapsed="false">
      <c r="A253" s="0" t="n">
        <v>252</v>
      </c>
      <c r="B253" s="18" t="n">
        <v>1679912.33956105</v>
      </c>
      <c r="C253" s="18" t="n">
        <v>0</v>
      </c>
      <c r="D253" s="0" t="n">
        <v>0</v>
      </c>
      <c r="E253" s="19" t="n">
        <v>45.4166666666667</v>
      </c>
    </row>
    <row r="254" customFormat="false" ht="15" hidden="false" customHeight="false" outlineLevel="0" collapsed="false">
      <c r="A254" s="0" t="n">
        <v>253</v>
      </c>
      <c r="B254" s="18" t="n">
        <v>610701.980144657</v>
      </c>
      <c r="C254" s="18" t="n">
        <v>0</v>
      </c>
      <c r="D254" s="0" t="n">
        <v>0</v>
      </c>
      <c r="E254" s="19" t="n">
        <v>35.75</v>
      </c>
    </row>
    <row r="255" customFormat="false" ht="15" hidden="false" customHeight="false" outlineLevel="0" collapsed="false">
      <c r="A255" s="0" t="n">
        <v>254</v>
      </c>
      <c r="B255" s="18" t="n">
        <v>934546.569480147</v>
      </c>
      <c r="C255" s="18" t="n">
        <v>0</v>
      </c>
      <c r="D255" s="0" t="n">
        <v>0</v>
      </c>
      <c r="E255" s="19" t="n">
        <v>36.8333333333333</v>
      </c>
    </row>
    <row r="256" customFormat="false" ht="15" hidden="false" customHeight="false" outlineLevel="0" collapsed="false">
      <c r="A256" s="0" t="n">
        <v>255</v>
      </c>
      <c r="B256" s="18" t="n">
        <v>721927.846268142</v>
      </c>
      <c r="C256" s="18" t="n">
        <v>0</v>
      </c>
      <c r="D256" s="0" t="n">
        <v>0</v>
      </c>
      <c r="E256" s="19" t="n">
        <v>44.8333333333333</v>
      </c>
    </row>
    <row r="257" customFormat="false" ht="15" hidden="false" customHeight="false" outlineLevel="0" collapsed="false">
      <c r="A257" s="0" t="n">
        <v>256</v>
      </c>
      <c r="B257" s="18" t="n">
        <v>694370.25139046</v>
      </c>
      <c r="C257" s="18" t="n">
        <v>0</v>
      </c>
      <c r="D257" s="0" t="n">
        <v>0</v>
      </c>
      <c r="E257" s="19" t="n">
        <v>35.8333333333333</v>
      </c>
    </row>
    <row r="258" customFormat="false" ht="15" hidden="false" customHeight="false" outlineLevel="0" collapsed="false">
      <c r="A258" s="0" t="n">
        <v>257</v>
      </c>
      <c r="B258" s="18" t="n">
        <v>468275.582707239</v>
      </c>
      <c r="C258" s="18" t="n">
        <v>2103190.50157547</v>
      </c>
      <c r="D258" s="0" t="n">
        <v>1</v>
      </c>
    </row>
    <row r="259" customFormat="false" ht="15" hidden="false" customHeight="false" outlineLevel="0" collapsed="false">
      <c r="A259" s="0" t="n">
        <v>258</v>
      </c>
      <c r="B259" s="18" t="n">
        <v>845871.515557937</v>
      </c>
      <c r="C259" s="18" t="n">
        <v>0</v>
      </c>
      <c r="D259" s="0" t="n">
        <v>0</v>
      </c>
      <c r="E259" s="19" t="n">
        <v>39.5</v>
      </c>
    </row>
    <row r="260" customFormat="false" ht="15" hidden="false" customHeight="false" outlineLevel="0" collapsed="false">
      <c r="A260" s="0" t="n">
        <v>259</v>
      </c>
      <c r="B260" s="18" t="n">
        <v>521583.115363919</v>
      </c>
      <c r="C260" s="18" t="n">
        <v>0</v>
      </c>
      <c r="D260" s="0" t="n">
        <v>0</v>
      </c>
      <c r="E260" s="19" t="n">
        <v>46.3333333333333</v>
      </c>
    </row>
    <row r="261" customFormat="false" ht="15" hidden="false" customHeight="false" outlineLevel="0" collapsed="false">
      <c r="A261" s="0" t="n">
        <v>260</v>
      </c>
      <c r="B261" s="18" t="n">
        <v>763627.108928212</v>
      </c>
      <c r="C261" s="18" t="n">
        <v>0</v>
      </c>
      <c r="D261" s="0" t="n">
        <v>0</v>
      </c>
      <c r="E261" s="19" t="n">
        <v>51.3333333333333</v>
      </c>
    </row>
    <row r="262" customFormat="false" ht="15" hidden="false" customHeight="false" outlineLevel="0" collapsed="false">
      <c r="A262" s="0" t="n">
        <v>261</v>
      </c>
      <c r="B262" s="18" t="n">
        <v>1133620.13338894</v>
      </c>
      <c r="C262" s="18" t="n">
        <v>7361302.56213665</v>
      </c>
      <c r="D262" s="0" t="n">
        <v>1</v>
      </c>
    </row>
    <row r="263" customFormat="false" ht="15" hidden="false" customHeight="false" outlineLevel="0" collapsed="false">
      <c r="A263" s="0" t="n">
        <v>262</v>
      </c>
      <c r="B263" s="18" t="n">
        <v>519064.412160086</v>
      </c>
      <c r="C263" s="18" t="n">
        <v>0</v>
      </c>
      <c r="D263" s="0" t="n">
        <v>0</v>
      </c>
      <c r="E263" s="19" t="n">
        <v>40.6666666666667</v>
      </c>
    </row>
    <row r="264" customFormat="false" ht="15" hidden="false" customHeight="false" outlineLevel="0" collapsed="false">
      <c r="A264" s="0" t="n">
        <v>263</v>
      </c>
      <c r="B264" s="18" t="n">
        <v>589322.518171124</v>
      </c>
      <c r="C264" s="18" t="n">
        <v>0</v>
      </c>
      <c r="D264" s="0" t="n">
        <v>0</v>
      </c>
      <c r="E264" s="19" t="n">
        <v>50.5833333333333</v>
      </c>
    </row>
    <row r="265" customFormat="false" ht="15" hidden="false" customHeight="false" outlineLevel="0" collapsed="false">
      <c r="A265" s="0" t="n">
        <v>264</v>
      </c>
      <c r="B265" s="18" t="n">
        <v>491565.367877628</v>
      </c>
      <c r="C265" s="18" t="n">
        <v>0</v>
      </c>
      <c r="D265" s="0" t="n">
        <v>0</v>
      </c>
      <c r="E265" s="19" t="n">
        <v>32.3333333333333</v>
      </c>
    </row>
    <row r="266" customFormat="false" ht="15" hidden="false" customHeight="false" outlineLevel="0" collapsed="false">
      <c r="A266" s="0" t="n">
        <v>265</v>
      </c>
      <c r="B266" s="18" t="n">
        <v>697961.048176916</v>
      </c>
      <c r="C266" s="18" t="n">
        <v>0</v>
      </c>
      <c r="D266" s="0" t="n">
        <v>0</v>
      </c>
      <c r="E266" s="19" t="n">
        <v>38.0833333333333</v>
      </c>
    </row>
    <row r="267" customFormat="false" ht="15" hidden="false" customHeight="false" outlineLevel="0" collapsed="false">
      <c r="A267" s="0" t="n">
        <v>266</v>
      </c>
      <c r="B267" s="18" t="n">
        <v>957612.268679177</v>
      </c>
      <c r="C267" s="18" t="n">
        <v>0</v>
      </c>
      <c r="D267" s="0" t="n">
        <v>0</v>
      </c>
      <c r="E267" s="19" t="n">
        <v>43.3333333333333</v>
      </c>
    </row>
    <row r="268" customFormat="false" ht="15" hidden="false" customHeight="false" outlineLevel="0" collapsed="false">
      <c r="A268" s="0" t="n">
        <v>267</v>
      </c>
      <c r="B268" s="18" t="n">
        <v>722420.580209816</v>
      </c>
      <c r="C268" s="18" t="n">
        <v>0</v>
      </c>
      <c r="D268" s="0" t="n">
        <v>0</v>
      </c>
      <c r="E268" s="19" t="n">
        <v>43.75</v>
      </c>
    </row>
    <row r="269" customFormat="false" ht="15" hidden="false" customHeight="false" outlineLevel="0" collapsed="false">
      <c r="A269" s="0" t="n">
        <v>268</v>
      </c>
      <c r="B269" s="18" t="n">
        <v>1091070.90348499</v>
      </c>
      <c r="C269" s="18" t="n">
        <v>0</v>
      </c>
      <c r="D269" s="0" t="n">
        <v>0</v>
      </c>
      <c r="E269" s="19" t="n">
        <v>45.4166666666667</v>
      </c>
    </row>
    <row r="270" customFormat="false" ht="15" hidden="false" customHeight="false" outlineLevel="0" collapsed="false">
      <c r="A270" s="0" t="n">
        <v>269</v>
      </c>
      <c r="B270" s="18" t="n">
        <v>313938.300423732</v>
      </c>
      <c r="C270" s="18" t="n">
        <v>0</v>
      </c>
      <c r="D270" s="0" t="n">
        <v>0</v>
      </c>
      <c r="E270" s="19" t="n">
        <v>30</v>
      </c>
    </row>
    <row r="271" customFormat="false" ht="15" hidden="false" customHeight="false" outlineLevel="0" collapsed="false">
      <c r="A271" s="0" t="n">
        <v>270</v>
      </c>
      <c r="B271" s="18" t="n">
        <v>1092133.66196297</v>
      </c>
      <c r="C271" s="18" t="n">
        <v>12361031.1307535</v>
      </c>
      <c r="D271" s="0" t="n">
        <v>1</v>
      </c>
    </row>
    <row r="272" customFormat="false" ht="15" hidden="false" customHeight="false" outlineLevel="0" collapsed="false">
      <c r="A272" s="0" t="n">
        <v>271</v>
      </c>
      <c r="B272" s="18" t="n">
        <v>555335.822382534</v>
      </c>
      <c r="C272" s="18" t="n">
        <v>0</v>
      </c>
      <c r="D272" s="0" t="n">
        <v>0</v>
      </c>
      <c r="E272" s="19" t="n">
        <v>39.25</v>
      </c>
    </row>
    <row r="273" customFormat="false" ht="15" hidden="false" customHeight="false" outlineLevel="0" collapsed="false">
      <c r="A273" s="0" t="n">
        <v>272</v>
      </c>
      <c r="B273" s="18" t="n">
        <v>1505068.75516218</v>
      </c>
      <c r="C273" s="18" t="n">
        <v>0</v>
      </c>
      <c r="D273" s="0" t="n">
        <v>0</v>
      </c>
      <c r="E273" s="19" t="n">
        <v>44.75</v>
      </c>
    </row>
    <row r="274" customFormat="false" ht="15" hidden="false" customHeight="false" outlineLevel="0" collapsed="false">
      <c r="A274" s="0" t="n">
        <v>273</v>
      </c>
      <c r="B274" s="18" t="n">
        <v>489475.162031749</v>
      </c>
      <c r="C274" s="18" t="n">
        <v>0</v>
      </c>
      <c r="D274" s="0" t="n">
        <v>0</v>
      </c>
      <c r="E274" s="19" t="n">
        <v>36.5</v>
      </c>
    </row>
    <row r="275" customFormat="false" ht="15" hidden="false" customHeight="false" outlineLevel="0" collapsed="false">
      <c r="A275" s="0" t="n">
        <v>274</v>
      </c>
      <c r="B275" s="18" t="n">
        <v>609638.219304729</v>
      </c>
      <c r="C275" s="18" t="n">
        <v>0</v>
      </c>
      <c r="D275" s="0" t="n">
        <v>0</v>
      </c>
      <c r="E275" s="19" t="n">
        <v>35.75</v>
      </c>
    </row>
    <row r="276" customFormat="false" ht="15" hidden="false" customHeight="false" outlineLevel="0" collapsed="false">
      <c r="A276" s="0" t="n">
        <v>275</v>
      </c>
      <c r="B276" s="18" t="n">
        <v>362566.16195928</v>
      </c>
      <c r="C276" s="18" t="n">
        <v>0</v>
      </c>
      <c r="D276" s="0" t="n">
        <v>0</v>
      </c>
      <c r="E276" s="19" t="n">
        <v>30.75</v>
      </c>
    </row>
    <row r="277" customFormat="false" ht="15" hidden="false" customHeight="false" outlineLevel="0" collapsed="false">
      <c r="A277" s="0" t="n">
        <v>276</v>
      </c>
      <c r="B277" s="18" t="n">
        <v>429243.733697435</v>
      </c>
      <c r="C277" s="18" t="n">
        <v>0</v>
      </c>
      <c r="D277" s="0" t="n">
        <v>0</v>
      </c>
      <c r="E277" s="19" t="n">
        <v>34.25</v>
      </c>
    </row>
    <row r="278" customFormat="false" ht="15" hidden="false" customHeight="false" outlineLevel="0" collapsed="false">
      <c r="A278" s="0" t="n">
        <v>277</v>
      </c>
      <c r="B278" s="18" t="n">
        <v>474048.831779193</v>
      </c>
      <c r="C278" s="18" t="n">
        <v>0</v>
      </c>
      <c r="D278" s="0" t="n">
        <v>0</v>
      </c>
      <c r="E278" s="19" t="n">
        <v>33.9166666666667</v>
      </c>
    </row>
    <row r="279" customFormat="false" ht="15" hidden="false" customHeight="false" outlineLevel="0" collapsed="false">
      <c r="A279" s="0" t="n">
        <v>278</v>
      </c>
      <c r="B279" s="18" t="n">
        <v>1491513.55356332</v>
      </c>
      <c r="C279" s="18" t="n">
        <v>6246173.58128343</v>
      </c>
      <c r="D279" s="0" t="n">
        <v>1</v>
      </c>
    </row>
    <row r="280" customFormat="false" ht="15" hidden="false" customHeight="false" outlineLevel="0" collapsed="false">
      <c r="A280" s="0" t="n">
        <v>279</v>
      </c>
      <c r="B280" s="18" t="n">
        <v>612381.135241972</v>
      </c>
      <c r="C280" s="18" t="n">
        <v>0</v>
      </c>
      <c r="D280" s="0" t="n">
        <v>0</v>
      </c>
      <c r="E280" s="19" t="n">
        <v>37.9166666666667</v>
      </c>
    </row>
    <row r="281" customFormat="false" ht="15" hidden="false" customHeight="false" outlineLevel="0" collapsed="false">
      <c r="A281" s="0" t="n">
        <v>280</v>
      </c>
      <c r="B281" s="18" t="n">
        <v>1694880.00967315</v>
      </c>
      <c r="C281" s="18" t="n">
        <v>0</v>
      </c>
      <c r="D281" s="0" t="n">
        <v>0</v>
      </c>
      <c r="E281" s="19" t="n">
        <v>47.8333333333333</v>
      </c>
    </row>
    <row r="282" customFormat="false" ht="15" hidden="false" customHeight="false" outlineLevel="0" collapsed="false">
      <c r="A282" s="0" t="n">
        <v>281</v>
      </c>
      <c r="B282" s="18" t="n">
        <v>452303.902182751</v>
      </c>
      <c r="C282" s="18" t="n">
        <v>0</v>
      </c>
      <c r="D282" s="0" t="n">
        <v>0</v>
      </c>
      <c r="E282" s="19" t="n">
        <v>35.25</v>
      </c>
    </row>
    <row r="283" customFormat="false" ht="15" hidden="false" customHeight="false" outlineLevel="0" collapsed="false">
      <c r="A283" s="0" t="n">
        <v>282</v>
      </c>
      <c r="B283" s="18" t="n">
        <v>982793.467717438</v>
      </c>
      <c r="C283" s="18" t="n">
        <v>0</v>
      </c>
      <c r="D283" s="0" t="n">
        <v>0</v>
      </c>
      <c r="E283" s="19" t="n">
        <v>43.25</v>
      </c>
    </row>
    <row r="284" customFormat="false" ht="15" hidden="false" customHeight="false" outlineLevel="0" collapsed="false">
      <c r="A284" s="0" t="n">
        <v>283</v>
      </c>
      <c r="B284" s="18" t="n">
        <v>2109655.73114939</v>
      </c>
      <c r="C284" s="18" t="n">
        <v>13675772.9511954</v>
      </c>
      <c r="D284" s="0" t="n">
        <v>1</v>
      </c>
    </row>
    <row r="285" customFormat="false" ht="15" hidden="false" customHeight="false" outlineLevel="0" collapsed="false">
      <c r="A285" s="0" t="n">
        <v>284</v>
      </c>
      <c r="B285" s="18" t="n">
        <v>742571.042826608</v>
      </c>
      <c r="C285" s="18" t="n">
        <v>632525.997131403</v>
      </c>
      <c r="D285" s="0" t="n">
        <v>1</v>
      </c>
    </row>
    <row r="286" customFormat="false" ht="15" hidden="false" customHeight="false" outlineLevel="0" collapsed="false">
      <c r="A286" s="0" t="n">
        <v>285</v>
      </c>
      <c r="B286" s="18" t="n">
        <v>367261.439412399</v>
      </c>
      <c r="C286" s="18" t="n">
        <v>0</v>
      </c>
      <c r="D286" s="0" t="n">
        <v>0</v>
      </c>
      <c r="E286" s="19" t="n">
        <v>29.8333333333333</v>
      </c>
    </row>
    <row r="287" customFormat="false" ht="15" hidden="false" customHeight="false" outlineLevel="0" collapsed="false">
      <c r="A287" s="0" t="n">
        <v>286</v>
      </c>
      <c r="B287" s="18" t="n">
        <v>556608.178226775</v>
      </c>
      <c r="C287" s="18" t="n">
        <v>0</v>
      </c>
      <c r="D287" s="0" t="n">
        <v>0</v>
      </c>
      <c r="E287" s="19" t="n">
        <v>32.6666666666667</v>
      </c>
    </row>
    <row r="288" customFormat="false" ht="15" hidden="false" customHeight="false" outlineLevel="0" collapsed="false">
      <c r="A288" s="0" t="n">
        <v>287</v>
      </c>
      <c r="B288" s="18" t="n">
        <v>643736.213819149</v>
      </c>
      <c r="C288" s="18" t="n">
        <v>0</v>
      </c>
      <c r="D288" s="0" t="n">
        <v>0</v>
      </c>
      <c r="E288" s="19" t="n">
        <v>49.1666666666667</v>
      </c>
    </row>
    <row r="289" customFormat="false" ht="15" hidden="false" customHeight="false" outlineLevel="0" collapsed="false">
      <c r="A289" s="0" t="n">
        <v>288</v>
      </c>
      <c r="B289" s="18" t="n">
        <v>1916323.66926389</v>
      </c>
      <c r="C289" s="18" t="n">
        <v>0</v>
      </c>
      <c r="D289" s="0" t="n">
        <v>0</v>
      </c>
      <c r="E289" s="19" t="n">
        <v>46.5</v>
      </c>
    </row>
    <row r="290" customFormat="false" ht="15" hidden="false" customHeight="false" outlineLevel="0" collapsed="false">
      <c r="A290" s="0" t="n">
        <v>289</v>
      </c>
      <c r="B290" s="18" t="n">
        <v>1078877.59851574</v>
      </c>
      <c r="C290" s="18" t="n">
        <v>0</v>
      </c>
      <c r="D290" s="0" t="n">
        <v>0</v>
      </c>
      <c r="E290" s="19" t="n">
        <v>41.75</v>
      </c>
    </row>
    <row r="291" customFormat="false" ht="15" hidden="false" customHeight="false" outlineLevel="0" collapsed="false">
      <c r="A291" s="0" t="n">
        <v>290</v>
      </c>
      <c r="B291" s="18" t="n">
        <v>1068494.02571705</v>
      </c>
      <c r="C291" s="18" t="n">
        <v>0</v>
      </c>
      <c r="D291" s="0" t="n">
        <v>0</v>
      </c>
      <c r="E291" s="19" t="n">
        <v>43.25</v>
      </c>
    </row>
    <row r="292" customFormat="false" ht="15" hidden="false" customHeight="false" outlineLevel="0" collapsed="false">
      <c r="A292" s="0" t="n">
        <v>291</v>
      </c>
      <c r="B292" s="18" t="n">
        <v>393232.942793861</v>
      </c>
      <c r="C292" s="18" t="n">
        <v>0</v>
      </c>
      <c r="D292" s="0" t="n">
        <v>0</v>
      </c>
      <c r="E292" s="19" t="n">
        <v>32.25</v>
      </c>
    </row>
    <row r="293" customFormat="false" ht="15" hidden="false" customHeight="false" outlineLevel="0" collapsed="false">
      <c r="A293" s="0" t="n">
        <v>292</v>
      </c>
      <c r="B293" s="18" t="n">
        <v>611983.212908817</v>
      </c>
      <c r="C293" s="18" t="n">
        <v>0</v>
      </c>
      <c r="D293" s="0" t="n">
        <v>0</v>
      </c>
      <c r="E293" s="19" t="n">
        <v>43.8333333333333</v>
      </c>
    </row>
    <row r="294" customFormat="false" ht="15" hidden="false" customHeight="false" outlineLevel="0" collapsed="false">
      <c r="A294" s="0" t="n">
        <v>293</v>
      </c>
      <c r="B294" s="18" t="n">
        <v>1200898.96720595</v>
      </c>
      <c r="C294" s="18" t="n">
        <v>0</v>
      </c>
      <c r="D294" s="0" t="n">
        <v>0</v>
      </c>
      <c r="E294" s="19" t="n">
        <v>52.6666666666667</v>
      </c>
    </row>
    <row r="295" customFormat="false" ht="15" hidden="false" customHeight="false" outlineLevel="0" collapsed="false">
      <c r="A295" s="0" t="n">
        <v>294</v>
      </c>
      <c r="B295" s="18" t="n">
        <v>2623737.03054902</v>
      </c>
      <c r="C295" s="18" t="n">
        <v>65930280.2833892</v>
      </c>
      <c r="D295" s="0" t="n">
        <v>1</v>
      </c>
    </row>
    <row r="296" customFormat="false" ht="15" hidden="false" customHeight="false" outlineLevel="0" collapsed="false">
      <c r="A296" s="0" t="n">
        <v>295</v>
      </c>
      <c r="B296" s="18" t="n">
        <v>994526.340116113</v>
      </c>
      <c r="C296" s="18" t="n">
        <v>0</v>
      </c>
      <c r="D296" s="0" t="n">
        <v>0</v>
      </c>
      <c r="E296" s="19" t="n">
        <v>46.1666666666667</v>
      </c>
    </row>
    <row r="297" customFormat="false" ht="15" hidden="false" customHeight="false" outlineLevel="0" collapsed="false">
      <c r="A297" s="0" t="n">
        <v>296</v>
      </c>
      <c r="B297" s="18" t="n">
        <v>3882900.40735802</v>
      </c>
      <c r="C297" s="18" t="n">
        <v>38285478.8182548</v>
      </c>
      <c r="D297" s="0" t="n">
        <v>1</v>
      </c>
    </row>
    <row r="298" customFormat="false" ht="15" hidden="false" customHeight="false" outlineLevel="0" collapsed="false">
      <c r="A298" s="0" t="n">
        <v>297</v>
      </c>
      <c r="B298" s="18" t="n">
        <v>909440.751984332</v>
      </c>
      <c r="C298" s="18" t="n">
        <v>0</v>
      </c>
      <c r="D298" s="0" t="n">
        <v>0</v>
      </c>
      <c r="E298" s="19" t="n">
        <v>40.5</v>
      </c>
    </row>
    <row r="299" customFormat="false" ht="15" hidden="false" customHeight="false" outlineLevel="0" collapsed="false">
      <c r="A299" s="0" t="n">
        <v>298</v>
      </c>
      <c r="B299" s="18" t="n">
        <v>1586091.50542328</v>
      </c>
      <c r="C299" s="18" t="n">
        <v>0</v>
      </c>
      <c r="D299" s="0" t="n">
        <v>0</v>
      </c>
      <c r="E299" s="19" t="n">
        <v>50.1666666666667</v>
      </c>
    </row>
    <row r="300" customFormat="false" ht="15" hidden="false" customHeight="false" outlineLevel="0" collapsed="false">
      <c r="A300" s="0" t="n">
        <v>299</v>
      </c>
      <c r="B300" s="18" t="n">
        <v>701757.809258846</v>
      </c>
      <c r="C300" s="18" t="n">
        <v>0</v>
      </c>
      <c r="D300" s="0" t="n">
        <v>0</v>
      </c>
      <c r="E300" s="19" t="n">
        <v>37</v>
      </c>
    </row>
    <row r="301" customFormat="false" ht="15" hidden="false" customHeight="false" outlineLevel="0" collapsed="false">
      <c r="A301" s="0" t="n">
        <v>300</v>
      </c>
      <c r="B301" s="18" t="n">
        <v>958280.848593299</v>
      </c>
      <c r="C301" s="18" t="n">
        <v>0</v>
      </c>
      <c r="D301" s="0" t="n">
        <v>0</v>
      </c>
      <c r="E301" s="19" t="n">
        <v>49.1666666666667</v>
      </c>
    </row>
    <row r="302" customFormat="false" ht="15" hidden="false" customHeight="false" outlineLevel="0" collapsed="false">
      <c r="A302" s="0" t="n">
        <v>301</v>
      </c>
      <c r="B302" s="18" t="n">
        <v>739084.808237342</v>
      </c>
      <c r="C302" s="18" t="n">
        <v>0</v>
      </c>
      <c r="D302" s="0" t="n">
        <v>0</v>
      </c>
      <c r="E302" s="19" t="n">
        <v>39.6666666666667</v>
      </c>
    </row>
    <row r="303" customFormat="false" ht="15" hidden="false" customHeight="false" outlineLevel="0" collapsed="false">
      <c r="A303" s="0" t="n">
        <v>302</v>
      </c>
      <c r="B303" s="18" t="n">
        <v>404662.040334494</v>
      </c>
      <c r="C303" s="18" t="n">
        <v>0</v>
      </c>
      <c r="D303" s="0" t="n">
        <v>0</v>
      </c>
      <c r="E303" s="19" t="n">
        <v>32.3333333333333</v>
      </c>
    </row>
    <row r="304" customFormat="false" ht="15" hidden="false" customHeight="false" outlineLevel="0" collapsed="false">
      <c r="A304" s="0" t="n">
        <v>303</v>
      </c>
      <c r="B304" s="18" t="n">
        <v>1146998.282825</v>
      </c>
      <c r="C304" s="18" t="n">
        <v>1089438.15890922</v>
      </c>
      <c r="D304" s="0" t="n">
        <v>1</v>
      </c>
    </row>
    <row r="305" customFormat="false" ht="15" hidden="false" customHeight="false" outlineLevel="0" collapsed="false">
      <c r="A305" s="0" t="n">
        <v>304</v>
      </c>
      <c r="B305" s="18" t="n">
        <v>456452.512006174</v>
      </c>
      <c r="C305" s="18" t="n">
        <v>0</v>
      </c>
      <c r="D305" s="0" t="n">
        <v>0</v>
      </c>
      <c r="E305" s="19" t="n">
        <v>33</v>
      </c>
    </row>
    <row r="306" customFormat="false" ht="15" hidden="false" customHeight="false" outlineLevel="0" collapsed="false">
      <c r="A306" s="0" t="n">
        <v>305</v>
      </c>
      <c r="B306" s="18" t="n">
        <v>609265.817835079</v>
      </c>
      <c r="C306" s="18" t="n">
        <v>0</v>
      </c>
      <c r="D306" s="0" t="n">
        <v>0</v>
      </c>
      <c r="E306" s="19" t="n">
        <v>34.6666666666667</v>
      </c>
    </row>
    <row r="307" customFormat="false" ht="15" hidden="false" customHeight="false" outlineLevel="0" collapsed="false">
      <c r="A307" s="0" t="n">
        <v>306</v>
      </c>
      <c r="B307" s="18" t="n">
        <v>1676934.03918773</v>
      </c>
      <c r="C307" s="18" t="n">
        <v>420256.953613547</v>
      </c>
      <c r="D307" s="0" t="n">
        <v>1</v>
      </c>
    </row>
    <row r="308" customFormat="false" ht="15" hidden="false" customHeight="false" outlineLevel="0" collapsed="false">
      <c r="A308" s="0" t="n">
        <v>307</v>
      </c>
      <c r="B308" s="18" t="n">
        <v>1688672.57186126</v>
      </c>
      <c r="C308" s="18" t="n">
        <v>8904544.5465416</v>
      </c>
      <c r="D308" s="0" t="n">
        <v>1</v>
      </c>
    </row>
    <row r="309" customFormat="false" ht="15" hidden="false" customHeight="false" outlineLevel="0" collapsed="false">
      <c r="A309" s="0" t="n">
        <v>308</v>
      </c>
      <c r="B309" s="18" t="n">
        <v>755376.045260318</v>
      </c>
      <c r="C309" s="18" t="n">
        <v>0</v>
      </c>
      <c r="D309" s="0" t="n">
        <v>0</v>
      </c>
      <c r="E309" s="19" t="n">
        <v>36.3333333333333</v>
      </c>
    </row>
    <row r="310" customFormat="false" ht="15" hidden="false" customHeight="false" outlineLevel="0" collapsed="false">
      <c r="A310" s="0" t="n">
        <v>309</v>
      </c>
      <c r="B310" s="18" t="n">
        <v>810710.757124523</v>
      </c>
      <c r="C310" s="18" t="n">
        <v>0</v>
      </c>
      <c r="D310" s="0" t="n">
        <v>0</v>
      </c>
      <c r="E310" s="19" t="n">
        <v>36.4166666666667</v>
      </c>
    </row>
    <row r="311" customFormat="false" ht="15" hidden="false" customHeight="false" outlineLevel="0" collapsed="false">
      <c r="A311" s="0" t="n">
        <v>310</v>
      </c>
      <c r="B311" s="18" t="n">
        <v>694225.475658302</v>
      </c>
      <c r="C311" s="18" t="n">
        <v>0</v>
      </c>
      <c r="D311" s="0" t="n">
        <v>0</v>
      </c>
      <c r="E311" s="19" t="n">
        <v>40.5</v>
      </c>
    </row>
    <row r="312" customFormat="false" ht="15" hidden="false" customHeight="false" outlineLevel="0" collapsed="false">
      <c r="A312" s="0" t="n">
        <v>311</v>
      </c>
      <c r="B312" s="18" t="n">
        <v>414170.525766933</v>
      </c>
      <c r="C312" s="18" t="n">
        <v>0</v>
      </c>
      <c r="D312" s="0" t="n">
        <v>0</v>
      </c>
      <c r="E312" s="19" t="n">
        <v>30.3333333333333</v>
      </c>
    </row>
    <row r="313" customFormat="false" ht="15" hidden="false" customHeight="false" outlineLevel="0" collapsed="false">
      <c r="A313" s="0" t="n">
        <v>312</v>
      </c>
      <c r="B313" s="18" t="n">
        <v>699507.953027527</v>
      </c>
      <c r="C313" s="18" t="n">
        <v>0</v>
      </c>
      <c r="D313" s="0" t="n">
        <v>0</v>
      </c>
      <c r="E313" s="19" t="n">
        <v>34.1666666666667</v>
      </c>
    </row>
    <row r="314" customFormat="false" ht="15" hidden="false" customHeight="false" outlineLevel="0" collapsed="false">
      <c r="A314" s="0" t="n">
        <v>313</v>
      </c>
      <c r="B314" s="18" t="n">
        <v>1000116.27194183</v>
      </c>
      <c r="C314" s="18" t="n">
        <v>0</v>
      </c>
      <c r="D314" s="0" t="n">
        <v>0</v>
      </c>
      <c r="E314" s="19" t="n">
        <v>47.5</v>
      </c>
    </row>
    <row r="315" customFormat="false" ht="15" hidden="false" customHeight="false" outlineLevel="0" collapsed="false">
      <c r="A315" s="0" t="n">
        <v>314</v>
      </c>
      <c r="B315" s="18" t="n">
        <v>683445.545683875</v>
      </c>
      <c r="C315" s="18" t="n">
        <v>0</v>
      </c>
      <c r="D315" s="0" t="n">
        <v>0</v>
      </c>
      <c r="E315" s="19" t="n">
        <v>36.6666666666667</v>
      </c>
    </row>
    <row r="316" customFormat="false" ht="15" hidden="false" customHeight="false" outlineLevel="0" collapsed="false">
      <c r="A316" s="0" t="n">
        <v>315</v>
      </c>
      <c r="B316" s="18" t="n">
        <v>742578.718176466</v>
      </c>
      <c r="C316" s="18" t="n">
        <v>0</v>
      </c>
      <c r="D316" s="0" t="n">
        <v>0</v>
      </c>
      <c r="E316" s="19" t="n">
        <v>48.3333333333333</v>
      </c>
    </row>
    <row r="317" customFormat="false" ht="15" hidden="false" customHeight="false" outlineLevel="0" collapsed="false">
      <c r="A317" s="0" t="n">
        <v>316</v>
      </c>
      <c r="B317" s="18" t="n">
        <v>1469088.05731709</v>
      </c>
      <c r="C317" s="18" t="n">
        <v>0</v>
      </c>
      <c r="D317" s="0" t="n">
        <v>0</v>
      </c>
      <c r="E317" s="19" t="n">
        <v>48.25</v>
      </c>
    </row>
    <row r="318" customFormat="false" ht="15" hidden="false" customHeight="false" outlineLevel="0" collapsed="false">
      <c r="A318" s="0" t="n">
        <v>317</v>
      </c>
      <c r="B318" s="18" t="n">
        <v>945809.373497677</v>
      </c>
      <c r="C318" s="18" t="n">
        <v>0</v>
      </c>
      <c r="D318" s="0" t="n">
        <v>0</v>
      </c>
      <c r="E318" s="19" t="n">
        <v>40.0833333333333</v>
      </c>
    </row>
    <row r="319" customFormat="false" ht="15" hidden="false" customHeight="false" outlineLevel="0" collapsed="false">
      <c r="A319" s="0" t="n">
        <v>318</v>
      </c>
      <c r="B319" s="18" t="n">
        <v>602616.789384124</v>
      </c>
      <c r="C319" s="18" t="n">
        <v>0</v>
      </c>
      <c r="D319" s="0" t="n">
        <v>0</v>
      </c>
      <c r="E319" s="19" t="n">
        <v>32.5</v>
      </c>
    </row>
    <row r="320" customFormat="false" ht="15" hidden="false" customHeight="false" outlineLevel="0" collapsed="false">
      <c r="A320" s="0" t="n">
        <v>319</v>
      </c>
      <c r="B320" s="18" t="n">
        <v>1075127.61231389</v>
      </c>
      <c r="C320" s="18" t="n">
        <v>747529.987906731</v>
      </c>
      <c r="D320" s="0" t="n">
        <v>1</v>
      </c>
    </row>
    <row r="321" customFormat="false" ht="15" hidden="false" customHeight="false" outlineLevel="0" collapsed="false">
      <c r="A321" s="0" t="n">
        <v>320</v>
      </c>
      <c r="B321" s="18" t="n">
        <v>2745114.81385656</v>
      </c>
      <c r="C321" s="18" t="n">
        <v>13173749.3680788</v>
      </c>
      <c r="D321" s="0" t="n">
        <v>1</v>
      </c>
    </row>
    <row r="322" customFormat="false" ht="15" hidden="false" customHeight="false" outlineLevel="0" collapsed="false">
      <c r="A322" s="0" t="n">
        <v>321</v>
      </c>
      <c r="B322" s="18" t="n">
        <v>702806.780020321</v>
      </c>
      <c r="C322" s="18" t="n">
        <v>0</v>
      </c>
      <c r="D322" s="0" t="n">
        <v>0</v>
      </c>
      <c r="E322" s="19" t="n">
        <v>46.5833333333333</v>
      </c>
    </row>
    <row r="323" customFormat="false" ht="15" hidden="false" customHeight="false" outlineLevel="0" collapsed="false">
      <c r="A323" s="0" t="n">
        <v>322</v>
      </c>
      <c r="B323" s="18" t="n">
        <v>966522.519201066</v>
      </c>
      <c r="C323" s="18" t="n">
        <v>0</v>
      </c>
      <c r="D323" s="0" t="n">
        <v>0</v>
      </c>
      <c r="E323" s="19" t="n">
        <v>34.5833333333333</v>
      </c>
    </row>
    <row r="324" customFormat="false" ht="15" hidden="false" customHeight="false" outlineLevel="0" collapsed="false">
      <c r="A324" s="0" t="n">
        <v>323</v>
      </c>
      <c r="B324" s="18" t="n">
        <v>1337027.63331249</v>
      </c>
      <c r="C324" s="18" t="n">
        <v>0</v>
      </c>
      <c r="D324" s="0" t="n">
        <v>0</v>
      </c>
      <c r="E324" s="19" t="n">
        <v>42.4166666666667</v>
      </c>
    </row>
    <row r="325" customFormat="false" ht="15" hidden="false" customHeight="false" outlineLevel="0" collapsed="false">
      <c r="A325" s="0" t="n">
        <v>324</v>
      </c>
      <c r="B325" s="18" t="n">
        <v>1545024.54644081</v>
      </c>
      <c r="C325" s="18" t="n">
        <v>1801380.104398</v>
      </c>
      <c r="D325" s="0" t="n">
        <v>1</v>
      </c>
    </row>
    <row r="326" customFormat="false" ht="15" hidden="false" customHeight="false" outlineLevel="0" collapsed="false">
      <c r="A326" s="0" t="n">
        <v>325</v>
      </c>
      <c r="B326" s="18" t="n">
        <v>636240.312114341</v>
      </c>
      <c r="C326" s="18" t="n">
        <v>0</v>
      </c>
      <c r="D326" s="0" t="n">
        <v>0</v>
      </c>
      <c r="E326" s="19" t="n">
        <v>45.6666666666667</v>
      </c>
    </row>
    <row r="327" customFormat="false" ht="15" hidden="false" customHeight="false" outlineLevel="0" collapsed="false">
      <c r="A327" s="0" t="n">
        <v>326</v>
      </c>
      <c r="B327" s="18" t="n">
        <v>1212614.96933626</v>
      </c>
      <c r="C327" s="18" t="n">
        <v>1737825.86321522</v>
      </c>
      <c r="D327" s="0" t="n">
        <v>1</v>
      </c>
    </row>
    <row r="328" customFormat="false" ht="15" hidden="false" customHeight="false" outlineLevel="0" collapsed="false">
      <c r="A328" s="0" t="n">
        <v>327</v>
      </c>
      <c r="B328" s="18" t="n">
        <v>1229143.41671685</v>
      </c>
      <c r="C328" s="18" t="n">
        <v>0</v>
      </c>
      <c r="D328" s="0" t="n">
        <v>0</v>
      </c>
      <c r="E328" s="19" t="n">
        <v>49.9166666666667</v>
      </c>
    </row>
    <row r="329" customFormat="false" ht="15" hidden="false" customHeight="false" outlineLevel="0" collapsed="false">
      <c r="A329" s="0" t="n">
        <v>328</v>
      </c>
      <c r="B329" s="18" t="n">
        <v>875443.278644074</v>
      </c>
      <c r="C329" s="18" t="n">
        <v>0</v>
      </c>
      <c r="D329" s="0" t="n">
        <v>0</v>
      </c>
      <c r="E329" s="19" t="n">
        <v>38.8333333333333</v>
      </c>
    </row>
    <row r="330" customFormat="false" ht="15" hidden="false" customHeight="false" outlineLevel="0" collapsed="false">
      <c r="A330" s="0" t="n">
        <v>329</v>
      </c>
      <c r="B330" s="18" t="n">
        <v>1692003.66938343</v>
      </c>
      <c r="C330" s="18" t="n">
        <v>1914675.97153348</v>
      </c>
      <c r="D330" s="0" t="n">
        <v>1</v>
      </c>
    </row>
    <row r="331" customFormat="false" ht="15" hidden="false" customHeight="false" outlineLevel="0" collapsed="false">
      <c r="A331" s="0" t="n">
        <v>330</v>
      </c>
      <c r="B331" s="18" t="n">
        <v>229064.908293466</v>
      </c>
      <c r="C331" s="18" t="n">
        <v>0</v>
      </c>
      <c r="D331" s="0" t="n">
        <v>0</v>
      </c>
      <c r="E331" s="19" t="n">
        <v>28.75</v>
      </c>
    </row>
    <row r="332" customFormat="false" ht="15" hidden="false" customHeight="false" outlineLevel="0" collapsed="false">
      <c r="A332" s="0" t="n">
        <v>331</v>
      </c>
      <c r="B332" s="18" t="n">
        <v>798737.786380161</v>
      </c>
      <c r="C332" s="18" t="n">
        <v>59260.8337527729</v>
      </c>
      <c r="D332" s="0" t="n">
        <v>1</v>
      </c>
    </row>
    <row r="333" customFormat="false" ht="15" hidden="false" customHeight="false" outlineLevel="0" collapsed="false">
      <c r="A333" s="0" t="n">
        <v>332</v>
      </c>
      <c r="B333" s="18" t="n">
        <v>727364.498234986</v>
      </c>
      <c r="C333" s="18" t="n">
        <v>2162673.34603551</v>
      </c>
      <c r="D333" s="0" t="n">
        <v>1</v>
      </c>
    </row>
    <row r="334" customFormat="false" ht="15" hidden="false" customHeight="false" outlineLevel="0" collapsed="false">
      <c r="A334" s="0" t="n">
        <v>333</v>
      </c>
      <c r="B334" s="18" t="n">
        <v>625676.066286046</v>
      </c>
      <c r="C334" s="18" t="n">
        <v>0</v>
      </c>
      <c r="D334" s="0" t="n">
        <v>0</v>
      </c>
      <c r="E334" s="19" t="n">
        <v>36</v>
      </c>
    </row>
    <row r="335" customFormat="false" ht="15" hidden="false" customHeight="false" outlineLevel="0" collapsed="false">
      <c r="A335" s="0" t="n">
        <v>334</v>
      </c>
      <c r="B335" s="18" t="n">
        <v>746139.756863537</v>
      </c>
      <c r="C335" s="18" t="n">
        <v>0</v>
      </c>
      <c r="D335" s="0" t="n">
        <v>0</v>
      </c>
      <c r="E335" s="19" t="n">
        <v>36</v>
      </c>
    </row>
    <row r="336" customFormat="false" ht="15" hidden="false" customHeight="false" outlineLevel="0" collapsed="false">
      <c r="A336" s="0" t="n">
        <v>335</v>
      </c>
      <c r="B336" s="18" t="n">
        <v>304634.701761401</v>
      </c>
      <c r="C336" s="18" t="n">
        <v>0</v>
      </c>
      <c r="D336" s="0" t="n">
        <v>0</v>
      </c>
      <c r="E336" s="19" t="n">
        <v>33.0833333333333</v>
      </c>
    </row>
    <row r="337" customFormat="false" ht="15" hidden="false" customHeight="false" outlineLevel="0" collapsed="false">
      <c r="A337" s="0" t="n">
        <v>336</v>
      </c>
      <c r="B337" s="18" t="n">
        <v>1316781.02440408</v>
      </c>
      <c r="C337" s="18" t="n">
        <v>0</v>
      </c>
      <c r="D337" s="0" t="n">
        <v>0</v>
      </c>
      <c r="E337" s="19" t="n">
        <v>41.8333333333333</v>
      </c>
    </row>
    <row r="338" customFormat="false" ht="15" hidden="false" customHeight="false" outlineLevel="0" collapsed="false">
      <c r="A338" s="0" t="n">
        <v>337</v>
      </c>
      <c r="B338" s="18" t="n">
        <v>1100935.05449319</v>
      </c>
      <c r="C338" s="18" t="n">
        <v>0</v>
      </c>
      <c r="D338" s="0" t="n">
        <v>0</v>
      </c>
      <c r="E338" s="19" t="n">
        <v>52.5</v>
      </c>
    </row>
    <row r="339" customFormat="false" ht="15" hidden="false" customHeight="false" outlineLevel="0" collapsed="false">
      <c r="A339" s="0" t="n">
        <v>338</v>
      </c>
      <c r="B339" s="18" t="n">
        <v>1522123.1743919</v>
      </c>
      <c r="C339" s="18" t="n">
        <v>6512855.20968938</v>
      </c>
      <c r="D339" s="0" t="n">
        <v>1</v>
      </c>
    </row>
    <row r="340" customFormat="false" ht="15" hidden="false" customHeight="false" outlineLevel="0" collapsed="false">
      <c r="A340" s="0" t="n">
        <v>339</v>
      </c>
      <c r="B340" s="18" t="n">
        <v>928446.825545469</v>
      </c>
      <c r="C340" s="18" t="n">
        <v>0</v>
      </c>
      <c r="D340" s="0" t="n">
        <v>0</v>
      </c>
      <c r="E340" s="19" t="n">
        <v>50.5833333333333</v>
      </c>
    </row>
    <row r="341" customFormat="false" ht="15" hidden="false" customHeight="false" outlineLevel="0" collapsed="false">
      <c r="A341" s="0" t="n">
        <v>340</v>
      </c>
      <c r="B341" s="18" t="n">
        <v>1112668.2743551</v>
      </c>
      <c r="C341" s="18" t="n">
        <v>0</v>
      </c>
      <c r="D341" s="0" t="n">
        <v>0</v>
      </c>
      <c r="E341" s="19" t="n">
        <v>53</v>
      </c>
    </row>
    <row r="342" customFormat="false" ht="15" hidden="false" customHeight="false" outlineLevel="0" collapsed="false">
      <c r="A342" s="0" t="n">
        <v>341</v>
      </c>
      <c r="B342" s="18" t="n">
        <v>1774315.04086517</v>
      </c>
      <c r="C342" s="18" t="n">
        <v>16239274.4698564</v>
      </c>
      <c r="D342" s="0" t="n">
        <v>1</v>
      </c>
    </row>
    <row r="343" customFormat="false" ht="15" hidden="false" customHeight="false" outlineLevel="0" collapsed="false">
      <c r="A343" s="0" t="n">
        <v>342</v>
      </c>
      <c r="B343" s="18" t="n">
        <v>645006.88613255</v>
      </c>
      <c r="C343" s="18" t="n">
        <v>0</v>
      </c>
      <c r="D343" s="0" t="n">
        <v>0</v>
      </c>
      <c r="E343" s="19" t="n">
        <v>35.4166666666667</v>
      </c>
    </row>
    <row r="344" customFormat="false" ht="15" hidden="false" customHeight="false" outlineLevel="0" collapsed="false">
      <c r="A344" s="0" t="n">
        <v>343</v>
      </c>
      <c r="B344" s="18" t="n">
        <v>2129321.38374575</v>
      </c>
      <c r="C344" s="18" t="n">
        <v>54678765.9673453</v>
      </c>
      <c r="D344" s="0" t="n">
        <v>1</v>
      </c>
    </row>
    <row r="345" customFormat="false" ht="15" hidden="false" customHeight="false" outlineLevel="0" collapsed="false">
      <c r="A345" s="0" t="n">
        <v>344</v>
      </c>
      <c r="B345" s="18" t="n">
        <v>1262435.91427445</v>
      </c>
      <c r="C345" s="18" t="n">
        <v>646817.31360808</v>
      </c>
      <c r="D345" s="0" t="n">
        <v>1</v>
      </c>
    </row>
    <row r="346" customFormat="false" ht="15" hidden="false" customHeight="false" outlineLevel="0" collapsed="false">
      <c r="A346" s="0" t="n">
        <v>345</v>
      </c>
      <c r="B346" s="18" t="n">
        <v>705885.124538322</v>
      </c>
      <c r="C346" s="18" t="n">
        <v>0</v>
      </c>
      <c r="D346" s="0" t="n">
        <v>0</v>
      </c>
      <c r="E346" s="19" t="n">
        <v>32.25</v>
      </c>
    </row>
    <row r="347" customFormat="false" ht="15" hidden="false" customHeight="false" outlineLevel="0" collapsed="false">
      <c r="A347" s="0" t="n">
        <v>346</v>
      </c>
      <c r="B347" s="18" t="n">
        <v>771206.149142095</v>
      </c>
      <c r="C347" s="18" t="n">
        <v>0</v>
      </c>
      <c r="D347" s="0" t="n">
        <v>0</v>
      </c>
      <c r="E347" s="19" t="n">
        <v>38.25</v>
      </c>
    </row>
    <row r="348" customFormat="false" ht="15" hidden="false" customHeight="false" outlineLevel="0" collapsed="false">
      <c r="A348" s="0" t="n">
        <v>347</v>
      </c>
      <c r="B348" s="18" t="n">
        <v>173996.690068324</v>
      </c>
      <c r="C348" s="18" t="n">
        <v>0</v>
      </c>
      <c r="D348" s="0" t="n">
        <v>0</v>
      </c>
      <c r="E348" s="19" t="n">
        <v>27.9166666666667</v>
      </c>
    </row>
    <row r="349" customFormat="false" ht="15" hidden="false" customHeight="false" outlineLevel="0" collapsed="false">
      <c r="A349" s="0" t="n">
        <v>348</v>
      </c>
      <c r="B349" s="18" t="n">
        <v>1236134.10941075</v>
      </c>
      <c r="C349" s="18" t="n">
        <v>4027645.90750769</v>
      </c>
      <c r="D349" s="0" t="n">
        <v>1</v>
      </c>
    </row>
    <row r="350" customFormat="false" ht="15" hidden="false" customHeight="false" outlineLevel="0" collapsed="false">
      <c r="A350" s="0" t="n">
        <v>349</v>
      </c>
      <c r="B350" s="18" t="n">
        <v>627345.351783032</v>
      </c>
      <c r="C350" s="18" t="n">
        <v>0</v>
      </c>
      <c r="D350" s="0" t="n">
        <v>0</v>
      </c>
      <c r="E350" s="19" t="n">
        <v>42.9166666666667</v>
      </c>
    </row>
    <row r="351" customFormat="false" ht="15" hidden="false" customHeight="false" outlineLevel="0" collapsed="false">
      <c r="A351" s="0" t="n">
        <v>350</v>
      </c>
      <c r="B351" s="18" t="n">
        <v>892058.336744797</v>
      </c>
      <c r="C351" s="18" t="n">
        <v>122339.627724311</v>
      </c>
      <c r="D351" s="0" t="n">
        <v>1</v>
      </c>
    </row>
    <row r="352" customFormat="false" ht="15" hidden="false" customHeight="false" outlineLevel="0" collapsed="false">
      <c r="A352" s="0" t="n">
        <v>351</v>
      </c>
      <c r="B352" s="18" t="n">
        <v>2676244.82330164</v>
      </c>
      <c r="C352" s="18" t="n">
        <v>2601157.37725611</v>
      </c>
      <c r="D352" s="0" t="n">
        <v>1</v>
      </c>
    </row>
    <row r="353" customFormat="false" ht="15" hidden="false" customHeight="false" outlineLevel="0" collapsed="false">
      <c r="A353" s="0" t="n">
        <v>352</v>
      </c>
      <c r="B353" s="18" t="n">
        <v>988999.847777518</v>
      </c>
      <c r="C353" s="18" t="n">
        <v>1945331.24008665</v>
      </c>
      <c r="D353" s="0" t="n">
        <v>1</v>
      </c>
    </row>
    <row r="354" customFormat="false" ht="15" hidden="false" customHeight="false" outlineLevel="0" collapsed="false">
      <c r="A354" s="0" t="n">
        <v>353</v>
      </c>
      <c r="B354" s="18" t="n">
        <v>669581.220941764</v>
      </c>
      <c r="C354" s="18" t="n">
        <v>0</v>
      </c>
      <c r="D354" s="0" t="n">
        <v>0</v>
      </c>
      <c r="E354" s="19" t="n">
        <v>40.6666666666667</v>
      </c>
    </row>
    <row r="355" customFormat="false" ht="15" hidden="false" customHeight="false" outlineLevel="0" collapsed="false">
      <c r="A355" s="0" t="n">
        <v>354</v>
      </c>
      <c r="B355" s="18" t="n">
        <v>1383735.2722964</v>
      </c>
      <c r="C355" s="18" t="n">
        <v>5887138.15100576</v>
      </c>
      <c r="D355" s="0" t="n">
        <v>1</v>
      </c>
    </row>
    <row r="356" customFormat="false" ht="15" hidden="false" customHeight="false" outlineLevel="0" collapsed="false">
      <c r="A356" s="0" t="n">
        <v>355</v>
      </c>
      <c r="B356" s="18" t="n">
        <v>1882504.44155648</v>
      </c>
      <c r="C356" s="18" t="n">
        <v>6963116.06293204</v>
      </c>
      <c r="D356" s="0" t="n">
        <v>1</v>
      </c>
    </row>
    <row r="357" customFormat="false" ht="15" hidden="false" customHeight="false" outlineLevel="0" collapsed="false">
      <c r="A357" s="0" t="n">
        <v>356</v>
      </c>
      <c r="B357" s="18" t="n">
        <v>1201762.24241534</v>
      </c>
      <c r="C357" s="18" t="n">
        <v>1300053.63348651</v>
      </c>
      <c r="D357" s="0" t="n">
        <v>1</v>
      </c>
    </row>
    <row r="358" customFormat="false" ht="15" hidden="false" customHeight="false" outlineLevel="0" collapsed="false">
      <c r="A358" s="0" t="n">
        <v>357</v>
      </c>
      <c r="B358" s="18" t="n">
        <v>959869.047570055</v>
      </c>
      <c r="C358" s="18" t="n">
        <v>0</v>
      </c>
      <c r="D358" s="0" t="n">
        <v>0</v>
      </c>
      <c r="E358" s="19" t="n">
        <v>37.8333333333333</v>
      </c>
    </row>
    <row r="359" customFormat="false" ht="15" hidden="false" customHeight="false" outlineLevel="0" collapsed="false">
      <c r="A359" s="0" t="n">
        <v>358</v>
      </c>
      <c r="B359" s="18" t="n">
        <v>694978.859686176</v>
      </c>
      <c r="C359" s="18" t="n">
        <v>0</v>
      </c>
      <c r="D359" s="0" t="n">
        <v>0</v>
      </c>
      <c r="E359" s="19" t="n">
        <v>39</v>
      </c>
    </row>
    <row r="360" customFormat="false" ht="15" hidden="false" customHeight="false" outlineLevel="0" collapsed="false">
      <c r="A360" s="0" t="n">
        <v>359</v>
      </c>
      <c r="B360" s="18" t="n">
        <v>282110.127382774</v>
      </c>
      <c r="C360" s="18" t="n">
        <v>0</v>
      </c>
      <c r="D360" s="0" t="n">
        <v>0</v>
      </c>
      <c r="E360" s="19" t="n">
        <v>30.25</v>
      </c>
    </row>
    <row r="361" customFormat="false" ht="15" hidden="false" customHeight="false" outlineLevel="0" collapsed="false">
      <c r="A361" s="0" t="n">
        <v>360</v>
      </c>
      <c r="B361" s="18" t="n">
        <v>389048.083056859</v>
      </c>
      <c r="C361" s="18" t="n">
        <v>0</v>
      </c>
      <c r="D361" s="0" t="n">
        <v>0</v>
      </c>
      <c r="E361" s="19" t="n">
        <v>31.6666666666667</v>
      </c>
    </row>
    <row r="362" customFormat="false" ht="15" hidden="false" customHeight="false" outlineLevel="0" collapsed="false">
      <c r="A362" s="0" t="n">
        <v>361</v>
      </c>
      <c r="B362" s="18" t="n">
        <v>860410.306689221</v>
      </c>
      <c r="C362" s="18" t="n">
        <v>0</v>
      </c>
      <c r="D362" s="0" t="n">
        <v>0</v>
      </c>
      <c r="E362" s="19" t="n">
        <v>36.9166666666667</v>
      </c>
    </row>
    <row r="363" customFormat="false" ht="15" hidden="false" customHeight="false" outlineLevel="0" collapsed="false">
      <c r="A363" s="0" t="n">
        <v>362</v>
      </c>
      <c r="B363" s="18" t="n">
        <v>1431520.44156285</v>
      </c>
      <c r="C363" s="18" t="n">
        <v>1171341.653407</v>
      </c>
      <c r="D363" s="0" t="n">
        <v>1</v>
      </c>
    </row>
    <row r="364" customFormat="false" ht="15" hidden="false" customHeight="false" outlineLevel="0" collapsed="false">
      <c r="A364" s="0" t="n">
        <v>363</v>
      </c>
      <c r="B364" s="18" t="n">
        <v>866521.120553753</v>
      </c>
      <c r="C364" s="18" t="n">
        <v>0</v>
      </c>
      <c r="D364" s="0" t="n">
        <v>0</v>
      </c>
      <c r="E364" s="19" t="n">
        <v>40.8333333333333</v>
      </c>
    </row>
    <row r="365" customFormat="false" ht="15" hidden="false" customHeight="false" outlineLevel="0" collapsed="false">
      <c r="A365" s="0" t="n">
        <v>364</v>
      </c>
      <c r="B365" s="18" t="n">
        <v>802423.623038517</v>
      </c>
      <c r="C365" s="18" t="n">
        <v>0</v>
      </c>
      <c r="D365" s="0" t="n">
        <v>0</v>
      </c>
      <c r="E365" s="19" t="n">
        <v>46.1666666666667</v>
      </c>
    </row>
    <row r="366" customFormat="false" ht="15" hidden="false" customHeight="false" outlineLevel="0" collapsed="false">
      <c r="A366" s="0" t="n">
        <v>365</v>
      </c>
      <c r="B366" s="18" t="n">
        <v>860155.233816317</v>
      </c>
      <c r="C366" s="18" t="n">
        <v>1041299.33413884</v>
      </c>
      <c r="D366" s="0" t="n">
        <v>1</v>
      </c>
    </row>
    <row r="367" customFormat="false" ht="15" hidden="false" customHeight="false" outlineLevel="0" collapsed="false">
      <c r="A367" s="0" t="n">
        <v>366</v>
      </c>
      <c r="B367" s="18" t="n">
        <v>1274573.52914751</v>
      </c>
      <c r="C367" s="18" t="n">
        <v>483464.878009771</v>
      </c>
      <c r="D367" s="0" t="n">
        <v>1</v>
      </c>
    </row>
    <row r="368" customFormat="false" ht="15" hidden="false" customHeight="false" outlineLevel="0" collapsed="false">
      <c r="A368" s="0" t="n">
        <v>367</v>
      </c>
      <c r="B368" s="18" t="n">
        <v>2005781.36506838</v>
      </c>
      <c r="C368" s="18" t="n">
        <v>109922.989364144</v>
      </c>
      <c r="D368" s="0" t="n">
        <v>1</v>
      </c>
    </row>
    <row r="369" customFormat="false" ht="15" hidden="false" customHeight="false" outlineLevel="0" collapsed="false">
      <c r="A369" s="0" t="n">
        <v>368</v>
      </c>
      <c r="B369" s="18" t="n">
        <v>782722.851366889</v>
      </c>
      <c r="C369" s="18" t="n">
        <v>1037469.6609261</v>
      </c>
      <c r="D369" s="0" t="n">
        <v>1</v>
      </c>
    </row>
    <row r="370" customFormat="false" ht="15" hidden="false" customHeight="false" outlineLevel="0" collapsed="false">
      <c r="A370" s="0" t="n">
        <v>369</v>
      </c>
      <c r="B370" s="18" t="n">
        <v>1626260.78852827</v>
      </c>
      <c r="C370" s="18" t="n">
        <v>62036865.953657</v>
      </c>
      <c r="D370" s="0" t="n">
        <v>1</v>
      </c>
    </row>
    <row r="371" customFormat="false" ht="15" hidden="false" customHeight="false" outlineLevel="0" collapsed="false">
      <c r="A371" s="0" t="n">
        <v>370</v>
      </c>
      <c r="B371" s="18" t="n">
        <v>902371.758342156</v>
      </c>
      <c r="C371" s="18" t="n">
        <v>0</v>
      </c>
      <c r="D371" s="0" t="n">
        <v>0</v>
      </c>
      <c r="E371" s="19" t="n">
        <v>50.5833333333333</v>
      </c>
    </row>
    <row r="372" customFormat="false" ht="15" hidden="false" customHeight="false" outlineLevel="0" collapsed="false">
      <c r="A372" s="0" t="n">
        <v>371</v>
      </c>
      <c r="B372" s="18" t="n">
        <v>1246075.86996887</v>
      </c>
      <c r="C372" s="18" t="n">
        <v>949195.71343321</v>
      </c>
      <c r="D372" s="0" t="n">
        <v>1</v>
      </c>
    </row>
    <row r="373" customFormat="false" ht="15" hidden="false" customHeight="false" outlineLevel="0" collapsed="false">
      <c r="A373" s="0" t="n">
        <v>372</v>
      </c>
      <c r="B373" s="18" t="n">
        <v>1250169.19443552</v>
      </c>
      <c r="C373" s="18" t="n">
        <v>0</v>
      </c>
      <c r="D373" s="0" t="n">
        <v>0</v>
      </c>
      <c r="E373" s="19" t="n">
        <v>45.9166666666667</v>
      </c>
    </row>
    <row r="374" customFormat="false" ht="15" hidden="false" customHeight="false" outlineLevel="0" collapsed="false">
      <c r="A374" s="0" t="n">
        <v>373</v>
      </c>
      <c r="B374" s="18" t="n">
        <v>864540.068431143</v>
      </c>
      <c r="C374" s="18" t="n">
        <v>0</v>
      </c>
      <c r="D374" s="0" t="n">
        <v>0</v>
      </c>
      <c r="E374" s="19" t="n">
        <v>35.1666666666667</v>
      </c>
    </row>
    <row r="375" customFormat="false" ht="15" hidden="false" customHeight="false" outlineLevel="0" collapsed="false">
      <c r="A375" s="0" t="n">
        <v>374</v>
      </c>
      <c r="B375" s="18" t="n">
        <v>411978.801946669</v>
      </c>
      <c r="C375" s="18" t="n">
        <v>0</v>
      </c>
      <c r="D375" s="0" t="n">
        <v>0</v>
      </c>
      <c r="E375" s="19" t="n">
        <v>30.8333333333333</v>
      </c>
    </row>
    <row r="376" customFormat="false" ht="15" hidden="false" customHeight="false" outlineLevel="0" collapsed="false">
      <c r="A376" s="0" t="n">
        <v>375</v>
      </c>
      <c r="B376" s="18" t="n">
        <v>1769626.57679776</v>
      </c>
      <c r="C376" s="18" t="n">
        <v>3955515.88222443</v>
      </c>
      <c r="D376" s="0" t="n">
        <v>1</v>
      </c>
    </row>
    <row r="377" customFormat="false" ht="15" hidden="false" customHeight="false" outlineLevel="0" collapsed="false">
      <c r="A377" s="0" t="n">
        <v>376</v>
      </c>
      <c r="B377" s="18" t="n">
        <v>445375.802156655</v>
      </c>
      <c r="C377" s="18" t="n">
        <v>0</v>
      </c>
      <c r="D377" s="0" t="n">
        <v>0</v>
      </c>
      <c r="E377" s="19" t="n">
        <v>31.6666666666667</v>
      </c>
    </row>
    <row r="378" customFormat="false" ht="15" hidden="false" customHeight="false" outlineLevel="0" collapsed="false">
      <c r="A378" s="0" t="n">
        <v>377</v>
      </c>
      <c r="B378" s="18" t="n">
        <v>599522.636300692</v>
      </c>
      <c r="C378" s="18" t="n">
        <v>0</v>
      </c>
      <c r="D378" s="0" t="n">
        <v>0</v>
      </c>
      <c r="E378" s="19" t="n">
        <v>40.5833333333333</v>
      </c>
    </row>
    <row r="379" customFormat="false" ht="15" hidden="false" customHeight="false" outlineLevel="0" collapsed="false">
      <c r="A379" s="0" t="n">
        <v>378</v>
      </c>
      <c r="B379" s="18" t="n">
        <v>833037.97503878</v>
      </c>
      <c r="C379" s="18" t="n">
        <v>0</v>
      </c>
      <c r="D379" s="0" t="n">
        <v>0</v>
      </c>
      <c r="E379" s="19" t="n">
        <v>41.1666666666667</v>
      </c>
    </row>
    <row r="380" customFormat="false" ht="15" hidden="false" customHeight="false" outlineLevel="0" collapsed="false">
      <c r="A380" s="0" t="n">
        <v>379</v>
      </c>
      <c r="B380" s="18" t="n">
        <v>3482725.14260084</v>
      </c>
      <c r="C380" s="18" t="n">
        <v>1035972.8708843</v>
      </c>
      <c r="D380" s="0" t="n">
        <v>1</v>
      </c>
    </row>
    <row r="381" customFormat="false" ht="15" hidden="false" customHeight="false" outlineLevel="0" collapsed="false">
      <c r="A381" s="0" t="n">
        <v>380</v>
      </c>
      <c r="B381" s="18" t="n">
        <v>1016399.49866235</v>
      </c>
      <c r="C381" s="18" t="n">
        <v>0</v>
      </c>
      <c r="D381" s="0" t="n">
        <v>0</v>
      </c>
      <c r="E381" s="19" t="n">
        <v>42.1666666666667</v>
      </c>
    </row>
    <row r="382" customFormat="false" ht="15" hidden="false" customHeight="false" outlineLevel="0" collapsed="false">
      <c r="A382" s="0" t="n">
        <v>381</v>
      </c>
      <c r="B382" s="18" t="n">
        <v>703250.763795259</v>
      </c>
      <c r="C382" s="18" t="n">
        <v>0</v>
      </c>
      <c r="D382" s="0" t="n">
        <v>0</v>
      </c>
      <c r="E382" s="19" t="n">
        <v>44.6666666666667</v>
      </c>
    </row>
    <row r="383" customFormat="false" ht="15" hidden="false" customHeight="false" outlineLevel="0" collapsed="false">
      <c r="A383" s="0" t="n">
        <v>382</v>
      </c>
      <c r="B383" s="18" t="n">
        <v>776577.153264812</v>
      </c>
      <c r="C383" s="18" t="n">
        <v>0</v>
      </c>
      <c r="D383" s="0" t="n">
        <v>0</v>
      </c>
      <c r="E383" s="19" t="n">
        <v>46</v>
      </c>
    </row>
    <row r="384" customFormat="false" ht="15" hidden="false" customHeight="false" outlineLevel="0" collapsed="false">
      <c r="A384" s="0" t="n">
        <v>383</v>
      </c>
      <c r="B384" s="18" t="n">
        <v>1165967.63520568</v>
      </c>
      <c r="C384" s="18" t="n">
        <v>1844078.51418115</v>
      </c>
      <c r="D384" s="0" t="n">
        <v>1</v>
      </c>
    </row>
    <row r="385" customFormat="false" ht="15" hidden="false" customHeight="false" outlineLevel="0" collapsed="false">
      <c r="A385" s="0" t="n">
        <v>384</v>
      </c>
      <c r="B385" s="18" t="n">
        <v>1093993.78008788</v>
      </c>
      <c r="C385" s="18" t="n">
        <v>3037852.24540175</v>
      </c>
      <c r="D385" s="0" t="n">
        <v>1</v>
      </c>
    </row>
    <row r="386" customFormat="false" ht="15" hidden="false" customHeight="false" outlineLevel="0" collapsed="false">
      <c r="A386" s="0" t="n">
        <v>385</v>
      </c>
      <c r="B386" s="18" t="n">
        <v>1075731.33444746</v>
      </c>
      <c r="C386" s="18" t="n">
        <v>0</v>
      </c>
      <c r="D386" s="0" t="n">
        <v>0</v>
      </c>
      <c r="E386" s="19" t="n">
        <v>35.0833333333333</v>
      </c>
    </row>
    <row r="387" customFormat="false" ht="15" hidden="false" customHeight="false" outlineLevel="0" collapsed="false">
      <c r="A387" s="0" t="n">
        <v>386</v>
      </c>
      <c r="B387" s="18" t="n">
        <v>2469727.47984885</v>
      </c>
      <c r="C387" s="18" t="n">
        <v>10338413.1905286</v>
      </c>
      <c r="D387" s="0" t="n">
        <v>1</v>
      </c>
    </row>
    <row r="388" customFormat="false" ht="15" hidden="false" customHeight="false" outlineLevel="0" collapsed="false">
      <c r="A388" s="0" t="n">
        <v>387</v>
      </c>
      <c r="B388" s="18" t="n">
        <v>734191.905157702</v>
      </c>
      <c r="C388" s="18" t="n">
        <v>1440039.43021763</v>
      </c>
      <c r="D388" s="0" t="n">
        <v>1</v>
      </c>
    </row>
    <row r="389" customFormat="false" ht="15" hidden="false" customHeight="false" outlineLevel="0" collapsed="false">
      <c r="A389" s="0" t="n">
        <v>388</v>
      </c>
      <c r="B389" s="18" t="n">
        <v>900253.606447625</v>
      </c>
      <c r="C389" s="18" t="n">
        <v>0</v>
      </c>
      <c r="D389" s="0" t="n">
        <v>0</v>
      </c>
      <c r="E389" s="19" t="n">
        <v>48.9166666666667</v>
      </c>
    </row>
    <row r="390" customFormat="false" ht="15" hidden="false" customHeight="false" outlineLevel="0" collapsed="false">
      <c r="A390" s="0" t="n">
        <v>389</v>
      </c>
      <c r="B390" s="18" t="n">
        <v>1123418.6472802</v>
      </c>
      <c r="C390" s="18" t="n">
        <v>1425730.00859298</v>
      </c>
      <c r="D390" s="0" t="n">
        <v>1</v>
      </c>
    </row>
    <row r="391" customFormat="false" ht="15" hidden="false" customHeight="false" outlineLevel="0" collapsed="false">
      <c r="A391" s="0" t="n">
        <v>390</v>
      </c>
      <c r="B391" s="18" t="n">
        <v>497781.39973529</v>
      </c>
      <c r="C391" s="18" t="n">
        <v>0</v>
      </c>
      <c r="D391" s="0" t="n">
        <v>0</v>
      </c>
      <c r="E391" s="19" t="n">
        <v>32.75</v>
      </c>
    </row>
    <row r="392" customFormat="false" ht="15" hidden="false" customHeight="false" outlineLevel="0" collapsed="false">
      <c r="A392" s="0" t="n">
        <v>391</v>
      </c>
      <c r="B392" s="18" t="n">
        <v>537597.699100966</v>
      </c>
      <c r="C392" s="18" t="n">
        <v>0</v>
      </c>
      <c r="D392" s="0" t="n">
        <v>0</v>
      </c>
      <c r="E392" s="19" t="n">
        <v>38</v>
      </c>
    </row>
    <row r="393" customFormat="false" ht="15" hidden="false" customHeight="false" outlineLevel="0" collapsed="false">
      <c r="A393" s="0" t="n">
        <v>392</v>
      </c>
      <c r="B393" s="18" t="n">
        <v>966757.331062569</v>
      </c>
      <c r="C393" s="18" t="n">
        <v>4315669.07186776</v>
      </c>
      <c r="D393" s="0" t="n">
        <v>1</v>
      </c>
    </row>
    <row r="394" customFormat="false" ht="15" hidden="false" customHeight="false" outlineLevel="0" collapsed="false">
      <c r="A394" s="0" t="n">
        <v>393</v>
      </c>
      <c r="B394" s="18" t="n">
        <v>867255.25344796</v>
      </c>
      <c r="C394" s="18" t="n">
        <v>0</v>
      </c>
      <c r="D394" s="0" t="n">
        <v>0</v>
      </c>
      <c r="E394" s="19" t="n">
        <v>38.75</v>
      </c>
    </row>
    <row r="395" customFormat="false" ht="15" hidden="false" customHeight="false" outlineLevel="0" collapsed="false">
      <c r="A395" s="0" t="n">
        <v>394</v>
      </c>
      <c r="B395" s="18" t="n">
        <v>482829.405064202</v>
      </c>
      <c r="C395" s="18" t="n">
        <v>0</v>
      </c>
      <c r="D395" s="0" t="n">
        <v>0</v>
      </c>
      <c r="E395" s="19" t="n">
        <v>33.75</v>
      </c>
    </row>
    <row r="396" customFormat="false" ht="15" hidden="false" customHeight="false" outlineLevel="0" collapsed="false">
      <c r="A396" s="0" t="n">
        <v>395</v>
      </c>
      <c r="B396" s="18" t="n">
        <v>478302.454181739</v>
      </c>
      <c r="C396" s="18" t="n">
        <v>0</v>
      </c>
      <c r="D396" s="0" t="n">
        <v>0</v>
      </c>
      <c r="E396" s="19" t="n">
        <v>35.75</v>
      </c>
    </row>
    <row r="397" customFormat="false" ht="15" hidden="false" customHeight="false" outlineLevel="0" collapsed="false">
      <c r="A397" s="0" t="n">
        <v>396</v>
      </c>
      <c r="B397" s="18" t="n">
        <v>1436410.04271985</v>
      </c>
      <c r="C397" s="18" t="n">
        <v>728976.291150575</v>
      </c>
      <c r="D397" s="0" t="n">
        <v>1</v>
      </c>
    </row>
    <row r="398" customFormat="false" ht="15" hidden="false" customHeight="false" outlineLevel="0" collapsed="false">
      <c r="A398" s="0" t="n">
        <v>397</v>
      </c>
      <c r="B398" s="18" t="n">
        <v>2070489.47311067</v>
      </c>
      <c r="C398" s="18" t="n">
        <v>13694268.8421645</v>
      </c>
      <c r="D398" s="0" t="n">
        <v>1</v>
      </c>
    </row>
    <row r="399" customFormat="false" ht="15" hidden="false" customHeight="false" outlineLevel="0" collapsed="false">
      <c r="A399" s="0" t="n">
        <v>398</v>
      </c>
      <c r="B399" s="18" t="n">
        <v>398629.567269414</v>
      </c>
      <c r="C399" s="18" t="n">
        <v>0</v>
      </c>
      <c r="D399" s="0" t="n">
        <v>0</v>
      </c>
      <c r="E399" s="19" t="n">
        <v>32.5</v>
      </c>
    </row>
    <row r="400" customFormat="false" ht="15" hidden="false" customHeight="false" outlineLevel="0" collapsed="false">
      <c r="A400" s="0" t="n">
        <v>399</v>
      </c>
      <c r="B400" s="18" t="n">
        <v>1319474.51140851</v>
      </c>
      <c r="C400" s="18" t="n">
        <v>0</v>
      </c>
      <c r="D400" s="0" t="n">
        <v>0</v>
      </c>
      <c r="E400" s="19" t="n">
        <v>37.8333333333333</v>
      </c>
    </row>
    <row r="401" customFormat="false" ht="15" hidden="false" customHeight="false" outlineLevel="0" collapsed="false">
      <c r="A401" s="0" t="n">
        <v>400</v>
      </c>
      <c r="B401" s="18" t="n">
        <v>294667.206534591</v>
      </c>
      <c r="C401" s="18" t="n">
        <v>0</v>
      </c>
      <c r="D401" s="0" t="n">
        <v>0</v>
      </c>
      <c r="E401" s="19" t="n">
        <v>30.4166666666667</v>
      </c>
    </row>
    <row r="402" customFormat="false" ht="15" hidden="false" customHeight="false" outlineLevel="0" collapsed="false">
      <c r="A402" s="0" t="n">
        <v>401</v>
      </c>
      <c r="B402" s="18" t="n">
        <v>2787292.4837433</v>
      </c>
      <c r="C402" s="18" t="n">
        <v>1259732.43251345</v>
      </c>
      <c r="D402" s="0" t="n">
        <v>1</v>
      </c>
    </row>
    <row r="403" customFormat="false" ht="15" hidden="false" customHeight="false" outlineLevel="0" collapsed="false">
      <c r="A403" s="0" t="n">
        <v>402</v>
      </c>
      <c r="B403" s="18" t="n">
        <v>732608.314162072</v>
      </c>
      <c r="C403" s="18" t="n">
        <v>0</v>
      </c>
      <c r="D403" s="0" t="n">
        <v>0</v>
      </c>
      <c r="E403" s="19" t="n">
        <v>39.1666666666667</v>
      </c>
    </row>
    <row r="404" customFormat="false" ht="15" hidden="false" customHeight="false" outlineLevel="0" collapsed="false">
      <c r="A404" s="0" t="n">
        <v>403</v>
      </c>
      <c r="B404" s="18" t="n">
        <v>440405.608550718</v>
      </c>
      <c r="C404" s="18" t="n">
        <v>0</v>
      </c>
      <c r="D404" s="0" t="n">
        <v>0</v>
      </c>
      <c r="E404" s="19" t="n">
        <v>33.3333333333333</v>
      </c>
    </row>
    <row r="405" customFormat="false" ht="15" hidden="false" customHeight="false" outlineLevel="0" collapsed="false">
      <c r="A405" s="0" t="n">
        <v>404</v>
      </c>
      <c r="B405" s="18" t="n">
        <v>1157391.5715461</v>
      </c>
      <c r="C405" s="18" t="n">
        <v>1912636.78667485</v>
      </c>
      <c r="D405" s="0" t="n">
        <v>1</v>
      </c>
    </row>
    <row r="406" customFormat="false" ht="15" hidden="false" customHeight="false" outlineLevel="0" collapsed="false">
      <c r="A406" s="0" t="n">
        <v>405</v>
      </c>
      <c r="B406" s="18" t="n">
        <v>751178.214416101</v>
      </c>
      <c r="C406" s="18" t="n">
        <v>0</v>
      </c>
      <c r="D406" s="0" t="n">
        <v>0</v>
      </c>
      <c r="E406" s="19" t="n">
        <v>38.3333333333333</v>
      </c>
    </row>
    <row r="407" customFormat="false" ht="15" hidden="false" customHeight="false" outlineLevel="0" collapsed="false">
      <c r="A407" s="0" t="n">
        <v>406</v>
      </c>
      <c r="B407" s="18" t="n">
        <v>726873.433433238</v>
      </c>
      <c r="C407" s="18" t="n">
        <v>0</v>
      </c>
      <c r="D407" s="0" t="n">
        <v>0</v>
      </c>
      <c r="E407" s="19" t="n">
        <v>40.9166666666667</v>
      </c>
    </row>
    <row r="408" customFormat="false" ht="15" hidden="false" customHeight="false" outlineLevel="0" collapsed="false">
      <c r="A408" s="0" t="n">
        <v>407</v>
      </c>
      <c r="B408" s="18" t="n">
        <v>746706.294724279</v>
      </c>
      <c r="C408" s="18" t="n">
        <v>0</v>
      </c>
      <c r="D408" s="0" t="n">
        <v>0</v>
      </c>
      <c r="E408" s="19" t="n">
        <v>37.0833333333333</v>
      </c>
    </row>
    <row r="409" customFormat="false" ht="15" hidden="false" customHeight="false" outlineLevel="0" collapsed="false">
      <c r="A409" s="0" t="n">
        <v>408</v>
      </c>
      <c r="B409" s="18" t="n">
        <v>3668014.78245141</v>
      </c>
      <c r="C409" s="18" t="n">
        <v>22988033.9989784</v>
      </c>
      <c r="D409" s="0" t="n">
        <v>1</v>
      </c>
    </row>
    <row r="410" customFormat="false" ht="15" hidden="false" customHeight="false" outlineLevel="0" collapsed="false">
      <c r="A410" s="0" t="n">
        <v>409</v>
      </c>
      <c r="B410" s="18" t="n">
        <v>808349.37086331</v>
      </c>
      <c r="C410" s="18" t="n">
        <v>0</v>
      </c>
      <c r="D410" s="0" t="n">
        <v>0</v>
      </c>
      <c r="E410" s="19" t="n">
        <v>39.1666666666667</v>
      </c>
    </row>
    <row r="411" customFormat="false" ht="15" hidden="false" customHeight="false" outlineLevel="0" collapsed="false">
      <c r="A411" s="0" t="n">
        <v>410</v>
      </c>
      <c r="B411" s="18" t="n">
        <v>455847.322921491</v>
      </c>
      <c r="C411" s="18" t="n">
        <v>0</v>
      </c>
      <c r="D411" s="0" t="n">
        <v>0</v>
      </c>
      <c r="E411" s="19" t="n">
        <v>36.6666666666667</v>
      </c>
    </row>
    <row r="412" customFormat="false" ht="15" hidden="false" customHeight="false" outlineLevel="0" collapsed="false">
      <c r="A412" s="0" t="n">
        <v>411</v>
      </c>
      <c r="B412" s="18" t="n">
        <v>495950.821931465</v>
      </c>
      <c r="C412" s="18" t="n">
        <v>0</v>
      </c>
      <c r="D412" s="0" t="n">
        <v>0</v>
      </c>
      <c r="E412" s="19" t="n">
        <v>33.25</v>
      </c>
    </row>
    <row r="413" customFormat="false" ht="15" hidden="false" customHeight="false" outlineLevel="0" collapsed="false">
      <c r="A413" s="0" t="n">
        <v>412</v>
      </c>
      <c r="B413" s="18" t="n">
        <v>945533.204429268</v>
      </c>
      <c r="C413" s="18" t="n">
        <v>0</v>
      </c>
      <c r="D413" s="0" t="n">
        <v>0</v>
      </c>
      <c r="E413" s="19" t="n">
        <v>42.25</v>
      </c>
    </row>
    <row r="414" customFormat="false" ht="15" hidden="false" customHeight="false" outlineLevel="0" collapsed="false">
      <c r="A414" s="0" t="n">
        <v>413</v>
      </c>
      <c r="B414" s="18" t="n">
        <v>3502961.26378846</v>
      </c>
      <c r="C414" s="18" t="n">
        <v>15672784.9108228</v>
      </c>
      <c r="D414" s="0" t="n">
        <v>1</v>
      </c>
    </row>
    <row r="415" customFormat="false" ht="15" hidden="false" customHeight="false" outlineLevel="0" collapsed="false">
      <c r="A415" s="0" t="n">
        <v>414</v>
      </c>
      <c r="B415" s="18" t="n">
        <v>630355.140438186</v>
      </c>
      <c r="C415" s="18" t="n">
        <v>0</v>
      </c>
      <c r="D415" s="0" t="n">
        <v>0</v>
      </c>
      <c r="E415" s="19" t="n">
        <v>42.0833333333333</v>
      </c>
    </row>
    <row r="416" customFormat="false" ht="15" hidden="false" customHeight="false" outlineLevel="0" collapsed="false">
      <c r="A416" s="0" t="n">
        <v>415</v>
      </c>
      <c r="B416" s="18" t="n">
        <v>1142766.71509263</v>
      </c>
      <c r="C416" s="18" t="n">
        <v>0</v>
      </c>
      <c r="D416" s="0" t="n">
        <v>0</v>
      </c>
      <c r="E416" s="19" t="n">
        <v>43.6666666666667</v>
      </c>
    </row>
    <row r="417" customFormat="false" ht="15" hidden="false" customHeight="false" outlineLevel="0" collapsed="false">
      <c r="A417" s="0" t="n">
        <v>416</v>
      </c>
      <c r="B417" s="18" t="n">
        <v>1013653.55065272</v>
      </c>
      <c r="C417" s="18" t="n">
        <v>0</v>
      </c>
      <c r="D417" s="0" t="n">
        <v>0</v>
      </c>
      <c r="E417" s="19" t="n">
        <v>38.6666666666667</v>
      </c>
    </row>
    <row r="418" customFormat="false" ht="15" hidden="false" customHeight="false" outlineLevel="0" collapsed="false">
      <c r="A418" s="0" t="n">
        <v>417</v>
      </c>
      <c r="B418" s="18" t="n">
        <v>1443267.18420977</v>
      </c>
      <c r="C418" s="18" t="n">
        <v>958441.508450542</v>
      </c>
      <c r="D418" s="0" t="n">
        <v>1</v>
      </c>
    </row>
    <row r="419" customFormat="false" ht="15" hidden="false" customHeight="false" outlineLevel="0" collapsed="false">
      <c r="A419" s="0" t="n">
        <v>418</v>
      </c>
      <c r="B419" s="18" t="n">
        <v>1614982.1078595</v>
      </c>
      <c r="C419" s="18" t="n">
        <v>3529043.66303642</v>
      </c>
      <c r="D419" s="0" t="n">
        <v>1</v>
      </c>
    </row>
    <row r="420" customFormat="false" ht="15" hidden="false" customHeight="false" outlineLevel="0" collapsed="false">
      <c r="A420" s="0" t="n">
        <v>419</v>
      </c>
      <c r="B420" s="18" t="n">
        <v>1406389.84465937</v>
      </c>
      <c r="C420" s="18" t="n">
        <v>0</v>
      </c>
      <c r="D420" s="0" t="n">
        <v>0</v>
      </c>
      <c r="E420" s="19" t="n">
        <v>47.8333333333333</v>
      </c>
    </row>
    <row r="421" customFormat="false" ht="15" hidden="false" customHeight="false" outlineLevel="0" collapsed="false">
      <c r="A421" s="0" t="n">
        <v>420</v>
      </c>
      <c r="B421" s="18" t="n">
        <v>1200132.68992545</v>
      </c>
      <c r="C421" s="18" t="n">
        <v>0</v>
      </c>
      <c r="D421" s="0" t="n">
        <v>0</v>
      </c>
      <c r="E421" s="19" t="n">
        <v>43.1666666666667</v>
      </c>
    </row>
    <row r="422" customFormat="false" ht="15" hidden="false" customHeight="false" outlineLevel="0" collapsed="false">
      <c r="A422" s="0" t="n">
        <v>421</v>
      </c>
      <c r="B422" s="18" t="n">
        <v>1558057.10006838</v>
      </c>
      <c r="C422" s="18" t="n">
        <v>9764977.75397125</v>
      </c>
      <c r="D422" s="0" t="n">
        <v>1</v>
      </c>
    </row>
    <row r="423" customFormat="false" ht="15" hidden="false" customHeight="false" outlineLevel="0" collapsed="false">
      <c r="A423" s="0" t="n">
        <v>422</v>
      </c>
      <c r="B423" s="18" t="n">
        <v>1758147.97081309</v>
      </c>
      <c r="C423" s="18" t="n">
        <v>11863336.7680795</v>
      </c>
      <c r="D423" s="0" t="n">
        <v>1</v>
      </c>
    </row>
    <row r="424" customFormat="false" ht="15" hidden="false" customHeight="false" outlineLevel="0" collapsed="false">
      <c r="A424" s="0" t="n">
        <v>423</v>
      </c>
      <c r="B424" s="18" t="n">
        <v>566846.473242931</v>
      </c>
      <c r="C424" s="18" t="n">
        <v>0</v>
      </c>
      <c r="D424" s="0" t="n">
        <v>0</v>
      </c>
      <c r="E424" s="19" t="n">
        <v>34.0833333333333</v>
      </c>
    </row>
    <row r="425" customFormat="false" ht="15" hidden="false" customHeight="false" outlineLevel="0" collapsed="false">
      <c r="A425" s="0" t="n">
        <v>424</v>
      </c>
      <c r="B425" s="18" t="n">
        <v>484292.09962211</v>
      </c>
      <c r="C425" s="18" t="n">
        <v>0</v>
      </c>
      <c r="D425" s="0" t="n">
        <v>0</v>
      </c>
      <c r="E425" s="19" t="n">
        <v>35.9166666666667</v>
      </c>
    </row>
    <row r="426" customFormat="false" ht="15" hidden="false" customHeight="false" outlineLevel="0" collapsed="false">
      <c r="A426" s="0" t="n">
        <v>425</v>
      </c>
      <c r="B426" s="18" t="n">
        <v>2139160.86056208</v>
      </c>
      <c r="C426" s="18" t="n">
        <v>9617314.59129271</v>
      </c>
      <c r="D426" s="0" t="n">
        <v>1</v>
      </c>
    </row>
    <row r="427" customFormat="false" ht="15" hidden="false" customHeight="false" outlineLevel="0" collapsed="false">
      <c r="A427" s="0" t="n">
        <v>426</v>
      </c>
      <c r="B427" s="18" t="n">
        <v>991763.735393866</v>
      </c>
      <c r="C427" s="18" t="n">
        <v>0</v>
      </c>
      <c r="D427" s="0" t="n">
        <v>0</v>
      </c>
      <c r="E427" s="19" t="n">
        <v>41.6666666666667</v>
      </c>
    </row>
    <row r="428" customFormat="false" ht="15" hidden="false" customHeight="false" outlineLevel="0" collapsed="false">
      <c r="A428" s="0" t="n">
        <v>427</v>
      </c>
      <c r="B428" s="18" t="n">
        <v>1261593.1633499</v>
      </c>
      <c r="C428" s="18" t="n">
        <v>0</v>
      </c>
      <c r="D428" s="0" t="n">
        <v>0</v>
      </c>
      <c r="E428" s="19" t="n">
        <v>52.1666666666667</v>
      </c>
    </row>
    <row r="429" customFormat="false" ht="15" hidden="false" customHeight="false" outlineLevel="0" collapsed="false">
      <c r="A429" s="0" t="n">
        <v>428</v>
      </c>
      <c r="B429" s="18" t="n">
        <v>2063287.22964557</v>
      </c>
      <c r="C429" s="18" t="n">
        <v>8119932.58999613</v>
      </c>
      <c r="D429" s="0" t="n">
        <v>1</v>
      </c>
    </row>
    <row r="430" customFormat="false" ht="15" hidden="false" customHeight="false" outlineLevel="0" collapsed="false">
      <c r="A430" s="0" t="n">
        <v>429</v>
      </c>
      <c r="B430" s="18" t="n">
        <v>650807.980627615</v>
      </c>
      <c r="C430" s="18" t="n">
        <v>0</v>
      </c>
      <c r="D430" s="0" t="n">
        <v>0</v>
      </c>
      <c r="E430" s="19" t="n">
        <v>36.9166666666667</v>
      </c>
    </row>
    <row r="431" customFormat="false" ht="15" hidden="false" customHeight="false" outlineLevel="0" collapsed="false">
      <c r="A431" s="0" t="n">
        <v>430</v>
      </c>
      <c r="B431" s="18" t="n">
        <v>1557708.30888947</v>
      </c>
      <c r="C431" s="18" t="n">
        <v>0</v>
      </c>
      <c r="D431" s="0" t="n">
        <v>0</v>
      </c>
      <c r="E431" s="19" t="n">
        <v>45.4166666666667</v>
      </c>
    </row>
    <row r="432" customFormat="false" ht="15" hidden="false" customHeight="false" outlineLevel="0" collapsed="false">
      <c r="A432" s="0" t="n">
        <v>431</v>
      </c>
      <c r="B432" s="18" t="n">
        <v>343773.422537941</v>
      </c>
      <c r="C432" s="18" t="n">
        <v>0</v>
      </c>
      <c r="D432" s="0" t="n">
        <v>0</v>
      </c>
      <c r="E432" s="19" t="n">
        <v>33.25</v>
      </c>
    </row>
    <row r="433" customFormat="false" ht="15" hidden="false" customHeight="false" outlineLevel="0" collapsed="false">
      <c r="A433" s="0" t="n">
        <v>432</v>
      </c>
      <c r="B433" s="18" t="n">
        <v>331716.183296767</v>
      </c>
      <c r="C433" s="18" t="n">
        <v>0</v>
      </c>
      <c r="D433" s="0" t="n">
        <v>0</v>
      </c>
      <c r="E433" s="19" t="n">
        <v>32.5</v>
      </c>
    </row>
    <row r="434" customFormat="false" ht="15" hidden="false" customHeight="false" outlineLevel="0" collapsed="false">
      <c r="A434" s="0" t="n">
        <v>433</v>
      </c>
      <c r="B434" s="18" t="n">
        <v>530028.316419583</v>
      </c>
      <c r="C434" s="18" t="n">
        <v>0</v>
      </c>
      <c r="D434" s="0" t="n">
        <v>0</v>
      </c>
      <c r="E434" s="19" t="n">
        <v>32.5833333333333</v>
      </c>
    </row>
    <row r="435" customFormat="false" ht="15" hidden="false" customHeight="false" outlineLevel="0" collapsed="false">
      <c r="A435" s="0" t="n">
        <v>434</v>
      </c>
      <c r="B435" s="18" t="n">
        <v>1554214.03698795</v>
      </c>
      <c r="C435" s="18" t="n">
        <v>5243187.78697028</v>
      </c>
      <c r="D435" s="0" t="n">
        <v>1</v>
      </c>
    </row>
    <row r="436" customFormat="false" ht="15" hidden="false" customHeight="false" outlineLevel="0" collapsed="false">
      <c r="A436" s="0" t="n">
        <v>435</v>
      </c>
      <c r="B436" s="18" t="n">
        <v>1090688.90991991</v>
      </c>
      <c r="C436" s="18" t="n">
        <v>0</v>
      </c>
      <c r="D436" s="0" t="n">
        <v>0</v>
      </c>
      <c r="E436" s="19" t="n">
        <v>41.4166666666667</v>
      </c>
    </row>
    <row r="437" customFormat="false" ht="15" hidden="false" customHeight="false" outlineLevel="0" collapsed="false">
      <c r="A437" s="0" t="n">
        <v>436</v>
      </c>
      <c r="B437" s="18" t="n">
        <v>709949.227225847</v>
      </c>
      <c r="C437" s="18" t="n">
        <v>0</v>
      </c>
      <c r="D437" s="0" t="n">
        <v>0</v>
      </c>
      <c r="E437" s="19" t="n">
        <v>54.3333333333333</v>
      </c>
    </row>
    <row r="438" customFormat="false" ht="15" hidden="false" customHeight="false" outlineLevel="0" collapsed="false">
      <c r="A438" s="0" t="n">
        <v>437</v>
      </c>
      <c r="B438" s="18" t="n">
        <v>546113.968336931</v>
      </c>
      <c r="C438" s="18" t="n">
        <v>0</v>
      </c>
      <c r="D438" s="0" t="n">
        <v>0</v>
      </c>
      <c r="E438" s="19" t="n">
        <v>38.5833333333333</v>
      </c>
    </row>
    <row r="439" customFormat="false" ht="15" hidden="false" customHeight="false" outlineLevel="0" collapsed="false">
      <c r="A439" s="0" t="n">
        <v>438</v>
      </c>
      <c r="B439" s="18" t="n">
        <v>415459.101971285</v>
      </c>
      <c r="C439" s="18" t="n">
        <v>0</v>
      </c>
      <c r="D439" s="0" t="n">
        <v>0</v>
      </c>
      <c r="E439" s="19" t="n">
        <v>38.1666666666667</v>
      </c>
    </row>
    <row r="440" customFormat="false" ht="15" hidden="false" customHeight="false" outlineLevel="0" collapsed="false">
      <c r="A440" s="0" t="n">
        <v>439</v>
      </c>
      <c r="B440" s="18" t="n">
        <v>1760986.64783486</v>
      </c>
      <c r="C440" s="18" t="n">
        <v>91242805.2355723</v>
      </c>
      <c r="D440" s="0" t="n">
        <v>1</v>
      </c>
    </row>
    <row r="441" customFormat="false" ht="15" hidden="false" customHeight="false" outlineLevel="0" collapsed="false">
      <c r="A441" s="0" t="n">
        <v>440</v>
      </c>
      <c r="B441" s="18" t="n">
        <v>929562.245756776</v>
      </c>
      <c r="C441" s="18" t="n">
        <v>0</v>
      </c>
      <c r="D441" s="0" t="n">
        <v>0</v>
      </c>
      <c r="E441" s="19" t="n">
        <v>47.0833333333333</v>
      </c>
    </row>
    <row r="442" customFormat="false" ht="15" hidden="false" customHeight="false" outlineLevel="0" collapsed="false">
      <c r="A442" s="0" t="n">
        <v>441</v>
      </c>
      <c r="B442" s="18" t="n">
        <v>837733.515093309</v>
      </c>
      <c r="C442" s="18" t="n">
        <v>0</v>
      </c>
      <c r="D442" s="0" t="n">
        <v>0</v>
      </c>
      <c r="E442" s="19" t="n">
        <v>43.75</v>
      </c>
    </row>
    <row r="443" customFormat="false" ht="15" hidden="false" customHeight="false" outlineLevel="0" collapsed="false">
      <c r="A443" s="0" t="n">
        <v>442</v>
      </c>
      <c r="B443" s="18" t="n">
        <v>1470108.64397171</v>
      </c>
      <c r="C443" s="18" t="n">
        <v>133216.640160509</v>
      </c>
      <c r="D443" s="0" t="n">
        <v>1</v>
      </c>
    </row>
    <row r="444" customFormat="false" ht="15" hidden="false" customHeight="false" outlineLevel="0" collapsed="false">
      <c r="A444" s="0" t="n">
        <v>443</v>
      </c>
      <c r="B444" s="18" t="n">
        <v>570731.160511654</v>
      </c>
      <c r="C444" s="18" t="n">
        <v>0</v>
      </c>
      <c r="D444" s="0" t="n">
        <v>0</v>
      </c>
      <c r="E444" s="19" t="n">
        <v>35.5833333333333</v>
      </c>
    </row>
    <row r="445" customFormat="false" ht="15" hidden="false" customHeight="false" outlineLevel="0" collapsed="false">
      <c r="A445" s="0" t="n">
        <v>444</v>
      </c>
      <c r="B445" s="18" t="n">
        <v>813903.293628346</v>
      </c>
      <c r="C445" s="18" t="n">
        <v>1921198.15393438</v>
      </c>
      <c r="D445" s="0" t="n">
        <v>1</v>
      </c>
    </row>
    <row r="446" customFormat="false" ht="15" hidden="false" customHeight="false" outlineLevel="0" collapsed="false">
      <c r="A446" s="0" t="n">
        <v>445</v>
      </c>
      <c r="B446" s="18" t="n">
        <v>1637013.25319792</v>
      </c>
      <c r="C446" s="18" t="n">
        <v>0</v>
      </c>
      <c r="D446" s="0" t="n">
        <v>0</v>
      </c>
      <c r="E446" s="19" t="n">
        <v>51.3333333333333</v>
      </c>
    </row>
    <row r="447" customFormat="false" ht="15" hidden="false" customHeight="false" outlineLevel="0" collapsed="false">
      <c r="A447" s="0" t="n">
        <v>446</v>
      </c>
      <c r="B447" s="18" t="n">
        <v>1440700.82080061</v>
      </c>
      <c r="C447" s="18" t="n">
        <v>5726320.77584162</v>
      </c>
      <c r="D447" s="0" t="n">
        <v>1</v>
      </c>
    </row>
    <row r="448" customFormat="false" ht="15" hidden="false" customHeight="false" outlineLevel="0" collapsed="false">
      <c r="A448" s="0" t="n">
        <v>447</v>
      </c>
      <c r="B448" s="18" t="n">
        <v>1066754.12426845</v>
      </c>
      <c r="C448" s="18" t="n">
        <v>1311067.03270194</v>
      </c>
      <c r="D448" s="0" t="n">
        <v>1</v>
      </c>
    </row>
    <row r="449" customFormat="false" ht="15" hidden="false" customHeight="false" outlineLevel="0" collapsed="false">
      <c r="A449" s="0" t="n">
        <v>448</v>
      </c>
      <c r="B449" s="18" t="n">
        <v>498120.338969712</v>
      </c>
      <c r="C449" s="18" t="n">
        <v>0</v>
      </c>
      <c r="D449" s="0" t="n">
        <v>0</v>
      </c>
      <c r="E449" s="19" t="n">
        <v>40.25</v>
      </c>
    </row>
    <row r="450" customFormat="false" ht="15" hidden="false" customHeight="false" outlineLevel="0" collapsed="false">
      <c r="A450" s="0" t="n">
        <v>449</v>
      </c>
      <c r="B450" s="18" t="n">
        <v>722859.535129965</v>
      </c>
      <c r="C450" s="18" t="n">
        <v>0</v>
      </c>
      <c r="D450" s="0" t="n">
        <v>0</v>
      </c>
      <c r="E450" s="19" t="n">
        <v>39.6666666666667</v>
      </c>
    </row>
    <row r="451" customFormat="false" ht="15" hidden="false" customHeight="false" outlineLevel="0" collapsed="false">
      <c r="A451" s="0" t="n">
        <v>450</v>
      </c>
      <c r="B451" s="18" t="n">
        <v>837838.945397568</v>
      </c>
      <c r="C451" s="18" t="n">
        <v>0</v>
      </c>
      <c r="D451" s="0" t="n">
        <v>0</v>
      </c>
      <c r="E451" s="19" t="n">
        <v>43</v>
      </c>
    </row>
    <row r="452" customFormat="false" ht="15" hidden="false" customHeight="false" outlineLevel="0" collapsed="false">
      <c r="A452" s="0" t="n">
        <v>451</v>
      </c>
      <c r="B452" s="18" t="n">
        <v>528598.236492447</v>
      </c>
      <c r="C452" s="18" t="n">
        <v>0</v>
      </c>
      <c r="D452" s="0" t="n">
        <v>0</v>
      </c>
      <c r="E452" s="19" t="n">
        <v>33.25</v>
      </c>
    </row>
    <row r="453" customFormat="false" ht="15" hidden="false" customHeight="false" outlineLevel="0" collapsed="false">
      <c r="A453" s="0" t="n">
        <v>452</v>
      </c>
      <c r="B453" s="18" t="n">
        <v>1863153.74018688</v>
      </c>
      <c r="C453" s="18" t="n">
        <v>0</v>
      </c>
      <c r="D453" s="0" t="n">
        <v>0</v>
      </c>
      <c r="E453" s="19" t="n">
        <v>51.75</v>
      </c>
    </row>
    <row r="454" customFormat="false" ht="15" hidden="false" customHeight="false" outlineLevel="0" collapsed="false">
      <c r="A454" s="0" t="n">
        <v>453</v>
      </c>
      <c r="B454" s="18" t="n">
        <v>877407.840848183</v>
      </c>
      <c r="C454" s="18" t="n">
        <v>0</v>
      </c>
      <c r="D454" s="0" t="n">
        <v>0</v>
      </c>
      <c r="E454" s="19" t="n">
        <v>52.25</v>
      </c>
    </row>
    <row r="455" customFormat="false" ht="15" hidden="false" customHeight="false" outlineLevel="0" collapsed="false">
      <c r="A455" s="0" t="n">
        <v>454</v>
      </c>
      <c r="B455" s="18" t="n">
        <v>2423904.31574013</v>
      </c>
      <c r="C455" s="18" t="n">
        <v>5231825.43955224</v>
      </c>
      <c r="D455" s="0" t="n">
        <v>1</v>
      </c>
    </row>
    <row r="456" customFormat="false" ht="15" hidden="false" customHeight="false" outlineLevel="0" collapsed="false">
      <c r="A456" s="0" t="n">
        <v>455</v>
      </c>
      <c r="B456" s="18" t="n">
        <v>1700379.57743087</v>
      </c>
      <c r="C456" s="18" t="n">
        <v>1430474.5230065</v>
      </c>
      <c r="D456" s="0" t="n">
        <v>1</v>
      </c>
    </row>
    <row r="457" customFormat="false" ht="15" hidden="false" customHeight="false" outlineLevel="0" collapsed="false">
      <c r="A457" s="0" t="n">
        <v>456</v>
      </c>
      <c r="B457" s="18" t="n">
        <v>1415519.76972089</v>
      </c>
      <c r="C457" s="18" t="n">
        <v>27902.0562941903</v>
      </c>
      <c r="D457" s="0" t="n">
        <v>1</v>
      </c>
    </row>
    <row r="458" customFormat="false" ht="15" hidden="false" customHeight="false" outlineLevel="0" collapsed="false">
      <c r="A458" s="0" t="n">
        <v>457</v>
      </c>
      <c r="B458" s="18" t="n">
        <v>521744.58278029</v>
      </c>
      <c r="C458" s="18" t="n">
        <v>0</v>
      </c>
      <c r="D458" s="0" t="n">
        <v>0</v>
      </c>
      <c r="E458" s="19" t="n">
        <v>37.25</v>
      </c>
    </row>
    <row r="459" customFormat="false" ht="15" hidden="false" customHeight="false" outlineLevel="0" collapsed="false">
      <c r="A459" s="0" t="n">
        <v>458</v>
      </c>
      <c r="B459" s="18" t="n">
        <v>562014.085699668</v>
      </c>
      <c r="C459" s="18" t="n">
        <v>0</v>
      </c>
      <c r="D459" s="0" t="n">
        <v>0</v>
      </c>
      <c r="E459" s="19" t="n">
        <v>34.75</v>
      </c>
    </row>
    <row r="460" customFormat="false" ht="15" hidden="false" customHeight="false" outlineLevel="0" collapsed="false">
      <c r="A460" s="0" t="n">
        <v>459</v>
      </c>
      <c r="B460" s="18" t="n">
        <v>531850.782982335</v>
      </c>
      <c r="C460" s="18" t="n">
        <v>0</v>
      </c>
      <c r="D460" s="0" t="n">
        <v>0</v>
      </c>
      <c r="E460" s="19" t="n">
        <v>38.0833333333333</v>
      </c>
    </row>
    <row r="461" customFormat="false" ht="15" hidden="false" customHeight="false" outlineLevel="0" collapsed="false">
      <c r="A461" s="0" t="n">
        <v>460</v>
      </c>
      <c r="B461" s="18" t="n">
        <v>917569.190612437</v>
      </c>
      <c r="C461" s="18" t="n">
        <v>5285582.46919141</v>
      </c>
      <c r="D461" s="0" t="n">
        <v>1</v>
      </c>
    </row>
    <row r="462" customFormat="false" ht="15" hidden="false" customHeight="false" outlineLevel="0" collapsed="false">
      <c r="A462" s="0" t="n">
        <v>461</v>
      </c>
      <c r="B462" s="18" t="n">
        <v>1169866.11881813</v>
      </c>
      <c r="C462" s="18" t="n">
        <v>1166614.35616524</v>
      </c>
      <c r="D462" s="0" t="n">
        <v>1</v>
      </c>
    </row>
    <row r="463" customFormat="false" ht="15" hidden="false" customHeight="false" outlineLevel="0" collapsed="false">
      <c r="A463" s="0" t="n">
        <v>462</v>
      </c>
      <c r="B463" s="18" t="n">
        <v>750949.145235714</v>
      </c>
      <c r="C463" s="18" t="n">
        <v>0</v>
      </c>
      <c r="D463" s="0" t="n">
        <v>0</v>
      </c>
      <c r="E463" s="19" t="n">
        <v>48.0833333333333</v>
      </c>
    </row>
    <row r="464" customFormat="false" ht="15" hidden="false" customHeight="false" outlineLevel="0" collapsed="false">
      <c r="A464" s="0" t="n">
        <v>463</v>
      </c>
      <c r="B464" s="18" t="n">
        <v>1891876.66287055</v>
      </c>
      <c r="C464" s="18" t="n">
        <v>74183.8408350586</v>
      </c>
      <c r="D464" s="0" t="n">
        <v>1</v>
      </c>
    </row>
    <row r="465" customFormat="false" ht="15" hidden="false" customHeight="false" outlineLevel="0" collapsed="false">
      <c r="A465" s="0" t="n">
        <v>464</v>
      </c>
      <c r="B465" s="18" t="n">
        <v>713969.415446758</v>
      </c>
      <c r="C465" s="18" t="n">
        <v>0</v>
      </c>
      <c r="D465" s="0" t="n">
        <v>0</v>
      </c>
      <c r="E465" s="19" t="n">
        <v>41.0833333333333</v>
      </c>
    </row>
    <row r="466" customFormat="false" ht="15" hidden="false" customHeight="false" outlineLevel="0" collapsed="false">
      <c r="A466" s="0" t="n">
        <v>465</v>
      </c>
      <c r="B466" s="18" t="n">
        <v>667867.571303468</v>
      </c>
      <c r="C466" s="18" t="n">
        <v>0</v>
      </c>
      <c r="D466" s="0" t="n">
        <v>0</v>
      </c>
      <c r="E466" s="19" t="n">
        <v>34.25</v>
      </c>
    </row>
    <row r="467" customFormat="false" ht="15" hidden="false" customHeight="false" outlineLevel="0" collapsed="false">
      <c r="A467" s="0" t="n">
        <v>466</v>
      </c>
      <c r="B467" s="18" t="n">
        <v>440796.41010952</v>
      </c>
      <c r="C467" s="18" t="n">
        <v>0</v>
      </c>
      <c r="D467" s="0" t="n">
        <v>0</v>
      </c>
      <c r="E467" s="19" t="n">
        <v>40.1666666666667</v>
      </c>
    </row>
    <row r="468" customFormat="false" ht="15" hidden="false" customHeight="false" outlineLevel="0" collapsed="false">
      <c r="A468" s="0" t="n">
        <v>467</v>
      </c>
      <c r="B468" s="18" t="n">
        <v>1341165.51667806</v>
      </c>
      <c r="C468" s="18" t="n">
        <v>0</v>
      </c>
      <c r="D468" s="0" t="n">
        <v>0</v>
      </c>
      <c r="E468" s="19" t="n">
        <v>45.4166666666667</v>
      </c>
    </row>
    <row r="469" customFormat="false" ht="15" hidden="false" customHeight="false" outlineLevel="0" collapsed="false">
      <c r="A469" s="0" t="n">
        <v>468</v>
      </c>
      <c r="B469" s="18" t="n">
        <v>1909817.37389041</v>
      </c>
      <c r="C469" s="18" t="n">
        <v>903849.069194812</v>
      </c>
      <c r="D469" s="0" t="n">
        <v>1</v>
      </c>
    </row>
    <row r="470" customFormat="false" ht="15" hidden="false" customHeight="false" outlineLevel="0" collapsed="false">
      <c r="A470" s="0" t="n">
        <v>469</v>
      </c>
      <c r="B470" s="18" t="n">
        <v>386403.67347813</v>
      </c>
      <c r="C470" s="18" t="n">
        <v>0</v>
      </c>
      <c r="D470" s="0" t="n">
        <v>0</v>
      </c>
      <c r="E470" s="19" t="n">
        <v>35.9166666666667</v>
      </c>
    </row>
    <row r="471" customFormat="false" ht="15" hidden="false" customHeight="false" outlineLevel="0" collapsed="false">
      <c r="A471" s="0" t="n">
        <v>470</v>
      </c>
      <c r="B471" s="18" t="n">
        <v>1237393.87183634</v>
      </c>
      <c r="C471" s="18" t="n">
        <v>0</v>
      </c>
      <c r="D471" s="0" t="n">
        <v>0</v>
      </c>
      <c r="E471" s="19" t="n">
        <v>54.75</v>
      </c>
    </row>
    <row r="472" customFormat="false" ht="15" hidden="false" customHeight="false" outlineLevel="0" collapsed="false">
      <c r="A472" s="0" t="n">
        <v>471</v>
      </c>
      <c r="B472" s="18" t="n">
        <v>770390.688016837</v>
      </c>
      <c r="C472" s="18" t="n">
        <v>0</v>
      </c>
      <c r="D472" s="0" t="n">
        <v>0</v>
      </c>
      <c r="E472" s="19" t="n">
        <v>35.8333333333333</v>
      </c>
    </row>
    <row r="473" customFormat="false" ht="15" hidden="false" customHeight="false" outlineLevel="0" collapsed="false">
      <c r="A473" s="0" t="n">
        <v>472</v>
      </c>
      <c r="B473" s="18" t="n">
        <v>443480.504825004</v>
      </c>
      <c r="C473" s="18" t="n">
        <v>0</v>
      </c>
      <c r="D473" s="0" t="n">
        <v>0</v>
      </c>
      <c r="E473" s="19" t="n">
        <v>32.1666666666667</v>
      </c>
    </row>
    <row r="474" customFormat="false" ht="15" hidden="false" customHeight="false" outlineLevel="0" collapsed="false">
      <c r="A474" s="0" t="n">
        <v>473</v>
      </c>
      <c r="B474" s="18" t="n">
        <v>998320.898959577</v>
      </c>
      <c r="C474" s="18" t="n">
        <v>4635237.94446928</v>
      </c>
      <c r="D474" s="0" t="n">
        <v>1</v>
      </c>
    </row>
    <row r="475" customFormat="false" ht="15" hidden="false" customHeight="false" outlineLevel="0" collapsed="false">
      <c r="A475" s="0" t="n">
        <v>474</v>
      </c>
      <c r="B475" s="18" t="n">
        <v>886807.149290206</v>
      </c>
      <c r="C475" s="18" t="n">
        <v>667972.39757933</v>
      </c>
      <c r="D475" s="0" t="n">
        <v>1</v>
      </c>
    </row>
    <row r="476" customFormat="false" ht="15" hidden="false" customHeight="false" outlineLevel="0" collapsed="false">
      <c r="A476" s="0" t="n">
        <v>475</v>
      </c>
      <c r="B476" s="18" t="n">
        <v>1085764.39071346</v>
      </c>
      <c r="C476" s="18" t="n">
        <v>5820470.02668398</v>
      </c>
      <c r="D476" s="0" t="n">
        <v>1</v>
      </c>
    </row>
    <row r="477" customFormat="false" ht="15" hidden="false" customHeight="false" outlineLevel="0" collapsed="false">
      <c r="A477" s="0" t="n">
        <v>476</v>
      </c>
      <c r="B477" s="18" t="n">
        <v>3923229.76825704</v>
      </c>
      <c r="C477" s="18" t="n">
        <v>18954422.9034632</v>
      </c>
      <c r="D477" s="0" t="n">
        <v>1</v>
      </c>
    </row>
    <row r="478" customFormat="false" ht="15" hidden="false" customHeight="false" outlineLevel="0" collapsed="false">
      <c r="A478" s="0" t="n">
        <v>477</v>
      </c>
      <c r="B478" s="18" t="n">
        <v>720953.894846253</v>
      </c>
      <c r="C478" s="18" t="n">
        <v>0</v>
      </c>
      <c r="D478" s="0" t="n">
        <v>0</v>
      </c>
      <c r="E478" s="19" t="n">
        <v>35.1666666666667</v>
      </c>
    </row>
    <row r="479" customFormat="false" ht="15" hidden="false" customHeight="false" outlineLevel="0" collapsed="false">
      <c r="A479" s="0" t="n">
        <v>478</v>
      </c>
      <c r="B479" s="18" t="n">
        <v>517134.849708662</v>
      </c>
      <c r="C479" s="18" t="n">
        <v>0</v>
      </c>
      <c r="D479" s="0" t="n">
        <v>0</v>
      </c>
      <c r="E479" s="19" t="n">
        <v>35.8333333333333</v>
      </c>
    </row>
    <row r="480" customFormat="false" ht="15" hidden="false" customHeight="false" outlineLevel="0" collapsed="false">
      <c r="A480" s="0" t="n">
        <v>479</v>
      </c>
      <c r="B480" s="18" t="n">
        <v>1652500.24437937</v>
      </c>
      <c r="C480" s="18" t="n">
        <v>7224815.8319559</v>
      </c>
      <c r="D480" s="0" t="n">
        <v>1</v>
      </c>
    </row>
    <row r="481" customFormat="false" ht="15" hidden="false" customHeight="false" outlineLevel="0" collapsed="false">
      <c r="A481" s="0" t="n">
        <v>480</v>
      </c>
      <c r="B481" s="18" t="n">
        <v>1128268.3040707</v>
      </c>
      <c r="C481" s="18" t="n">
        <v>3970407.3173589</v>
      </c>
      <c r="D481" s="0" t="n">
        <v>1</v>
      </c>
    </row>
    <row r="482" customFormat="false" ht="15" hidden="false" customHeight="false" outlineLevel="0" collapsed="false">
      <c r="A482" s="0" t="n">
        <v>481</v>
      </c>
      <c r="B482" s="18" t="n">
        <v>701204.011263243</v>
      </c>
      <c r="C482" s="18" t="n">
        <v>0</v>
      </c>
      <c r="D482" s="0" t="n">
        <v>0</v>
      </c>
      <c r="E482" s="19" t="n">
        <v>34.6666666666667</v>
      </c>
    </row>
    <row r="483" customFormat="false" ht="15" hidden="false" customHeight="false" outlineLevel="0" collapsed="false">
      <c r="A483" s="0" t="n">
        <v>482</v>
      </c>
      <c r="B483" s="18" t="n">
        <v>364821.383295537</v>
      </c>
      <c r="C483" s="18" t="n">
        <v>0</v>
      </c>
      <c r="D483" s="0" t="n">
        <v>0</v>
      </c>
      <c r="E483" s="19" t="n">
        <v>34.3333333333333</v>
      </c>
    </row>
    <row r="484" customFormat="false" ht="15" hidden="false" customHeight="false" outlineLevel="0" collapsed="false">
      <c r="A484" s="0" t="n">
        <v>483</v>
      </c>
      <c r="B484" s="18" t="n">
        <v>598202.637684237</v>
      </c>
      <c r="C484" s="18" t="n">
        <v>0</v>
      </c>
      <c r="D484" s="0" t="n">
        <v>0</v>
      </c>
      <c r="E484" s="19" t="n">
        <v>33.0833333333333</v>
      </c>
    </row>
    <row r="485" customFormat="false" ht="15" hidden="false" customHeight="false" outlineLevel="0" collapsed="false">
      <c r="A485" s="0" t="n">
        <v>484</v>
      </c>
      <c r="B485" s="18" t="n">
        <v>846752.297594841</v>
      </c>
      <c r="C485" s="18" t="n">
        <v>0</v>
      </c>
      <c r="D485" s="0" t="n">
        <v>0</v>
      </c>
      <c r="E485" s="19" t="n">
        <v>35.8333333333333</v>
      </c>
    </row>
    <row r="486" customFormat="false" ht="15" hidden="false" customHeight="false" outlineLevel="0" collapsed="false">
      <c r="A486" s="0" t="n">
        <v>485</v>
      </c>
      <c r="B486" s="18" t="n">
        <v>948383.617329559</v>
      </c>
      <c r="C486" s="18" t="n">
        <v>0</v>
      </c>
      <c r="D486" s="0" t="n">
        <v>0</v>
      </c>
      <c r="E486" s="19" t="n">
        <v>42.3333333333333</v>
      </c>
    </row>
    <row r="487" customFormat="false" ht="15" hidden="false" customHeight="false" outlineLevel="0" collapsed="false">
      <c r="A487" s="0" t="n">
        <v>486</v>
      </c>
      <c r="B487" s="18" t="n">
        <v>536334.068218736</v>
      </c>
      <c r="C487" s="18" t="n">
        <v>0</v>
      </c>
      <c r="D487" s="0" t="n">
        <v>0</v>
      </c>
      <c r="E487" s="19" t="n">
        <v>36.5</v>
      </c>
    </row>
    <row r="488" customFormat="false" ht="15" hidden="false" customHeight="false" outlineLevel="0" collapsed="false">
      <c r="A488" s="0" t="n">
        <v>487</v>
      </c>
      <c r="B488" s="18" t="n">
        <v>2531001.46126784</v>
      </c>
      <c r="C488" s="18" t="n">
        <v>3464111.14298351</v>
      </c>
      <c r="D488" s="0" t="n">
        <v>1</v>
      </c>
    </row>
    <row r="489" customFormat="false" ht="15" hidden="false" customHeight="false" outlineLevel="0" collapsed="false">
      <c r="A489" s="0" t="n">
        <v>488</v>
      </c>
      <c r="B489" s="18" t="n">
        <v>588580.26234665</v>
      </c>
      <c r="C489" s="18" t="n">
        <v>0</v>
      </c>
      <c r="D489" s="0" t="n">
        <v>0</v>
      </c>
      <c r="E489" s="19" t="n">
        <v>42.9166666666667</v>
      </c>
    </row>
    <row r="490" customFormat="false" ht="15" hidden="false" customHeight="false" outlineLevel="0" collapsed="false">
      <c r="A490" s="0" t="n">
        <v>489</v>
      </c>
      <c r="B490" s="18" t="n">
        <v>4341604.21989437</v>
      </c>
      <c r="C490" s="18" t="n">
        <v>6810327.86764686</v>
      </c>
      <c r="D490" s="0" t="n">
        <v>1</v>
      </c>
    </row>
    <row r="491" customFormat="false" ht="15" hidden="false" customHeight="false" outlineLevel="0" collapsed="false">
      <c r="A491" s="0" t="n">
        <v>490</v>
      </c>
      <c r="B491" s="18" t="n">
        <v>828961.758933689</v>
      </c>
      <c r="C491" s="18" t="n">
        <v>0</v>
      </c>
      <c r="D491" s="0" t="n">
        <v>0</v>
      </c>
      <c r="E491" s="19" t="n">
        <v>37</v>
      </c>
    </row>
    <row r="492" customFormat="false" ht="15" hidden="false" customHeight="false" outlineLevel="0" collapsed="false">
      <c r="A492" s="0" t="n">
        <v>491</v>
      </c>
      <c r="B492" s="18" t="n">
        <v>763005.807562547</v>
      </c>
      <c r="C492" s="18" t="n">
        <v>0</v>
      </c>
      <c r="D492" s="0" t="n">
        <v>0</v>
      </c>
      <c r="E492" s="19" t="n">
        <v>39.5</v>
      </c>
    </row>
    <row r="493" customFormat="false" ht="15" hidden="false" customHeight="false" outlineLevel="0" collapsed="false">
      <c r="A493" s="0" t="n">
        <v>492</v>
      </c>
      <c r="B493" s="18" t="n">
        <v>1130074.95779811</v>
      </c>
      <c r="C493" s="18" t="n">
        <v>0</v>
      </c>
      <c r="D493" s="0" t="n">
        <v>0</v>
      </c>
      <c r="E493" s="19" t="n">
        <v>47.3333333333333</v>
      </c>
    </row>
    <row r="494" customFormat="false" ht="15" hidden="false" customHeight="false" outlineLevel="0" collapsed="false">
      <c r="A494" s="0" t="n">
        <v>493</v>
      </c>
      <c r="B494" s="18" t="n">
        <v>1414252.74545045</v>
      </c>
      <c r="C494" s="18" t="n">
        <v>1558726.01960944</v>
      </c>
      <c r="D494" s="0" t="n">
        <v>1</v>
      </c>
    </row>
    <row r="495" customFormat="false" ht="15" hidden="false" customHeight="false" outlineLevel="0" collapsed="false">
      <c r="A495" s="0" t="n">
        <v>494</v>
      </c>
      <c r="B495" s="18" t="n">
        <v>962816.213026366</v>
      </c>
      <c r="C495" s="18" t="n">
        <v>0</v>
      </c>
      <c r="D495" s="0" t="n">
        <v>0</v>
      </c>
      <c r="E495" s="19" t="n">
        <v>41.8333333333333</v>
      </c>
    </row>
    <row r="496" customFormat="false" ht="15" hidden="false" customHeight="false" outlineLevel="0" collapsed="false">
      <c r="A496" s="0" t="n">
        <v>495</v>
      </c>
      <c r="B496" s="18" t="n">
        <v>1136751.92945386</v>
      </c>
      <c r="C496" s="18" t="n">
        <v>0</v>
      </c>
      <c r="D496" s="0" t="n">
        <v>0</v>
      </c>
      <c r="E496" s="19" t="n">
        <v>46.4166666666667</v>
      </c>
    </row>
    <row r="497" customFormat="false" ht="15" hidden="false" customHeight="false" outlineLevel="0" collapsed="false">
      <c r="A497" s="0" t="n">
        <v>496</v>
      </c>
      <c r="B497" s="18" t="n">
        <v>1524204.40155359</v>
      </c>
      <c r="C497" s="18" t="n">
        <v>1834425.47602183</v>
      </c>
      <c r="D497" s="0" t="n">
        <v>1</v>
      </c>
    </row>
    <row r="498" customFormat="false" ht="15" hidden="false" customHeight="false" outlineLevel="0" collapsed="false">
      <c r="A498" s="0" t="n">
        <v>497</v>
      </c>
      <c r="B498" s="18" t="n">
        <v>716492.731494637</v>
      </c>
      <c r="C498" s="18" t="n">
        <v>0</v>
      </c>
      <c r="D498" s="0" t="n">
        <v>0</v>
      </c>
      <c r="E498" s="19" t="n">
        <v>38</v>
      </c>
    </row>
    <row r="499" customFormat="false" ht="15" hidden="false" customHeight="false" outlineLevel="0" collapsed="false">
      <c r="A499" s="0" t="n">
        <v>498</v>
      </c>
      <c r="B499" s="18" t="n">
        <v>901334.833152745</v>
      </c>
      <c r="C499" s="18" t="n">
        <v>0</v>
      </c>
      <c r="D499" s="0" t="n">
        <v>0</v>
      </c>
      <c r="E499" s="19" t="n">
        <v>49.4166666666667</v>
      </c>
    </row>
    <row r="500" customFormat="false" ht="15" hidden="false" customHeight="false" outlineLevel="0" collapsed="false">
      <c r="A500" s="0" t="n">
        <v>499</v>
      </c>
      <c r="B500" s="18" t="n">
        <v>1289139.776846</v>
      </c>
      <c r="C500" s="18" t="n">
        <v>1080965.36424362</v>
      </c>
      <c r="D500" s="0" t="n">
        <v>1</v>
      </c>
    </row>
    <row r="501" customFormat="false" ht="15" hidden="false" customHeight="false" outlineLevel="0" collapsed="false">
      <c r="A501" s="0" t="n">
        <v>500</v>
      </c>
      <c r="B501" s="18" t="n">
        <v>451630.679377157</v>
      </c>
      <c r="C501" s="18" t="n">
        <v>0</v>
      </c>
      <c r="D501" s="0" t="n">
        <v>0</v>
      </c>
      <c r="E501" s="19" t="n">
        <v>37.1666666666667</v>
      </c>
    </row>
    <row r="502" customFormat="false" ht="15" hidden="false" customHeight="false" outlineLevel="0" collapsed="false">
      <c r="A502" s="0" t="n">
        <v>501</v>
      </c>
      <c r="B502" s="18" t="n">
        <v>1433234.83342045</v>
      </c>
      <c r="C502" s="18" t="n">
        <v>0</v>
      </c>
      <c r="D502" s="0" t="n">
        <v>0</v>
      </c>
      <c r="E502" s="19" t="n">
        <v>41.6666666666667</v>
      </c>
    </row>
    <row r="503" customFormat="false" ht="15" hidden="false" customHeight="false" outlineLevel="0" collapsed="false">
      <c r="A503" s="0" t="n">
        <v>502</v>
      </c>
      <c r="B503" s="18" t="n">
        <v>1424699.65129175</v>
      </c>
      <c r="C503" s="18" t="n">
        <v>3431002.85540631</v>
      </c>
      <c r="D503" s="0" t="n">
        <v>1</v>
      </c>
    </row>
    <row r="504" customFormat="false" ht="15" hidden="false" customHeight="false" outlineLevel="0" collapsed="false">
      <c r="A504" s="0" t="n">
        <v>503</v>
      </c>
      <c r="B504" s="18" t="n">
        <v>745959.897318513</v>
      </c>
      <c r="C504" s="18" t="n">
        <v>0</v>
      </c>
      <c r="D504" s="0" t="n">
        <v>0</v>
      </c>
      <c r="E504" s="19" t="n">
        <v>40.6666666666667</v>
      </c>
    </row>
    <row r="505" customFormat="false" ht="15" hidden="false" customHeight="false" outlineLevel="0" collapsed="false">
      <c r="A505" s="0" t="n">
        <v>504</v>
      </c>
      <c r="B505" s="18" t="n">
        <v>356800.83059999</v>
      </c>
      <c r="C505" s="18" t="n">
        <v>0</v>
      </c>
      <c r="D505" s="0" t="n">
        <v>0</v>
      </c>
      <c r="E505" s="19" t="n">
        <v>34.5833333333333</v>
      </c>
    </row>
    <row r="506" customFormat="false" ht="15" hidden="false" customHeight="false" outlineLevel="0" collapsed="false">
      <c r="A506" s="0" t="n">
        <v>505</v>
      </c>
      <c r="B506" s="18" t="n">
        <v>1009510.42272013</v>
      </c>
      <c r="C506" s="18" t="n">
        <v>3905670.58375842</v>
      </c>
      <c r="D506" s="0" t="n">
        <v>1</v>
      </c>
    </row>
    <row r="507" customFormat="false" ht="15" hidden="false" customHeight="false" outlineLevel="0" collapsed="false">
      <c r="A507" s="0" t="n">
        <v>506</v>
      </c>
      <c r="B507" s="18" t="n">
        <v>491291.794050353</v>
      </c>
      <c r="C507" s="18" t="n">
        <v>0</v>
      </c>
      <c r="D507" s="0" t="n">
        <v>0</v>
      </c>
      <c r="E507" s="19" t="n">
        <v>45.75</v>
      </c>
    </row>
    <row r="508" customFormat="false" ht="15" hidden="false" customHeight="false" outlineLevel="0" collapsed="false">
      <c r="A508" s="0" t="n">
        <v>507</v>
      </c>
      <c r="B508" s="18" t="n">
        <v>1995357.89822521</v>
      </c>
      <c r="C508" s="18" t="n">
        <v>4368833.94276489</v>
      </c>
      <c r="D508" s="0" t="n">
        <v>1</v>
      </c>
    </row>
    <row r="509" customFormat="false" ht="15" hidden="false" customHeight="false" outlineLevel="0" collapsed="false">
      <c r="A509" s="0" t="n">
        <v>508</v>
      </c>
      <c r="B509" s="18" t="n">
        <v>685687.366823455</v>
      </c>
      <c r="C509" s="18" t="n">
        <v>0</v>
      </c>
      <c r="D509" s="0" t="n">
        <v>0</v>
      </c>
      <c r="E509" s="19" t="n">
        <v>36.9166666666667</v>
      </c>
    </row>
    <row r="510" customFormat="false" ht="15" hidden="false" customHeight="false" outlineLevel="0" collapsed="false">
      <c r="A510" s="0" t="n">
        <v>509</v>
      </c>
      <c r="B510" s="18" t="n">
        <v>727372.297850782</v>
      </c>
      <c r="C510" s="18" t="n">
        <v>0</v>
      </c>
      <c r="D510" s="0" t="n">
        <v>0</v>
      </c>
      <c r="E510" s="19" t="n">
        <v>38.75</v>
      </c>
    </row>
    <row r="511" customFormat="false" ht="15" hidden="false" customHeight="false" outlineLevel="0" collapsed="false">
      <c r="A511" s="0" t="n">
        <v>510</v>
      </c>
      <c r="B511" s="18" t="n">
        <v>526277.283956813</v>
      </c>
      <c r="C511" s="18" t="n">
        <v>0</v>
      </c>
      <c r="D511" s="0" t="n">
        <v>0</v>
      </c>
      <c r="E511" s="19" t="n">
        <v>33.5</v>
      </c>
    </row>
    <row r="512" customFormat="false" ht="15" hidden="false" customHeight="false" outlineLevel="0" collapsed="false">
      <c r="A512" s="0" t="n">
        <v>511</v>
      </c>
      <c r="B512" s="18" t="n">
        <v>1494419.75749914</v>
      </c>
      <c r="C512" s="18" t="n">
        <v>14659394.373107</v>
      </c>
      <c r="D512" s="0" t="n">
        <v>1</v>
      </c>
    </row>
    <row r="513" customFormat="false" ht="15" hidden="false" customHeight="false" outlineLevel="0" collapsed="false">
      <c r="A513" s="0" t="n">
        <v>512</v>
      </c>
      <c r="B513" s="18" t="n">
        <v>835333.821839913</v>
      </c>
      <c r="C513" s="18" t="n">
        <v>0</v>
      </c>
      <c r="D513" s="0" t="n">
        <v>0</v>
      </c>
      <c r="E513" s="19" t="n">
        <v>42.5833333333333</v>
      </c>
    </row>
    <row r="514" customFormat="false" ht="15" hidden="false" customHeight="false" outlineLevel="0" collapsed="false">
      <c r="A514" s="0" t="n">
        <v>513</v>
      </c>
      <c r="B514" s="18" t="n">
        <v>516802.087931795</v>
      </c>
      <c r="C514" s="18" t="n">
        <v>0</v>
      </c>
      <c r="D514" s="0" t="n">
        <v>0</v>
      </c>
      <c r="E514" s="19" t="n">
        <v>48.75</v>
      </c>
    </row>
    <row r="515" customFormat="false" ht="15" hidden="false" customHeight="false" outlineLevel="0" collapsed="false">
      <c r="A515" s="0" t="n">
        <v>514</v>
      </c>
      <c r="B515" s="18" t="n">
        <v>449868.492983064</v>
      </c>
      <c r="C515" s="18" t="n">
        <v>0</v>
      </c>
      <c r="D515" s="0" t="n">
        <v>0</v>
      </c>
      <c r="E515" s="19" t="n">
        <v>32.4166666666667</v>
      </c>
    </row>
    <row r="516" customFormat="false" ht="15" hidden="false" customHeight="false" outlineLevel="0" collapsed="false">
      <c r="A516" s="0" t="n">
        <v>515</v>
      </c>
      <c r="B516" s="18" t="n">
        <v>585889.501619477</v>
      </c>
      <c r="C516" s="18" t="n">
        <v>0</v>
      </c>
      <c r="D516" s="0" t="n">
        <v>0</v>
      </c>
      <c r="E516" s="19" t="n">
        <v>40.3333333333333</v>
      </c>
    </row>
    <row r="517" customFormat="false" ht="15" hidden="false" customHeight="false" outlineLevel="0" collapsed="false">
      <c r="A517" s="0" t="n">
        <v>516</v>
      </c>
      <c r="B517" s="18" t="n">
        <v>486446.385241013</v>
      </c>
      <c r="C517" s="18" t="n">
        <v>0</v>
      </c>
      <c r="D517" s="0" t="n">
        <v>0</v>
      </c>
      <c r="E517" s="19" t="n">
        <v>41</v>
      </c>
    </row>
    <row r="518" customFormat="false" ht="15" hidden="false" customHeight="false" outlineLevel="0" collapsed="false">
      <c r="A518" s="0" t="n">
        <v>517</v>
      </c>
      <c r="B518" s="18" t="n">
        <v>659407.823094046</v>
      </c>
      <c r="C518" s="18" t="n">
        <v>0</v>
      </c>
      <c r="D518" s="0" t="n">
        <v>0</v>
      </c>
      <c r="E518" s="19" t="n">
        <v>51</v>
      </c>
    </row>
    <row r="519" customFormat="false" ht="15" hidden="false" customHeight="false" outlineLevel="0" collapsed="false">
      <c r="A519" s="0" t="n">
        <v>518</v>
      </c>
      <c r="B519" s="18" t="n">
        <v>583487.244727072</v>
      </c>
      <c r="C519" s="18" t="n">
        <v>0</v>
      </c>
      <c r="D519" s="0" t="n">
        <v>0</v>
      </c>
      <c r="E519" s="19" t="n">
        <v>38.6666666666667</v>
      </c>
    </row>
    <row r="520" customFormat="false" ht="15" hidden="false" customHeight="false" outlineLevel="0" collapsed="false">
      <c r="A520" s="0" t="n">
        <v>519</v>
      </c>
      <c r="B520" s="18" t="n">
        <v>724878.727595382</v>
      </c>
      <c r="C520" s="18" t="n">
        <v>0</v>
      </c>
      <c r="D520" s="0" t="n">
        <v>0</v>
      </c>
      <c r="E520" s="19" t="n">
        <v>35.75</v>
      </c>
    </row>
    <row r="521" customFormat="false" ht="15" hidden="false" customHeight="false" outlineLevel="0" collapsed="false">
      <c r="A521" s="0" t="n">
        <v>520</v>
      </c>
      <c r="B521" s="18" t="n">
        <v>1326484.47403565</v>
      </c>
      <c r="C521" s="18" t="n">
        <v>17729547.6001076</v>
      </c>
      <c r="D521" s="0" t="n">
        <v>1</v>
      </c>
    </row>
    <row r="522" customFormat="false" ht="15" hidden="false" customHeight="false" outlineLevel="0" collapsed="false">
      <c r="A522" s="0" t="n">
        <v>521</v>
      </c>
      <c r="B522" s="18" t="n">
        <v>1767277.78191707</v>
      </c>
      <c r="C522" s="18" t="n">
        <v>1412463.70999261</v>
      </c>
      <c r="D522" s="0" t="n">
        <v>1</v>
      </c>
    </row>
    <row r="523" customFormat="false" ht="15" hidden="false" customHeight="false" outlineLevel="0" collapsed="false">
      <c r="A523" s="0" t="n">
        <v>522</v>
      </c>
      <c r="B523" s="18" t="n">
        <v>808811.190238785</v>
      </c>
      <c r="C523" s="18" t="n">
        <v>0</v>
      </c>
      <c r="D523" s="0" t="n">
        <v>0</v>
      </c>
      <c r="E523" s="19" t="n">
        <v>47.1666666666667</v>
      </c>
    </row>
    <row r="524" customFormat="false" ht="15" hidden="false" customHeight="false" outlineLevel="0" collapsed="false">
      <c r="A524" s="0" t="n">
        <v>523</v>
      </c>
      <c r="B524" s="18" t="n">
        <v>965525.633760806</v>
      </c>
      <c r="C524" s="18" t="n">
        <v>0</v>
      </c>
      <c r="D524" s="0" t="n">
        <v>0</v>
      </c>
      <c r="E524" s="19" t="n">
        <v>37.9166666666667</v>
      </c>
    </row>
    <row r="525" customFormat="false" ht="15" hidden="false" customHeight="false" outlineLevel="0" collapsed="false">
      <c r="A525" s="0" t="n">
        <v>524</v>
      </c>
      <c r="B525" s="18" t="n">
        <v>1419939.3320061</v>
      </c>
      <c r="C525" s="18" t="n">
        <v>4691784.54099831</v>
      </c>
      <c r="D525" s="0" t="n">
        <v>1</v>
      </c>
    </row>
    <row r="526" customFormat="false" ht="15" hidden="false" customHeight="false" outlineLevel="0" collapsed="false">
      <c r="A526" s="0" t="n">
        <v>525</v>
      </c>
      <c r="B526" s="18" t="n">
        <v>654469.558201191</v>
      </c>
      <c r="C526" s="18" t="n">
        <v>379679.236222555</v>
      </c>
      <c r="D526" s="0" t="n">
        <v>1</v>
      </c>
    </row>
    <row r="527" customFormat="false" ht="15" hidden="false" customHeight="false" outlineLevel="0" collapsed="false">
      <c r="A527" s="0" t="n">
        <v>526</v>
      </c>
      <c r="B527" s="18" t="n">
        <v>1097302.98746549</v>
      </c>
      <c r="C527" s="18" t="n">
        <v>0</v>
      </c>
      <c r="D527" s="0" t="n">
        <v>0</v>
      </c>
      <c r="E527" s="19" t="n">
        <v>45.8333333333333</v>
      </c>
    </row>
    <row r="528" customFormat="false" ht="15" hidden="false" customHeight="false" outlineLevel="0" collapsed="false">
      <c r="A528" s="0" t="n">
        <v>527</v>
      </c>
      <c r="B528" s="18" t="n">
        <v>2584599.35044029</v>
      </c>
      <c r="C528" s="18" t="n">
        <v>9889039.75526711</v>
      </c>
      <c r="D528" s="0" t="n">
        <v>1</v>
      </c>
    </row>
    <row r="529" customFormat="false" ht="15" hidden="false" customHeight="false" outlineLevel="0" collapsed="false">
      <c r="A529" s="0" t="n">
        <v>528</v>
      </c>
      <c r="B529" s="18" t="n">
        <v>791361.633288251</v>
      </c>
      <c r="C529" s="18" t="n">
        <v>0</v>
      </c>
      <c r="D529" s="0" t="n">
        <v>0</v>
      </c>
      <c r="E529" s="19" t="n">
        <v>37.6666666666667</v>
      </c>
    </row>
    <row r="530" customFormat="false" ht="15" hidden="false" customHeight="false" outlineLevel="0" collapsed="false">
      <c r="A530" s="0" t="n">
        <v>529</v>
      </c>
      <c r="B530" s="18" t="n">
        <v>1234045.89830157</v>
      </c>
      <c r="C530" s="18" t="n">
        <v>5424384.52853871</v>
      </c>
      <c r="D530" s="0" t="n">
        <v>1</v>
      </c>
    </row>
    <row r="531" customFormat="false" ht="15" hidden="false" customHeight="false" outlineLevel="0" collapsed="false">
      <c r="A531" s="0" t="n">
        <v>530</v>
      </c>
      <c r="B531" s="18" t="n">
        <v>457262.747161086</v>
      </c>
      <c r="C531" s="18" t="n">
        <v>0</v>
      </c>
      <c r="D531" s="0" t="n">
        <v>0</v>
      </c>
      <c r="E531" s="19" t="n">
        <v>37</v>
      </c>
    </row>
    <row r="532" customFormat="false" ht="15" hidden="false" customHeight="false" outlineLevel="0" collapsed="false">
      <c r="A532" s="0" t="n">
        <v>531</v>
      </c>
      <c r="B532" s="18" t="n">
        <v>541732.589668825</v>
      </c>
      <c r="C532" s="18" t="n">
        <v>0</v>
      </c>
      <c r="D532" s="0" t="n">
        <v>0</v>
      </c>
      <c r="E532" s="19" t="n">
        <v>33.6666666666667</v>
      </c>
    </row>
    <row r="533" customFormat="false" ht="15" hidden="false" customHeight="false" outlineLevel="0" collapsed="false">
      <c r="A533" s="0" t="n">
        <v>532</v>
      </c>
      <c r="B533" s="18" t="n">
        <v>1178118.33754417</v>
      </c>
      <c r="C533" s="18" t="n">
        <v>1671537.55328675</v>
      </c>
      <c r="D533" s="0" t="n">
        <v>1</v>
      </c>
    </row>
    <row r="534" customFormat="false" ht="15" hidden="false" customHeight="false" outlineLevel="0" collapsed="false">
      <c r="A534" s="0" t="n">
        <v>533</v>
      </c>
      <c r="B534" s="18" t="n">
        <v>360016.761682939</v>
      </c>
      <c r="C534" s="18" t="n">
        <v>0</v>
      </c>
      <c r="D534" s="0" t="n">
        <v>0</v>
      </c>
      <c r="E534" s="19" t="n">
        <v>32.25</v>
      </c>
    </row>
    <row r="535" customFormat="false" ht="15" hidden="false" customHeight="false" outlineLevel="0" collapsed="false">
      <c r="A535" s="0" t="n">
        <v>534</v>
      </c>
      <c r="B535" s="18" t="n">
        <v>384887.658700515</v>
      </c>
      <c r="C535" s="18" t="n">
        <v>0</v>
      </c>
      <c r="D535" s="0" t="n">
        <v>0</v>
      </c>
      <c r="E535" s="19" t="n">
        <v>34.5833333333333</v>
      </c>
    </row>
    <row r="536" customFormat="false" ht="15" hidden="false" customHeight="false" outlineLevel="0" collapsed="false">
      <c r="A536" s="0" t="n">
        <v>535</v>
      </c>
      <c r="B536" s="18" t="n">
        <v>775305.689690362</v>
      </c>
      <c r="C536" s="18" t="n">
        <v>123292.980847846</v>
      </c>
      <c r="D536" s="0" t="n">
        <v>1</v>
      </c>
    </row>
    <row r="537" customFormat="false" ht="15" hidden="false" customHeight="false" outlineLevel="0" collapsed="false">
      <c r="A537" s="0" t="n">
        <v>536</v>
      </c>
      <c r="B537" s="18" t="n">
        <v>765568.882647436</v>
      </c>
      <c r="C537" s="18" t="n">
        <v>0</v>
      </c>
      <c r="D537" s="0" t="n">
        <v>0</v>
      </c>
      <c r="E537" s="19" t="n">
        <v>48.1666666666667</v>
      </c>
    </row>
    <row r="538" customFormat="false" ht="15" hidden="false" customHeight="false" outlineLevel="0" collapsed="false">
      <c r="A538" s="0" t="n">
        <v>537</v>
      </c>
      <c r="B538" s="18" t="n">
        <v>890645.963798409</v>
      </c>
      <c r="C538" s="18" t="n">
        <v>0</v>
      </c>
      <c r="D538" s="0" t="n">
        <v>0</v>
      </c>
      <c r="E538" s="19" t="n">
        <v>33.8333333333333</v>
      </c>
    </row>
    <row r="539" customFormat="false" ht="15" hidden="false" customHeight="false" outlineLevel="0" collapsed="false">
      <c r="A539" s="0" t="n">
        <v>538</v>
      </c>
      <c r="B539" s="18" t="n">
        <v>981444.061836833</v>
      </c>
      <c r="C539" s="18" t="n">
        <v>0</v>
      </c>
      <c r="D539" s="0" t="n">
        <v>0</v>
      </c>
      <c r="E539" s="19" t="n">
        <v>39.25</v>
      </c>
    </row>
    <row r="540" customFormat="false" ht="15" hidden="false" customHeight="false" outlineLevel="0" collapsed="false">
      <c r="A540" s="0" t="n">
        <v>539</v>
      </c>
      <c r="B540" s="18" t="n">
        <v>1780922.6921762</v>
      </c>
      <c r="C540" s="18" t="n">
        <v>1236754.50549102</v>
      </c>
      <c r="D540" s="0" t="n">
        <v>1</v>
      </c>
    </row>
    <row r="541" customFormat="false" ht="15" hidden="false" customHeight="false" outlineLevel="0" collapsed="false">
      <c r="A541" s="0" t="n">
        <v>540</v>
      </c>
      <c r="B541" s="18" t="n">
        <v>636572.348533585</v>
      </c>
      <c r="C541" s="18" t="n">
        <v>0</v>
      </c>
      <c r="D541" s="0" t="n">
        <v>0</v>
      </c>
      <c r="E541" s="19" t="n">
        <v>32.8333333333333</v>
      </c>
    </row>
    <row r="542" customFormat="false" ht="15" hidden="false" customHeight="false" outlineLevel="0" collapsed="false">
      <c r="A542" s="0" t="n">
        <v>541</v>
      </c>
      <c r="B542" s="18" t="n">
        <v>536682.745866416</v>
      </c>
      <c r="C542" s="18" t="n">
        <v>0</v>
      </c>
      <c r="D542" s="0" t="n">
        <v>0</v>
      </c>
      <c r="E542" s="19" t="n">
        <v>36.5833333333333</v>
      </c>
    </row>
    <row r="543" customFormat="false" ht="15" hidden="false" customHeight="false" outlineLevel="0" collapsed="false">
      <c r="A543" s="0" t="n">
        <v>542</v>
      </c>
      <c r="B543" s="18" t="n">
        <v>2845306.20874228</v>
      </c>
      <c r="C543" s="18" t="n">
        <v>6013463.98066564</v>
      </c>
      <c r="D543" s="0" t="n">
        <v>1</v>
      </c>
    </row>
    <row r="544" customFormat="false" ht="15" hidden="false" customHeight="false" outlineLevel="0" collapsed="false">
      <c r="A544" s="0" t="n">
        <v>543</v>
      </c>
      <c r="B544" s="18" t="n">
        <v>914724.361084582</v>
      </c>
      <c r="C544" s="18" t="n">
        <v>1647509.04800943</v>
      </c>
      <c r="D544" s="0" t="n">
        <v>1</v>
      </c>
    </row>
    <row r="545" customFormat="false" ht="15" hidden="false" customHeight="false" outlineLevel="0" collapsed="false">
      <c r="A545" s="0" t="n">
        <v>544</v>
      </c>
      <c r="B545" s="18" t="n">
        <v>909933.973254173</v>
      </c>
      <c r="C545" s="18" t="n">
        <v>341245.427052259</v>
      </c>
      <c r="D545" s="0" t="n">
        <v>1</v>
      </c>
    </row>
    <row r="546" customFormat="false" ht="15" hidden="false" customHeight="false" outlineLevel="0" collapsed="false">
      <c r="A546" s="0" t="n">
        <v>545</v>
      </c>
      <c r="B546" s="18" t="n">
        <v>764381.668807798</v>
      </c>
      <c r="C546" s="18" t="n">
        <v>0</v>
      </c>
      <c r="D546" s="0" t="n">
        <v>0</v>
      </c>
      <c r="E546" s="19" t="n">
        <v>45.75</v>
      </c>
    </row>
    <row r="547" customFormat="false" ht="15" hidden="false" customHeight="false" outlineLevel="0" collapsed="false">
      <c r="A547" s="0" t="n">
        <v>546</v>
      </c>
      <c r="B547" s="18" t="n">
        <v>1565762.7441945</v>
      </c>
      <c r="C547" s="18" t="n">
        <v>11412286.9485237</v>
      </c>
      <c r="D547" s="0" t="n">
        <v>1</v>
      </c>
    </row>
    <row r="548" customFormat="false" ht="15" hidden="false" customHeight="false" outlineLevel="0" collapsed="false">
      <c r="A548" s="0" t="n">
        <v>547</v>
      </c>
      <c r="B548" s="18" t="n">
        <v>1084670.51809913</v>
      </c>
      <c r="C548" s="18" t="n">
        <v>0</v>
      </c>
      <c r="D548" s="0" t="n">
        <v>0</v>
      </c>
      <c r="E548" s="19" t="n">
        <v>48.1666666666667</v>
      </c>
    </row>
    <row r="549" customFormat="false" ht="15" hidden="false" customHeight="false" outlineLevel="0" collapsed="false">
      <c r="A549" s="0" t="n">
        <v>548</v>
      </c>
      <c r="B549" s="18" t="n">
        <v>568870.458291596</v>
      </c>
      <c r="C549" s="18" t="n">
        <v>0</v>
      </c>
      <c r="D549" s="0" t="n">
        <v>0</v>
      </c>
      <c r="E549" s="19" t="n">
        <v>38.1666666666667</v>
      </c>
    </row>
    <row r="550" customFormat="false" ht="15" hidden="false" customHeight="false" outlineLevel="0" collapsed="false">
      <c r="A550" s="0" t="n">
        <v>549</v>
      </c>
      <c r="B550" s="18" t="n">
        <v>1286983.15851202</v>
      </c>
      <c r="C550" s="18" t="n">
        <v>0</v>
      </c>
      <c r="D550" s="0" t="n">
        <v>0</v>
      </c>
      <c r="E550" s="19" t="n">
        <v>41.75</v>
      </c>
    </row>
    <row r="551" customFormat="false" ht="15" hidden="false" customHeight="false" outlineLevel="0" collapsed="false">
      <c r="A551" s="0" t="n">
        <v>550</v>
      </c>
      <c r="B551" s="18" t="n">
        <v>778272.756497332</v>
      </c>
      <c r="C551" s="18" t="n">
        <v>0</v>
      </c>
      <c r="D551" s="0" t="n">
        <v>0</v>
      </c>
      <c r="E551" s="19" t="n">
        <v>45</v>
      </c>
    </row>
    <row r="552" customFormat="false" ht="15" hidden="false" customHeight="false" outlineLevel="0" collapsed="false">
      <c r="A552" s="0" t="n">
        <v>551</v>
      </c>
      <c r="B552" s="18" t="n">
        <v>958497.076820963</v>
      </c>
      <c r="C552" s="18" t="n">
        <v>0</v>
      </c>
      <c r="D552" s="0" t="n">
        <v>0</v>
      </c>
      <c r="E552" s="19" t="n">
        <v>50.5</v>
      </c>
    </row>
    <row r="553" customFormat="false" ht="15" hidden="false" customHeight="false" outlineLevel="0" collapsed="false">
      <c r="A553" s="0" t="n">
        <v>552</v>
      </c>
      <c r="B553" s="18" t="n">
        <v>563846.517383234</v>
      </c>
      <c r="C553" s="18" t="n">
        <v>0</v>
      </c>
      <c r="D553" s="0" t="n">
        <v>0</v>
      </c>
      <c r="E553" s="19" t="n">
        <v>34</v>
      </c>
    </row>
    <row r="554" customFormat="false" ht="15" hidden="false" customHeight="false" outlineLevel="0" collapsed="false">
      <c r="A554" s="0" t="n">
        <v>553</v>
      </c>
      <c r="B554" s="18" t="n">
        <v>626157.733038136</v>
      </c>
      <c r="C554" s="18" t="n">
        <v>0</v>
      </c>
      <c r="D554" s="0" t="n">
        <v>0</v>
      </c>
      <c r="E554" s="19" t="n">
        <v>36.1666666666667</v>
      </c>
    </row>
    <row r="555" customFormat="false" ht="15" hidden="false" customHeight="false" outlineLevel="0" collapsed="false">
      <c r="A555" s="0" t="n">
        <v>554</v>
      </c>
      <c r="B555" s="18" t="n">
        <v>471855.471112848</v>
      </c>
      <c r="C555" s="18" t="n">
        <v>0</v>
      </c>
      <c r="D555" s="0" t="n">
        <v>0</v>
      </c>
      <c r="E555" s="19" t="n">
        <v>32.5</v>
      </c>
    </row>
    <row r="556" customFormat="false" ht="15" hidden="false" customHeight="false" outlineLevel="0" collapsed="false">
      <c r="A556" s="0" t="n">
        <v>555</v>
      </c>
      <c r="B556" s="18" t="n">
        <v>382121.497398723</v>
      </c>
      <c r="C556" s="18" t="n">
        <v>0</v>
      </c>
      <c r="D556" s="0" t="n">
        <v>0</v>
      </c>
      <c r="E556" s="19" t="n">
        <v>32.75</v>
      </c>
    </row>
    <row r="557" customFormat="false" ht="15" hidden="false" customHeight="false" outlineLevel="0" collapsed="false">
      <c r="A557" s="0" t="n">
        <v>556</v>
      </c>
      <c r="B557" s="18" t="n">
        <v>446010.972731123</v>
      </c>
      <c r="C557" s="18" t="n">
        <v>0</v>
      </c>
      <c r="D557" s="0" t="n">
        <v>0</v>
      </c>
      <c r="E557" s="19" t="n">
        <v>35</v>
      </c>
    </row>
    <row r="558" customFormat="false" ht="15" hidden="false" customHeight="false" outlineLevel="0" collapsed="false">
      <c r="A558" s="0" t="n">
        <v>557</v>
      </c>
      <c r="B558" s="18" t="n">
        <v>1716708.97851983</v>
      </c>
      <c r="C558" s="18" t="n">
        <v>2877875.60551417</v>
      </c>
      <c r="D558" s="0" t="n">
        <v>1</v>
      </c>
    </row>
    <row r="559" customFormat="false" ht="15" hidden="false" customHeight="false" outlineLevel="0" collapsed="false">
      <c r="A559" s="0" t="n">
        <v>558</v>
      </c>
      <c r="B559" s="18" t="n">
        <v>945547.312539353</v>
      </c>
      <c r="C559" s="18" t="n">
        <v>1253098.91414733</v>
      </c>
      <c r="D559" s="0" t="n">
        <v>1</v>
      </c>
    </row>
    <row r="560" customFormat="false" ht="15" hidden="false" customHeight="false" outlineLevel="0" collapsed="false">
      <c r="A560" s="0" t="n">
        <v>559</v>
      </c>
      <c r="B560" s="18" t="n">
        <v>875663.557621811</v>
      </c>
      <c r="C560" s="18" t="n">
        <v>638850.059999863</v>
      </c>
      <c r="D560" s="0" t="n">
        <v>1</v>
      </c>
    </row>
    <row r="561" customFormat="false" ht="15" hidden="false" customHeight="false" outlineLevel="0" collapsed="false">
      <c r="A561" s="0" t="n">
        <v>560</v>
      </c>
      <c r="B561" s="18" t="n">
        <v>456867.612843129</v>
      </c>
      <c r="C561" s="18" t="n">
        <v>0</v>
      </c>
      <c r="D561" s="0" t="n">
        <v>0</v>
      </c>
      <c r="E561" s="19" t="n">
        <v>37</v>
      </c>
    </row>
    <row r="562" customFormat="false" ht="15" hidden="false" customHeight="false" outlineLevel="0" collapsed="false">
      <c r="A562" s="0" t="n">
        <v>561</v>
      </c>
      <c r="B562" s="18" t="n">
        <v>513523.742996713</v>
      </c>
      <c r="C562" s="18" t="n">
        <v>0</v>
      </c>
      <c r="D562" s="0" t="n">
        <v>0</v>
      </c>
      <c r="E562" s="19" t="n">
        <v>32.0833333333333</v>
      </c>
    </row>
    <row r="563" customFormat="false" ht="15" hidden="false" customHeight="false" outlineLevel="0" collapsed="false">
      <c r="A563" s="0" t="n">
        <v>562</v>
      </c>
      <c r="B563" s="18" t="n">
        <v>575365.187045723</v>
      </c>
      <c r="C563" s="18" t="n">
        <v>0</v>
      </c>
      <c r="D563" s="0" t="n">
        <v>0</v>
      </c>
      <c r="E563" s="19" t="n">
        <v>34.6666666666667</v>
      </c>
    </row>
    <row r="564" customFormat="false" ht="15" hidden="false" customHeight="false" outlineLevel="0" collapsed="false">
      <c r="A564" s="0" t="n">
        <v>563</v>
      </c>
      <c r="B564" s="18" t="n">
        <v>864634.066941147</v>
      </c>
      <c r="C564" s="18" t="n">
        <v>7443498.75866198</v>
      </c>
      <c r="D564" s="0" t="n">
        <v>1</v>
      </c>
    </row>
    <row r="565" customFormat="false" ht="15" hidden="false" customHeight="false" outlineLevel="0" collapsed="false">
      <c r="A565" s="0" t="n">
        <v>564</v>
      </c>
      <c r="B565" s="18" t="n">
        <v>399384.31407401</v>
      </c>
      <c r="C565" s="18" t="n">
        <v>0</v>
      </c>
      <c r="D565" s="0" t="n">
        <v>0</v>
      </c>
      <c r="E565" s="19" t="n">
        <v>34.6666666666667</v>
      </c>
    </row>
    <row r="566" customFormat="false" ht="15" hidden="false" customHeight="false" outlineLevel="0" collapsed="false">
      <c r="A566" s="0" t="n">
        <v>565</v>
      </c>
      <c r="B566" s="18" t="n">
        <v>955926.013050331</v>
      </c>
      <c r="C566" s="18" t="n">
        <v>0</v>
      </c>
      <c r="D566" s="0" t="n">
        <v>0</v>
      </c>
      <c r="E566" s="19" t="n">
        <v>50</v>
      </c>
    </row>
    <row r="567" customFormat="false" ht="15" hidden="false" customHeight="false" outlineLevel="0" collapsed="false">
      <c r="A567" s="0" t="n">
        <v>566</v>
      </c>
      <c r="B567" s="18" t="n">
        <v>427731.761864698</v>
      </c>
      <c r="C567" s="18" t="n">
        <v>0</v>
      </c>
      <c r="D567" s="0" t="n">
        <v>0</v>
      </c>
      <c r="E567" s="19" t="n">
        <v>39.75</v>
      </c>
    </row>
    <row r="568" customFormat="false" ht="15" hidden="false" customHeight="false" outlineLevel="0" collapsed="false">
      <c r="A568" s="0" t="n">
        <v>567</v>
      </c>
      <c r="B568" s="18" t="n">
        <v>783625.957970196</v>
      </c>
      <c r="C568" s="18" t="n">
        <v>0</v>
      </c>
      <c r="D568" s="0" t="n">
        <v>0</v>
      </c>
      <c r="E568" s="19" t="n">
        <v>43.25</v>
      </c>
    </row>
    <row r="569" customFormat="false" ht="15" hidden="false" customHeight="false" outlineLevel="0" collapsed="false">
      <c r="A569" s="0" t="n">
        <v>568</v>
      </c>
      <c r="B569" s="18" t="n">
        <v>569851.269050225</v>
      </c>
      <c r="C569" s="18" t="n">
        <v>0</v>
      </c>
      <c r="D569" s="0" t="n">
        <v>0</v>
      </c>
      <c r="E569" s="19" t="n">
        <v>35.0833333333333</v>
      </c>
    </row>
    <row r="570" customFormat="false" ht="15" hidden="false" customHeight="false" outlineLevel="0" collapsed="false">
      <c r="A570" s="0" t="n">
        <v>569</v>
      </c>
      <c r="B570" s="18" t="n">
        <v>615179.334966396</v>
      </c>
      <c r="C570" s="18" t="n">
        <v>0</v>
      </c>
      <c r="D570" s="0" t="n">
        <v>0</v>
      </c>
      <c r="E570" s="19" t="n">
        <v>39.0833333333333</v>
      </c>
    </row>
    <row r="571" customFormat="false" ht="15" hidden="false" customHeight="false" outlineLevel="0" collapsed="false">
      <c r="A571" s="0" t="n">
        <v>570</v>
      </c>
      <c r="B571" s="18" t="n">
        <v>773805.057359974</v>
      </c>
      <c r="C571" s="18" t="n">
        <v>0</v>
      </c>
      <c r="D571" s="0" t="n">
        <v>0</v>
      </c>
      <c r="E571" s="19" t="n">
        <v>36.9166666666667</v>
      </c>
    </row>
    <row r="572" customFormat="false" ht="15" hidden="false" customHeight="false" outlineLevel="0" collapsed="false">
      <c r="A572" s="0" t="n">
        <v>571</v>
      </c>
      <c r="B572" s="18" t="n">
        <v>848984.68301999</v>
      </c>
      <c r="C572" s="18" t="n">
        <v>0</v>
      </c>
      <c r="D572" s="0" t="n">
        <v>0</v>
      </c>
      <c r="E572" s="19" t="n">
        <v>43.5833333333333</v>
      </c>
    </row>
    <row r="573" customFormat="false" ht="15" hidden="false" customHeight="false" outlineLevel="0" collapsed="false">
      <c r="A573" s="0" t="n">
        <v>572</v>
      </c>
      <c r="B573" s="18" t="n">
        <v>720344.954266558</v>
      </c>
      <c r="C573" s="18" t="n">
        <v>0</v>
      </c>
      <c r="D573" s="0" t="n">
        <v>0</v>
      </c>
      <c r="E573" s="19" t="n">
        <v>32.9166666666667</v>
      </c>
    </row>
    <row r="574" customFormat="false" ht="15" hidden="false" customHeight="false" outlineLevel="0" collapsed="false">
      <c r="A574" s="0" t="n">
        <v>573</v>
      </c>
      <c r="B574" s="18" t="n">
        <v>1899242.41727187</v>
      </c>
      <c r="C574" s="18" t="n">
        <v>1751777.42568437</v>
      </c>
      <c r="D574" s="0" t="n">
        <v>1</v>
      </c>
    </row>
    <row r="575" customFormat="false" ht="15" hidden="false" customHeight="false" outlineLevel="0" collapsed="false">
      <c r="A575" s="0" t="n">
        <v>574</v>
      </c>
      <c r="B575" s="18" t="n">
        <v>1012004.42819782</v>
      </c>
      <c r="C575" s="18" t="n">
        <v>4525958.7605583</v>
      </c>
      <c r="D575" s="0" t="n">
        <v>1</v>
      </c>
    </row>
    <row r="576" customFormat="false" ht="15" hidden="false" customHeight="false" outlineLevel="0" collapsed="false">
      <c r="A576" s="0" t="n">
        <v>575</v>
      </c>
      <c r="B576" s="18" t="n">
        <v>1259545.70760141</v>
      </c>
      <c r="C576" s="18" t="n">
        <v>0</v>
      </c>
      <c r="D576" s="0" t="n">
        <v>0</v>
      </c>
      <c r="E576" s="19" t="n">
        <v>43.4166666666667</v>
      </c>
    </row>
    <row r="577" customFormat="false" ht="15" hidden="false" customHeight="false" outlineLevel="0" collapsed="false">
      <c r="A577" s="0" t="n">
        <v>576</v>
      </c>
      <c r="B577" s="18" t="n">
        <v>1006183.71039405</v>
      </c>
      <c r="C577" s="18" t="n">
        <v>1371162.8557334</v>
      </c>
      <c r="D577" s="0" t="n">
        <v>1</v>
      </c>
    </row>
    <row r="578" customFormat="false" ht="15" hidden="false" customHeight="false" outlineLevel="0" collapsed="false">
      <c r="A578" s="0" t="n">
        <v>577</v>
      </c>
      <c r="B578" s="18" t="n">
        <v>592412.767547731</v>
      </c>
      <c r="C578" s="18" t="n">
        <v>0</v>
      </c>
      <c r="D578" s="0" t="n">
        <v>0</v>
      </c>
      <c r="E578" s="19" t="n">
        <v>39.75</v>
      </c>
    </row>
    <row r="579" customFormat="false" ht="15" hidden="false" customHeight="false" outlineLevel="0" collapsed="false">
      <c r="A579" s="0" t="n">
        <v>578</v>
      </c>
      <c r="B579" s="18" t="n">
        <v>863723.791838214</v>
      </c>
      <c r="C579" s="18" t="n">
        <v>5819853.67697688</v>
      </c>
      <c r="D579" s="0" t="n">
        <v>1</v>
      </c>
    </row>
    <row r="580" customFormat="false" ht="15" hidden="false" customHeight="false" outlineLevel="0" collapsed="false">
      <c r="A580" s="0" t="n">
        <v>579</v>
      </c>
      <c r="B580" s="18" t="n">
        <v>1392680.3685577</v>
      </c>
      <c r="C580" s="18" t="n">
        <v>0</v>
      </c>
      <c r="D580" s="0" t="n">
        <v>0</v>
      </c>
      <c r="E580" s="19" t="n">
        <v>45.0833333333333</v>
      </c>
    </row>
    <row r="581" customFormat="false" ht="15" hidden="false" customHeight="false" outlineLevel="0" collapsed="false">
      <c r="A581" s="0" t="n">
        <v>580</v>
      </c>
      <c r="B581" s="18" t="n">
        <v>2471854.58300523</v>
      </c>
      <c r="C581" s="18" t="n">
        <v>48919083.0861857</v>
      </c>
      <c r="D581" s="0" t="n">
        <v>1</v>
      </c>
    </row>
    <row r="582" customFormat="false" ht="15" hidden="false" customHeight="false" outlineLevel="0" collapsed="false">
      <c r="A582" s="0" t="n">
        <v>581</v>
      </c>
      <c r="B582" s="18" t="n">
        <v>1519481.5381946</v>
      </c>
      <c r="C582" s="18" t="n">
        <v>0</v>
      </c>
      <c r="D582" s="0" t="n">
        <v>0</v>
      </c>
      <c r="E582" s="19" t="n">
        <v>54</v>
      </c>
    </row>
    <row r="583" customFormat="false" ht="15" hidden="false" customHeight="false" outlineLevel="0" collapsed="false">
      <c r="A583" s="0" t="n">
        <v>582</v>
      </c>
      <c r="B583" s="18" t="n">
        <v>1404408.53009119</v>
      </c>
      <c r="C583" s="18" t="n">
        <v>487832.80987492</v>
      </c>
      <c r="D583" s="0" t="n">
        <v>1</v>
      </c>
    </row>
    <row r="584" customFormat="false" ht="15" hidden="false" customHeight="false" outlineLevel="0" collapsed="false">
      <c r="A584" s="0" t="n">
        <v>583</v>
      </c>
      <c r="B584" s="18" t="n">
        <v>1219336.38971217</v>
      </c>
      <c r="C584" s="18" t="n">
        <v>2702793.91569918</v>
      </c>
      <c r="D584" s="0" t="n">
        <v>1</v>
      </c>
    </row>
    <row r="585" customFormat="false" ht="15" hidden="false" customHeight="false" outlineLevel="0" collapsed="false">
      <c r="A585" s="0" t="n">
        <v>584</v>
      </c>
      <c r="B585" s="18" t="n">
        <v>1227713.2838093</v>
      </c>
      <c r="C585" s="18" t="n">
        <v>1287658.11214701</v>
      </c>
      <c r="D585" s="0" t="n">
        <v>1</v>
      </c>
    </row>
    <row r="586" customFormat="false" ht="15" hidden="false" customHeight="false" outlineLevel="0" collapsed="false">
      <c r="A586" s="0" t="n">
        <v>585</v>
      </c>
      <c r="B586" s="18" t="n">
        <v>932261.206085037</v>
      </c>
      <c r="C586" s="18" t="n">
        <v>0</v>
      </c>
      <c r="D586" s="0" t="n">
        <v>0</v>
      </c>
      <c r="E586" s="19" t="n">
        <v>47.5833333333333</v>
      </c>
    </row>
    <row r="587" customFormat="false" ht="15" hidden="false" customHeight="false" outlineLevel="0" collapsed="false">
      <c r="A587" s="0" t="n">
        <v>586</v>
      </c>
      <c r="B587" s="18" t="n">
        <v>516413.33120266</v>
      </c>
      <c r="C587" s="18" t="n">
        <v>0</v>
      </c>
      <c r="D587" s="0" t="n">
        <v>0</v>
      </c>
      <c r="E587" s="19" t="n">
        <v>40.8333333333333</v>
      </c>
    </row>
    <row r="588" customFormat="false" ht="15" hidden="false" customHeight="false" outlineLevel="0" collapsed="false">
      <c r="A588" s="0" t="n">
        <v>587</v>
      </c>
      <c r="B588" s="18" t="n">
        <v>302578.962322717</v>
      </c>
      <c r="C588" s="18" t="n">
        <v>0</v>
      </c>
      <c r="D588" s="0" t="n">
        <v>0</v>
      </c>
      <c r="E588" s="19" t="n">
        <v>30.9166666666667</v>
      </c>
    </row>
    <row r="589" customFormat="false" ht="15" hidden="false" customHeight="false" outlineLevel="0" collapsed="false">
      <c r="A589" s="0" t="n">
        <v>588</v>
      </c>
      <c r="B589" s="18" t="n">
        <v>880453.416126321</v>
      </c>
      <c r="C589" s="18" t="n">
        <v>0</v>
      </c>
      <c r="D589" s="0" t="n">
        <v>0</v>
      </c>
      <c r="E589" s="19" t="n">
        <v>54.4166666666667</v>
      </c>
    </row>
    <row r="590" customFormat="false" ht="15" hidden="false" customHeight="false" outlineLevel="0" collapsed="false">
      <c r="A590" s="0" t="n">
        <v>589</v>
      </c>
      <c r="B590" s="18" t="n">
        <v>907415.965766961</v>
      </c>
      <c r="C590" s="18" t="n">
        <v>0</v>
      </c>
      <c r="D590" s="0" t="n">
        <v>0</v>
      </c>
      <c r="E590" s="19" t="n">
        <v>33.5833333333333</v>
      </c>
    </row>
    <row r="591" customFormat="false" ht="15" hidden="false" customHeight="false" outlineLevel="0" collapsed="false">
      <c r="A591" s="0" t="n">
        <v>590</v>
      </c>
      <c r="B591" s="18" t="n">
        <v>1009958.62885584</v>
      </c>
      <c r="C591" s="18" t="n">
        <v>5044683.98984272</v>
      </c>
      <c r="D591" s="0" t="n">
        <v>1</v>
      </c>
    </row>
    <row r="592" customFormat="false" ht="15" hidden="false" customHeight="false" outlineLevel="0" collapsed="false">
      <c r="A592" s="0" t="n">
        <v>591</v>
      </c>
      <c r="B592" s="18" t="n">
        <v>1233228.86097527</v>
      </c>
      <c r="C592" s="18" t="n">
        <v>0</v>
      </c>
      <c r="D592" s="0" t="n">
        <v>0</v>
      </c>
      <c r="E592" s="19" t="n">
        <v>42.1666666666667</v>
      </c>
    </row>
    <row r="593" customFormat="false" ht="15" hidden="false" customHeight="false" outlineLevel="0" collapsed="false">
      <c r="A593" s="0" t="n">
        <v>592</v>
      </c>
      <c r="B593" s="18" t="n">
        <v>691229.383248704</v>
      </c>
      <c r="C593" s="18" t="n">
        <v>0</v>
      </c>
      <c r="D593" s="0" t="n">
        <v>0</v>
      </c>
      <c r="E593" s="19" t="n">
        <v>38.3333333333333</v>
      </c>
    </row>
    <row r="594" customFormat="false" ht="15" hidden="false" customHeight="false" outlineLevel="0" collapsed="false">
      <c r="A594" s="0" t="n">
        <v>593</v>
      </c>
      <c r="B594" s="18" t="n">
        <v>932958.391357558</v>
      </c>
      <c r="C594" s="18" t="n">
        <v>2328597.20139191</v>
      </c>
      <c r="D594" s="0" t="n">
        <v>1</v>
      </c>
    </row>
    <row r="595" customFormat="false" ht="15" hidden="false" customHeight="false" outlineLevel="0" collapsed="false">
      <c r="A595" s="0" t="n">
        <v>594</v>
      </c>
      <c r="B595" s="18" t="n">
        <v>1949282.75238022</v>
      </c>
      <c r="C595" s="18" t="n">
        <v>12334674.9432976</v>
      </c>
      <c r="D595" s="0" t="n">
        <v>1</v>
      </c>
    </row>
    <row r="596" customFormat="false" ht="15" hidden="false" customHeight="false" outlineLevel="0" collapsed="false">
      <c r="A596" s="0" t="n">
        <v>595</v>
      </c>
      <c r="B596" s="18" t="n">
        <v>878295.287769763</v>
      </c>
      <c r="C596" s="18" t="n">
        <v>0</v>
      </c>
      <c r="D596" s="0" t="n">
        <v>0</v>
      </c>
      <c r="E596" s="19" t="n">
        <v>35.9166666666667</v>
      </c>
    </row>
    <row r="597" customFormat="false" ht="15" hidden="false" customHeight="false" outlineLevel="0" collapsed="false">
      <c r="A597" s="0" t="n">
        <v>596</v>
      </c>
      <c r="B597" s="18" t="n">
        <v>1389972.6188384</v>
      </c>
      <c r="C597" s="18" t="n">
        <v>0</v>
      </c>
      <c r="D597" s="0" t="n">
        <v>0</v>
      </c>
      <c r="E597" s="19" t="n">
        <v>42.5833333333333</v>
      </c>
    </row>
    <row r="598" customFormat="false" ht="15" hidden="false" customHeight="false" outlineLevel="0" collapsed="false">
      <c r="A598" s="0" t="n">
        <v>597</v>
      </c>
      <c r="B598" s="18" t="n">
        <v>716607.158823441</v>
      </c>
      <c r="C598" s="18" t="n">
        <v>0</v>
      </c>
      <c r="D598" s="0" t="n">
        <v>0</v>
      </c>
      <c r="E598" s="19" t="n">
        <v>33.3333333333333</v>
      </c>
    </row>
    <row r="599" customFormat="false" ht="15" hidden="false" customHeight="false" outlineLevel="0" collapsed="false">
      <c r="A599" s="0" t="n">
        <v>598</v>
      </c>
      <c r="B599" s="18" t="n">
        <v>502494.529351843</v>
      </c>
      <c r="C599" s="18" t="n">
        <v>0</v>
      </c>
      <c r="D599" s="0" t="n">
        <v>0</v>
      </c>
      <c r="E599" s="19" t="n">
        <v>37.3333333333333</v>
      </c>
    </row>
    <row r="600" customFormat="false" ht="15" hidden="false" customHeight="false" outlineLevel="0" collapsed="false">
      <c r="A600" s="0" t="n">
        <v>599</v>
      </c>
      <c r="B600" s="18" t="n">
        <v>1539031.15378897</v>
      </c>
      <c r="C600" s="18" t="n">
        <v>0</v>
      </c>
      <c r="D600" s="0" t="n">
        <v>0</v>
      </c>
      <c r="E600" s="19" t="n">
        <v>51.5</v>
      </c>
    </row>
    <row r="601" customFormat="false" ht="15" hidden="false" customHeight="false" outlineLevel="0" collapsed="false">
      <c r="A601" s="0" t="n">
        <v>600</v>
      </c>
      <c r="B601" s="18" t="n">
        <v>709646.089001161</v>
      </c>
      <c r="C601" s="18" t="n">
        <v>0</v>
      </c>
      <c r="D601" s="0" t="n">
        <v>0</v>
      </c>
      <c r="E601" s="19" t="n">
        <v>43.75</v>
      </c>
    </row>
    <row r="602" customFormat="false" ht="15" hidden="false" customHeight="false" outlineLevel="0" collapsed="false">
      <c r="A602" s="0" t="n">
        <v>601</v>
      </c>
      <c r="B602" s="18" t="n">
        <v>567167.648941869</v>
      </c>
      <c r="C602" s="18" t="n">
        <v>0</v>
      </c>
      <c r="D602" s="0" t="n">
        <v>0</v>
      </c>
      <c r="E602" s="19" t="n">
        <v>35.25</v>
      </c>
    </row>
    <row r="603" customFormat="false" ht="15" hidden="false" customHeight="false" outlineLevel="0" collapsed="false">
      <c r="A603" s="0" t="n">
        <v>602</v>
      </c>
      <c r="B603" s="18" t="n">
        <v>1797270.72578656</v>
      </c>
      <c r="C603" s="18" t="n">
        <v>30174875.2203818</v>
      </c>
      <c r="D603" s="0" t="n">
        <v>1</v>
      </c>
    </row>
    <row r="604" customFormat="false" ht="15" hidden="false" customHeight="false" outlineLevel="0" collapsed="false">
      <c r="A604" s="0" t="n">
        <v>603</v>
      </c>
      <c r="B604" s="18" t="n">
        <v>209866.838960954</v>
      </c>
      <c r="C604" s="18" t="n">
        <v>0</v>
      </c>
      <c r="D604" s="0" t="n">
        <v>0</v>
      </c>
      <c r="E604" s="19" t="n">
        <v>29.1666666666667</v>
      </c>
    </row>
    <row r="605" customFormat="false" ht="15" hidden="false" customHeight="false" outlineLevel="0" collapsed="false">
      <c r="A605" s="0" t="n">
        <v>604</v>
      </c>
      <c r="B605" s="18" t="n">
        <v>1121047.90491987</v>
      </c>
      <c r="C605" s="18" t="n">
        <v>0</v>
      </c>
      <c r="D605" s="0" t="n">
        <v>0</v>
      </c>
      <c r="E605" s="19" t="n">
        <v>40.5</v>
      </c>
    </row>
    <row r="606" customFormat="false" ht="15" hidden="false" customHeight="false" outlineLevel="0" collapsed="false">
      <c r="A606" s="0" t="n">
        <v>605</v>
      </c>
      <c r="B606" s="18" t="n">
        <v>794505.532080084</v>
      </c>
      <c r="C606" s="18" t="n">
        <v>0</v>
      </c>
      <c r="D606" s="0" t="n">
        <v>0</v>
      </c>
      <c r="E606" s="19" t="n">
        <v>46.9166666666667</v>
      </c>
    </row>
    <row r="607" customFormat="false" ht="15" hidden="false" customHeight="false" outlineLevel="0" collapsed="false">
      <c r="A607" s="0" t="n">
        <v>606</v>
      </c>
      <c r="B607" s="18" t="n">
        <v>671543.302798374</v>
      </c>
      <c r="C607" s="18" t="n">
        <v>0</v>
      </c>
      <c r="D607" s="0" t="n">
        <v>0</v>
      </c>
      <c r="E607" s="19" t="n">
        <v>32.6666666666667</v>
      </c>
    </row>
    <row r="608" customFormat="false" ht="15" hidden="false" customHeight="false" outlineLevel="0" collapsed="false">
      <c r="A608" s="0" t="n">
        <v>607</v>
      </c>
      <c r="B608" s="18" t="n">
        <v>467139.210286609</v>
      </c>
      <c r="C608" s="18" t="n">
        <v>0</v>
      </c>
      <c r="D608" s="0" t="n">
        <v>0</v>
      </c>
      <c r="E608" s="19" t="n">
        <v>33.3333333333333</v>
      </c>
    </row>
    <row r="609" customFormat="false" ht="15" hidden="false" customHeight="false" outlineLevel="0" collapsed="false">
      <c r="A609" s="0" t="n">
        <v>608</v>
      </c>
      <c r="B609" s="18" t="n">
        <v>1172340.87351219</v>
      </c>
      <c r="C609" s="18" t="n">
        <v>2820393.91849744</v>
      </c>
      <c r="D609" s="0" t="n">
        <v>1</v>
      </c>
    </row>
    <row r="610" customFormat="false" ht="15" hidden="false" customHeight="false" outlineLevel="0" collapsed="false">
      <c r="A610" s="0" t="n">
        <v>609</v>
      </c>
      <c r="B610" s="18" t="n">
        <v>841891.049520681</v>
      </c>
      <c r="C610" s="18" t="n">
        <v>0</v>
      </c>
      <c r="D610" s="0" t="n">
        <v>0</v>
      </c>
      <c r="E610" s="19" t="n">
        <v>43.3333333333333</v>
      </c>
    </row>
    <row r="611" customFormat="false" ht="15" hidden="false" customHeight="false" outlineLevel="0" collapsed="false">
      <c r="A611" s="0" t="n">
        <v>610</v>
      </c>
      <c r="B611" s="18" t="n">
        <v>584322.099231622</v>
      </c>
      <c r="C611" s="18" t="n">
        <v>0</v>
      </c>
      <c r="D611" s="0" t="n">
        <v>0</v>
      </c>
      <c r="E611" s="19" t="n">
        <v>36.0833333333333</v>
      </c>
    </row>
    <row r="612" customFormat="false" ht="15" hidden="false" customHeight="false" outlineLevel="0" collapsed="false">
      <c r="A612" s="0" t="n">
        <v>611</v>
      </c>
      <c r="B612" s="18" t="n">
        <v>362634.952786776</v>
      </c>
      <c r="C612" s="18" t="n">
        <v>0</v>
      </c>
      <c r="D612" s="0" t="n">
        <v>0</v>
      </c>
      <c r="E612" s="19" t="n">
        <v>30.9166666666667</v>
      </c>
    </row>
    <row r="613" customFormat="false" ht="15" hidden="false" customHeight="false" outlineLevel="0" collapsed="false">
      <c r="A613" s="0" t="n">
        <v>612</v>
      </c>
      <c r="B613" s="18" t="n">
        <v>1265820.41196978</v>
      </c>
      <c r="C613" s="18" t="n">
        <v>0</v>
      </c>
      <c r="D613" s="0" t="n">
        <v>0</v>
      </c>
      <c r="E613" s="19" t="n">
        <v>45.3333333333333</v>
      </c>
    </row>
    <row r="614" customFormat="false" ht="15" hidden="false" customHeight="false" outlineLevel="0" collapsed="false">
      <c r="A614" s="0" t="n">
        <v>613</v>
      </c>
      <c r="B614" s="18" t="n">
        <v>547068.770973054</v>
      </c>
      <c r="C614" s="18" t="n">
        <v>0</v>
      </c>
      <c r="D614" s="0" t="n">
        <v>0</v>
      </c>
      <c r="E614" s="19" t="n">
        <v>39.5833333333333</v>
      </c>
    </row>
    <row r="615" customFormat="false" ht="15" hidden="false" customHeight="false" outlineLevel="0" collapsed="false">
      <c r="A615" s="0" t="n">
        <v>614</v>
      </c>
      <c r="B615" s="18" t="n">
        <v>621016.092994145</v>
      </c>
      <c r="C615" s="18" t="n">
        <v>1463208.86209868</v>
      </c>
      <c r="D615" s="0" t="n">
        <v>1</v>
      </c>
    </row>
    <row r="616" customFormat="false" ht="15" hidden="false" customHeight="false" outlineLevel="0" collapsed="false">
      <c r="A616" s="0" t="n">
        <v>615</v>
      </c>
      <c r="B616" s="18" t="n">
        <v>680131.516639991</v>
      </c>
      <c r="C616" s="18" t="n">
        <v>0</v>
      </c>
      <c r="D616" s="0" t="n">
        <v>0</v>
      </c>
      <c r="E616" s="19" t="n">
        <v>34.75</v>
      </c>
    </row>
    <row r="617" customFormat="false" ht="15" hidden="false" customHeight="false" outlineLevel="0" collapsed="false">
      <c r="A617" s="0" t="n">
        <v>616</v>
      </c>
      <c r="B617" s="18" t="n">
        <v>896871.007766712</v>
      </c>
      <c r="C617" s="18" t="n">
        <v>0</v>
      </c>
      <c r="D617" s="0" t="n">
        <v>0</v>
      </c>
      <c r="E617" s="19" t="n">
        <v>48.0833333333333</v>
      </c>
    </row>
    <row r="618" customFormat="false" ht="15" hidden="false" customHeight="false" outlineLevel="0" collapsed="false">
      <c r="A618" s="0" t="n">
        <v>617</v>
      </c>
      <c r="B618" s="18" t="n">
        <v>364450.890010043</v>
      </c>
      <c r="C618" s="18" t="n">
        <v>0</v>
      </c>
      <c r="D618" s="0" t="n">
        <v>0</v>
      </c>
      <c r="E618" s="19" t="n">
        <v>35.5833333333333</v>
      </c>
    </row>
    <row r="619" customFormat="false" ht="15" hidden="false" customHeight="false" outlineLevel="0" collapsed="false">
      <c r="A619" s="0" t="n">
        <v>618</v>
      </c>
      <c r="B619" s="18" t="n">
        <v>1119115.22937776</v>
      </c>
      <c r="C619" s="18" t="n">
        <v>0</v>
      </c>
      <c r="D619" s="0" t="n">
        <v>0</v>
      </c>
      <c r="E619" s="19" t="n">
        <v>46.5</v>
      </c>
    </row>
    <row r="620" customFormat="false" ht="15" hidden="false" customHeight="false" outlineLevel="0" collapsed="false">
      <c r="A620" s="0" t="n">
        <v>619</v>
      </c>
      <c r="B620" s="18" t="n">
        <v>2226551.7026335</v>
      </c>
      <c r="C620" s="18" t="n">
        <v>3423749.74872074</v>
      </c>
      <c r="D620" s="0" t="n">
        <v>1</v>
      </c>
    </row>
    <row r="621" customFormat="false" ht="15" hidden="false" customHeight="false" outlineLevel="0" collapsed="false">
      <c r="A621" s="0" t="n">
        <v>620</v>
      </c>
      <c r="B621" s="18" t="n">
        <v>423012.778387242</v>
      </c>
      <c r="C621" s="18" t="n">
        <v>0</v>
      </c>
      <c r="D621" s="0" t="n">
        <v>0</v>
      </c>
      <c r="E621" s="19" t="n">
        <v>32.8333333333333</v>
      </c>
    </row>
    <row r="622" customFormat="false" ht="15" hidden="false" customHeight="false" outlineLevel="0" collapsed="false">
      <c r="A622" s="0" t="n">
        <v>621</v>
      </c>
      <c r="B622" s="18" t="n">
        <v>479067.83668066</v>
      </c>
      <c r="C622" s="18" t="n">
        <v>0</v>
      </c>
      <c r="D622" s="0" t="n">
        <v>0</v>
      </c>
      <c r="E622" s="19" t="n">
        <v>35.9166666666667</v>
      </c>
    </row>
    <row r="623" customFormat="false" ht="15" hidden="false" customHeight="false" outlineLevel="0" collapsed="false">
      <c r="A623" s="0" t="n">
        <v>622</v>
      </c>
      <c r="B623" s="18" t="n">
        <v>527010.602302366</v>
      </c>
      <c r="C623" s="18" t="n">
        <v>0</v>
      </c>
      <c r="D623" s="0" t="n">
        <v>0</v>
      </c>
      <c r="E623" s="19" t="n">
        <v>34.6666666666667</v>
      </c>
    </row>
    <row r="624" customFormat="false" ht="15" hidden="false" customHeight="false" outlineLevel="0" collapsed="false">
      <c r="A624" s="0" t="n">
        <v>623</v>
      </c>
      <c r="B624" s="18" t="n">
        <v>718133.102444052</v>
      </c>
      <c r="C624" s="18" t="n">
        <v>0</v>
      </c>
      <c r="D624" s="0" t="n">
        <v>0</v>
      </c>
      <c r="E624" s="19" t="n">
        <v>44.5</v>
      </c>
    </row>
    <row r="625" customFormat="false" ht="15" hidden="false" customHeight="false" outlineLevel="0" collapsed="false">
      <c r="A625" s="0" t="n">
        <v>624</v>
      </c>
      <c r="B625" s="18" t="n">
        <v>818216.535007845</v>
      </c>
      <c r="C625" s="18" t="n">
        <v>0</v>
      </c>
      <c r="D625" s="0" t="n">
        <v>0</v>
      </c>
      <c r="E625" s="19" t="n">
        <v>45.5</v>
      </c>
    </row>
    <row r="626" customFormat="false" ht="15" hidden="false" customHeight="false" outlineLevel="0" collapsed="false">
      <c r="A626" s="0" t="n">
        <v>625</v>
      </c>
      <c r="B626" s="18" t="n">
        <v>1022821.79653317</v>
      </c>
      <c r="C626" s="18" t="n">
        <v>0</v>
      </c>
      <c r="D626" s="0" t="n">
        <v>0</v>
      </c>
      <c r="E626" s="19" t="n">
        <v>52.6666666666667</v>
      </c>
    </row>
    <row r="627" customFormat="false" ht="15" hidden="false" customHeight="false" outlineLevel="0" collapsed="false">
      <c r="A627" s="0" t="n">
        <v>626</v>
      </c>
      <c r="B627" s="18" t="n">
        <v>527597.838573444</v>
      </c>
      <c r="C627" s="18" t="n">
        <v>0</v>
      </c>
      <c r="D627" s="0" t="n">
        <v>0</v>
      </c>
      <c r="E627" s="19" t="n">
        <v>33.9166666666667</v>
      </c>
    </row>
    <row r="628" customFormat="false" ht="15" hidden="false" customHeight="false" outlineLevel="0" collapsed="false">
      <c r="A628" s="0" t="n">
        <v>627</v>
      </c>
      <c r="B628" s="18" t="n">
        <v>605436.087413571</v>
      </c>
      <c r="C628" s="18" t="n">
        <v>0</v>
      </c>
      <c r="D628" s="0" t="n">
        <v>0</v>
      </c>
      <c r="E628" s="19" t="n">
        <v>32.3333333333333</v>
      </c>
    </row>
    <row r="629" customFormat="false" ht="15" hidden="false" customHeight="false" outlineLevel="0" collapsed="false">
      <c r="A629" s="0" t="n">
        <v>628</v>
      </c>
      <c r="B629" s="18" t="n">
        <v>1102719.76255362</v>
      </c>
      <c r="C629" s="18" t="n">
        <v>0</v>
      </c>
      <c r="D629" s="0" t="n">
        <v>0</v>
      </c>
      <c r="E629" s="19" t="n">
        <v>42.1666666666667</v>
      </c>
    </row>
    <row r="630" customFormat="false" ht="15" hidden="false" customHeight="false" outlineLevel="0" collapsed="false">
      <c r="A630" s="0" t="n">
        <v>629</v>
      </c>
      <c r="B630" s="18" t="n">
        <v>1099335.81785268</v>
      </c>
      <c r="C630" s="18" t="n">
        <v>0</v>
      </c>
      <c r="D630" s="0" t="n">
        <v>0</v>
      </c>
      <c r="E630" s="19" t="n">
        <v>48.9166666666667</v>
      </c>
    </row>
    <row r="631" customFormat="false" ht="15" hidden="false" customHeight="false" outlineLevel="0" collapsed="false">
      <c r="A631" s="0" t="n">
        <v>630</v>
      </c>
      <c r="B631" s="18" t="n">
        <v>1931270.68846949</v>
      </c>
      <c r="C631" s="18" t="n">
        <v>12057926.5264205</v>
      </c>
      <c r="D631" s="0" t="n">
        <v>1</v>
      </c>
    </row>
    <row r="632" customFormat="false" ht="15" hidden="false" customHeight="false" outlineLevel="0" collapsed="false">
      <c r="A632" s="0" t="n">
        <v>631</v>
      </c>
      <c r="B632" s="18" t="n">
        <v>1064526.52175674</v>
      </c>
      <c r="C632" s="18" t="n">
        <v>0</v>
      </c>
      <c r="D632" s="0" t="n">
        <v>0</v>
      </c>
      <c r="E632" s="19" t="n">
        <v>40.0833333333333</v>
      </c>
    </row>
    <row r="633" customFormat="false" ht="15" hidden="false" customHeight="false" outlineLevel="0" collapsed="false">
      <c r="A633" s="0" t="n">
        <v>632</v>
      </c>
      <c r="B633" s="18" t="n">
        <v>503971.2244849</v>
      </c>
      <c r="C633" s="18" t="n">
        <v>0</v>
      </c>
      <c r="D633" s="0" t="n">
        <v>0</v>
      </c>
      <c r="E633" s="19" t="n">
        <v>35.0833333333333</v>
      </c>
    </row>
    <row r="634" customFormat="false" ht="15" hidden="false" customHeight="false" outlineLevel="0" collapsed="false">
      <c r="A634" s="0" t="n">
        <v>633</v>
      </c>
      <c r="B634" s="18" t="n">
        <v>1029969.34653435</v>
      </c>
      <c r="C634" s="18" t="n">
        <v>0</v>
      </c>
      <c r="D634" s="0" t="n">
        <v>0</v>
      </c>
      <c r="E634" s="19" t="n">
        <v>51.25</v>
      </c>
    </row>
    <row r="635" customFormat="false" ht="15" hidden="false" customHeight="false" outlineLevel="0" collapsed="false">
      <c r="A635" s="0" t="n">
        <v>634</v>
      </c>
      <c r="B635" s="18" t="n">
        <v>573661.760862583</v>
      </c>
      <c r="C635" s="18" t="n">
        <v>0</v>
      </c>
      <c r="D635" s="0" t="n">
        <v>0</v>
      </c>
      <c r="E635" s="19" t="n">
        <v>40.5833333333333</v>
      </c>
    </row>
    <row r="636" customFormat="false" ht="15" hidden="false" customHeight="false" outlineLevel="0" collapsed="false">
      <c r="A636" s="0" t="n">
        <v>635</v>
      </c>
      <c r="B636" s="18" t="n">
        <v>2816495.44821116</v>
      </c>
      <c r="C636" s="18" t="n">
        <v>9766798.24680483</v>
      </c>
      <c r="D636" s="0" t="n">
        <v>1</v>
      </c>
    </row>
    <row r="637" customFormat="false" ht="15" hidden="false" customHeight="false" outlineLevel="0" collapsed="false">
      <c r="A637" s="0" t="n">
        <v>636</v>
      </c>
      <c r="B637" s="18" t="n">
        <v>705310.299794692</v>
      </c>
      <c r="C637" s="18" t="n">
        <v>0</v>
      </c>
      <c r="D637" s="0" t="n">
        <v>0</v>
      </c>
      <c r="E637" s="19" t="n">
        <v>52.4166666666667</v>
      </c>
    </row>
    <row r="638" customFormat="false" ht="15" hidden="false" customHeight="false" outlineLevel="0" collapsed="false">
      <c r="A638" s="0" t="n">
        <v>637</v>
      </c>
      <c r="B638" s="18" t="n">
        <v>871369.129898916</v>
      </c>
      <c r="C638" s="18" t="n">
        <v>0</v>
      </c>
      <c r="D638" s="0" t="n">
        <v>0</v>
      </c>
      <c r="E638" s="19" t="n">
        <v>48.25</v>
      </c>
    </row>
    <row r="639" customFormat="false" ht="15" hidden="false" customHeight="false" outlineLevel="0" collapsed="false">
      <c r="A639" s="0" t="n">
        <v>638</v>
      </c>
      <c r="B639" s="18" t="n">
        <v>359893.595668731</v>
      </c>
      <c r="C639" s="18" t="n">
        <v>0</v>
      </c>
      <c r="D639" s="0" t="n">
        <v>0</v>
      </c>
      <c r="E639" s="19" t="n">
        <v>30.3333333333333</v>
      </c>
    </row>
    <row r="640" customFormat="false" ht="15" hidden="false" customHeight="false" outlineLevel="0" collapsed="false">
      <c r="A640" s="0" t="n">
        <v>639</v>
      </c>
      <c r="B640" s="18" t="n">
        <v>1312789.84291676</v>
      </c>
      <c r="C640" s="18" t="n">
        <v>0</v>
      </c>
      <c r="D640" s="0" t="n">
        <v>0</v>
      </c>
      <c r="E640" s="19" t="n">
        <v>49.6666666666667</v>
      </c>
    </row>
    <row r="641" customFormat="false" ht="15" hidden="false" customHeight="false" outlineLevel="0" collapsed="false">
      <c r="A641" s="0" t="n">
        <v>640</v>
      </c>
      <c r="B641" s="18" t="n">
        <v>1479282.54489431</v>
      </c>
      <c r="C641" s="18" t="n">
        <v>0</v>
      </c>
      <c r="D641" s="0" t="n">
        <v>0</v>
      </c>
      <c r="E641" s="19" t="n">
        <v>53.75</v>
      </c>
    </row>
    <row r="642" customFormat="false" ht="15" hidden="false" customHeight="false" outlineLevel="0" collapsed="false">
      <c r="A642" s="0" t="n">
        <v>641</v>
      </c>
      <c r="B642" s="18" t="n">
        <v>677884.83437674</v>
      </c>
      <c r="C642" s="18" t="n">
        <v>488882.972302354</v>
      </c>
      <c r="D642" s="0" t="n">
        <v>1</v>
      </c>
    </row>
    <row r="643" customFormat="false" ht="15" hidden="false" customHeight="false" outlineLevel="0" collapsed="false">
      <c r="A643" s="0" t="n">
        <v>642</v>
      </c>
      <c r="B643" s="18" t="n">
        <v>954694.103784156</v>
      </c>
      <c r="C643" s="18" t="n">
        <v>0</v>
      </c>
      <c r="D643" s="0" t="n">
        <v>0</v>
      </c>
      <c r="E643" s="19" t="n">
        <v>42.9166666666667</v>
      </c>
    </row>
    <row r="644" customFormat="false" ht="15" hidden="false" customHeight="false" outlineLevel="0" collapsed="false">
      <c r="A644" s="0" t="n">
        <v>643</v>
      </c>
      <c r="B644" s="18" t="n">
        <v>2450192.97158288</v>
      </c>
      <c r="C644" s="18" t="n">
        <v>9777625.24707871</v>
      </c>
      <c r="D644" s="0" t="n">
        <v>1</v>
      </c>
    </row>
    <row r="645" customFormat="false" ht="15" hidden="false" customHeight="false" outlineLevel="0" collapsed="false">
      <c r="A645" s="0" t="n">
        <v>644</v>
      </c>
      <c r="B645" s="18" t="n">
        <v>725948.855977324</v>
      </c>
      <c r="C645" s="18" t="n">
        <v>0</v>
      </c>
      <c r="D645" s="0" t="n">
        <v>0</v>
      </c>
      <c r="E645" s="19" t="n">
        <v>35.1666666666667</v>
      </c>
    </row>
    <row r="646" customFormat="false" ht="15" hidden="false" customHeight="false" outlineLevel="0" collapsed="false">
      <c r="A646" s="0" t="n">
        <v>645</v>
      </c>
      <c r="B646" s="18" t="n">
        <v>467379.189456679</v>
      </c>
      <c r="C646" s="18" t="n">
        <v>0</v>
      </c>
      <c r="D646" s="0" t="n">
        <v>0</v>
      </c>
      <c r="E646" s="19" t="n">
        <v>31.6666666666667</v>
      </c>
    </row>
    <row r="647" customFormat="false" ht="15" hidden="false" customHeight="false" outlineLevel="0" collapsed="false">
      <c r="A647" s="0" t="n">
        <v>646</v>
      </c>
      <c r="B647" s="18" t="n">
        <v>437281.755504187</v>
      </c>
      <c r="C647" s="18" t="n">
        <v>0</v>
      </c>
      <c r="D647" s="0" t="n">
        <v>0</v>
      </c>
      <c r="E647" s="19" t="n">
        <v>33.25</v>
      </c>
    </row>
    <row r="648" customFormat="false" ht="15" hidden="false" customHeight="false" outlineLevel="0" collapsed="false">
      <c r="A648" s="0" t="n">
        <v>647</v>
      </c>
      <c r="B648" s="18" t="n">
        <v>1276343.49964431</v>
      </c>
      <c r="C648" s="18" t="n">
        <v>10671217.4057708</v>
      </c>
      <c r="D648" s="0" t="n">
        <v>1</v>
      </c>
    </row>
    <row r="649" customFormat="false" ht="15" hidden="false" customHeight="false" outlineLevel="0" collapsed="false">
      <c r="A649" s="0" t="n">
        <v>648</v>
      </c>
      <c r="B649" s="18" t="n">
        <v>821842.505565505</v>
      </c>
      <c r="C649" s="18" t="n">
        <v>0</v>
      </c>
      <c r="D649" s="0" t="n">
        <v>0</v>
      </c>
      <c r="E649" s="19" t="n">
        <v>38.25</v>
      </c>
    </row>
    <row r="650" customFormat="false" ht="15" hidden="false" customHeight="false" outlineLevel="0" collapsed="false">
      <c r="A650" s="0" t="n">
        <v>649</v>
      </c>
      <c r="B650" s="18" t="n">
        <v>850248.77236681</v>
      </c>
      <c r="C650" s="18" t="n">
        <v>0</v>
      </c>
      <c r="D650" s="0" t="n">
        <v>0</v>
      </c>
      <c r="E650" s="19" t="n">
        <v>36.9166666666667</v>
      </c>
    </row>
    <row r="651" customFormat="false" ht="15" hidden="false" customHeight="false" outlineLevel="0" collapsed="false">
      <c r="A651" s="0" t="n">
        <v>650</v>
      </c>
      <c r="B651" s="18" t="n">
        <v>886295.611780757</v>
      </c>
      <c r="C651" s="18" t="n">
        <v>6972183.68125189</v>
      </c>
      <c r="D651" s="0" t="n">
        <v>1</v>
      </c>
    </row>
    <row r="652" customFormat="false" ht="15" hidden="false" customHeight="false" outlineLevel="0" collapsed="false">
      <c r="A652" s="0" t="n">
        <v>651</v>
      </c>
      <c r="B652" s="18" t="n">
        <v>277400.047052258</v>
      </c>
      <c r="C652" s="18" t="n">
        <v>0</v>
      </c>
      <c r="D652" s="0" t="n">
        <v>0</v>
      </c>
      <c r="E652" s="19" t="n">
        <v>31</v>
      </c>
    </row>
    <row r="653" customFormat="false" ht="15" hidden="false" customHeight="false" outlineLevel="0" collapsed="false">
      <c r="A653" s="0" t="n">
        <v>652</v>
      </c>
      <c r="B653" s="18" t="n">
        <v>447947.801260215</v>
      </c>
      <c r="C653" s="18" t="n">
        <v>0</v>
      </c>
      <c r="D653" s="0" t="n">
        <v>0</v>
      </c>
      <c r="E653" s="19" t="n">
        <v>31.25</v>
      </c>
    </row>
    <row r="654" customFormat="false" ht="15" hidden="false" customHeight="false" outlineLevel="0" collapsed="false">
      <c r="A654" s="0" t="n">
        <v>653</v>
      </c>
      <c r="B654" s="18" t="n">
        <v>753268.248935494</v>
      </c>
      <c r="C654" s="18" t="n">
        <v>0</v>
      </c>
      <c r="D654" s="0" t="n">
        <v>0</v>
      </c>
      <c r="E654" s="19" t="n">
        <v>43.4166666666667</v>
      </c>
    </row>
    <row r="655" customFormat="false" ht="15" hidden="false" customHeight="false" outlineLevel="0" collapsed="false">
      <c r="A655" s="0" t="n">
        <v>654</v>
      </c>
      <c r="B655" s="18" t="n">
        <v>874119.206848199</v>
      </c>
      <c r="C655" s="18" t="n">
        <v>4662301.19413319</v>
      </c>
      <c r="D655" s="0" t="n">
        <v>1</v>
      </c>
    </row>
    <row r="656" customFormat="false" ht="15" hidden="false" customHeight="false" outlineLevel="0" collapsed="false">
      <c r="A656" s="0" t="n">
        <v>655</v>
      </c>
      <c r="B656" s="18" t="n">
        <v>435467.198709185</v>
      </c>
      <c r="C656" s="18" t="n">
        <v>0</v>
      </c>
      <c r="D656" s="0" t="n">
        <v>0</v>
      </c>
      <c r="E656" s="19" t="n">
        <v>32.0833333333333</v>
      </c>
    </row>
    <row r="657" customFormat="false" ht="15" hidden="false" customHeight="false" outlineLevel="0" collapsed="false">
      <c r="A657" s="0" t="n">
        <v>656</v>
      </c>
      <c r="B657" s="18" t="n">
        <v>1118470.75520274</v>
      </c>
      <c r="C657" s="18" t="n">
        <v>0</v>
      </c>
      <c r="D657" s="0" t="n">
        <v>0</v>
      </c>
      <c r="E657" s="19" t="n">
        <v>46.5</v>
      </c>
    </row>
    <row r="658" customFormat="false" ht="15" hidden="false" customHeight="false" outlineLevel="0" collapsed="false">
      <c r="A658" s="0" t="n">
        <v>657</v>
      </c>
      <c r="B658" s="18" t="n">
        <v>1037547.04159981</v>
      </c>
      <c r="C658" s="18" t="n">
        <v>0</v>
      </c>
      <c r="D658" s="0" t="n">
        <v>0</v>
      </c>
      <c r="E658" s="19" t="n">
        <v>39.8333333333333</v>
      </c>
    </row>
    <row r="659" customFormat="false" ht="15" hidden="false" customHeight="false" outlineLevel="0" collapsed="false">
      <c r="A659" s="0" t="n">
        <v>658</v>
      </c>
      <c r="B659" s="18" t="n">
        <v>1158229.02764426</v>
      </c>
      <c r="C659" s="18" t="n">
        <v>0</v>
      </c>
      <c r="D659" s="0" t="n">
        <v>0</v>
      </c>
      <c r="E659" s="19" t="n">
        <v>39.1666666666667</v>
      </c>
    </row>
    <row r="660" customFormat="false" ht="15" hidden="false" customHeight="false" outlineLevel="0" collapsed="false">
      <c r="A660" s="0" t="n">
        <v>659</v>
      </c>
      <c r="B660" s="18" t="n">
        <v>2260305.52863858</v>
      </c>
      <c r="C660" s="18" t="n">
        <v>2145603.51404894</v>
      </c>
      <c r="D660" s="0" t="n">
        <v>1</v>
      </c>
    </row>
    <row r="661" customFormat="false" ht="15" hidden="false" customHeight="false" outlineLevel="0" collapsed="false">
      <c r="A661" s="0" t="n">
        <v>660</v>
      </c>
      <c r="B661" s="18" t="n">
        <v>772738.953873712</v>
      </c>
      <c r="C661" s="18" t="n">
        <v>0</v>
      </c>
      <c r="D661" s="0" t="n">
        <v>0</v>
      </c>
      <c r="E661" s="19" t="n">
        <v>39.4166666666667</v>
      </c>
    </row>
    <row r="662" customFormat="false" ht="15" hidden="false" customHeight="false" outlineLevel="0" collapsed="false">
      <c r="A662" s="0" t="n">
        <v>661</v>
      </c>
      <c r="B662" s="18" t="n">
        <v>731742.078238243</v>
      </c>
      <c r="C662" s="18" t="n">
        <v>466904.3111053</v>
      </c>
      <c r="D662" s="0" t="n">
        <v>1</v>
      </c>
    </row>
    <row r="663" customFormat="false" ht="15" hidden="false" customHeight="false" outlineLevel="0" collapsed="false">
      <c r="A663" s="0" t="n">
        <v>662</v>
      </c>
      <c r="B663" s="18" t="n">
        <v>1766014.29659234</v>
      </c>
      <c r="C663" s="18" t="n">
        <v>839708.489546387</v>
      </c>
      <c r="D663" s="0" t="n">
        <v>1</v>
      </c>
    </row>
    <row r="664" customFormat="false" ht="15" hidden="false" customHeight="false" outlineLevel="0" collapsed="false">
      <c r="A664" s="0" t="n">
        <v>663</v>
      </c>
      <c r="B664" s="18" t="n">
        <v>413123.226614008</v>
      </c>
      <c r="C664" s="18" t="n">
        <v>0</v>
      </c>
      <c r="D664" s="0" t="n">
        <v>0</v>
      </c>
      <c r="E664" s="19" t="n">
        <v>32.5833333333333</v>
      </c>
    </row>
    <row r="665" customFormat="false" ht="15" hidden="false" customHeight="false" outlineLevel="0" collapsed="false">
      <c r="A665" s="0" t="n">
        <v>664</v>
      </c>
      <c r="B665" s="18" t="n">
        <v>930836.711065005</v>
      </c>
      <c r="C665" s="18" t="n">
        <v>0</v>
      </c>
      <c r="D665" s="0" t="n">
        <v>0</v>
      </c>
      <c r="E665" s="19" t="n">
        <v>48.9166666666667</v>
      </c>
    </row>
    <row r="666" customFormat="false" ht="15" hidden="false" customHeight="false" outlineLevel="0" collapsed="false">
      <c r="A666" s="0" t="n">
        <v>665</v>
      </c>
      <c r="B666" s="18" t="n">
        <v>2505616.47097922</v>
      </c>
      <c r="C666" s="18" t="n">
        <v>2001376.71047945</v>
      </c>
      <c r="D666" s="0" t="n">
        <v>1</v>
      </c>
    </row>
    <row r="667" customFormat="false" ht="15" hidden="false" customHeight="false" outlineLevel="0" collapsed="false">
      <c r="A667" s="0" t="n">
        <v>666</v>
      </c>
      <c r="B667" s="18" t="n">
        <v>2420838.30410313</v>
      </c>
      <c r="C667" s="18" t="n">
        <v>4746275.03553075</v>
      </c>
      <c r="D667" s="0" t="n">
        <v>1</v>
      </c>
    </row>
    <row r="668" customFormat="false" ht="15" hidden="false" customHeight="false" outlineLevel="0" collapsed="false">
      <c r="A668" s="0" t="n">
        <v>667</v>
      </c>
      <c r="B668" s="18" t="n">
        <v>533702.572027656</v>
      </c>
      <c r="C668" s="18" t="n">
        <v>0</v>
      </c>
      <c r="D668" s="0" t="n">
        <v>0</v>
      </c>
      <c r="E668" s="19" t="n">
        <v>38.9166666666667</v>
      </c>
    </row>
    <row r="669" customFormat="false" ht="15" hidden="false" customHeight="false" outlineLevel="0" collapsed="false">
      <c r="A669" s="0" t="n">
        <v>668</v>
      </c>
      <c r="B669" s="18" t="n">
        <v>668333.481384172</v>
      </c>
      <c r="C669" s="18" t="n">
        <v>0</v>
      </c>
      <c r="D669" s="0" t="n">
        <v>0</v>
      </c>
      <c r="E669" s="19" t="n">
        <v>37.6666666666667</v>
      </c>
    </row>
    <row r="670" customFormat="false" ht="15" hidden="false" customHeight="false" outlineLevel="0" collapsed="false">
      <c r="A670" s="0" t="n">
        <v>669</v>
      </c>
      <c r="B670" s="18" t="n">
        <v>1330157.17194067</v>
      </c>
      <c r="C670" s="18" t="n">
        <v>772979.396788106</v>
      </c>
      <c r="D670" s="0" t="n">
        <v>1</v>
      </c>
    </row>
    <row r="671" customFormat="false" ht="15" hidden="false" customHeight="false" outlineLevel="0" collapsed="false">
      <c r="A671" s="0" t="n">
        <v>670</v>
      </c>
      <c r="B671" s="18" t="n">
        <v>439662.522647783</v>
      </c>
      <c r="C671" s="18" t="n">
        <v>0</v>
      </c>
      <c r="D671" s="0" t="n">
        <v>0</v>
      </c>
      <c r="E671" s="19" t="n">
        <v>30.3333333333333</v>
      </c>
    </row>
    <row r="672" customFormat="false" ht="15" hidden="false" customHeight="false" outlineLevel="0" collapsed="false">
      <c r="A672" s="0" t="n">
        <v>671</v>
      </c>
      <c r="B672" s="18" t="n">
        <v>2476131.67993083</v>
      </c>
      <c r="C672" s="18" t="n">
        <v>2643252.15246778</v>
      </c>
      <c r="D672" s="0" t="n">
        <v>1</v>
      </c>
    </row>
    <row r="673" customFormat="false" ht="15" hidden="false" customHeight="false" outlineLevel="0" collapsed="false">
      <c r="A673" s="0" t="n">
        <v>672</v>
      </c>
      <c r="B673" s="18" t="n">
        <v>928522.95520149</v>
      </c>
      <c r="C673" s="18" t="n">
        <v>97898.8776317685</v>
      </c>
      <c r="D673" s="0" t="n">
        <v>1</v>
      </c>
    </row>
    <row r="674" customFormat="false" ht="15" hidden="false" customHeight="false" outlineLevel="0" collapsed="false">
      <c r="A674" s="0" t="n">
        <v>673</v>
      </c>
      <c r="B674" s="18" t="n">
        <v>947505.297980242</v>
      </c>
      <c r="C674" s="18" t="n">
        <v>0</v>
      </c>
      <c r="D674" s="0" t="n">
        <v>0</v>
      </c>
      <c r="E674" s="19" t="n">
        <v>37.5</v>
      </c>
    </row>
    <row r="675" customFormat="false" ht="15" hidden="false" customHeight="false" outlineLevel="0" collapsed="false">
      <c r="A675" s="0" t="n">
        <v>674</v>
      </c>
      <c r="B675" s="18" t="n">
        <v>778155.624869601</v>
      </c>
      <c r="C675" s="18" t="n">
        <v>0</v>
      </c>
      <c r="D675" s="0" t="n">
        <v>0</v>
      </c>
      <c r="E675" s="19" t="n">
        <v>35.9166666666667</v>
      </c>
    </row>
    <row r="676" customFormat="false" ht="15" hidden="false" customHeight="false" outlineLevel="0" collapsed="false">
      <c r="A676" s="0" t="n">
        <v>675</v>
      </c>
      <c r="B676" s="18" t="n">
        <v>311914.084802786</v>
      </c>
      <c r="C676" s="18" t="n">
        <v>0</v>
      </c>
      <c r="D676" s="0" t="n">
        <v>0</v>
      </c>
      <c r="E676" s="19" t="n">
        <v>29</v>
      </c>
    </row>
    <row r="677" customFormat="false" ht="15" hidden="false" customHeight="false" outlineLevel="0" collapsed="false">
      <c r="A677" s="0" t="n">
        <v>676</v>
      </c>
      <c r="B677" s="18" t="n">
        <v>1318396.57816613</v>
      </c>
      <c r="C677" s="18" t="n">
        <v>861488.665804207</v>
      </c>
      <c r="D677" s="0" t="n">
        <v>1</v>
      </c>
    </row>
    <row r="678" customFormat="false" ht="15" hidden="false" customHeight="false" outlineLevel="0" collapsed="false">
      <c r="A678" s="0" t="n">
        <v>677</v>
      </c>
      <c r="B678" s="18" t="n">
        <v>921441.213411591</v>
      </c>
      <c r="C678" s="18" t="n">
        <v>0</v>
      </c>
      <c r="D678" s="0" t="n">
        <v>0</v>
      </c>
      <c r="E678" s="19" t="n">
        <v>43.3333333333333</v>
      </c>
    </row>
    <row r="679" customFormat="false" ht="15" hidden="false" customHeight="false" outlineLevel="0" collapsed="false">
      <c r="A679" s="0" t="n">
        <v>678</v>
      </c>
      <c r="B679" s="18" t="n">
        <v>788213.153981885</v>
      </c>
      <c r="C679" s="18" t="n">
        <v>0</v>
      </c>
      <c r="D679" s="0" t="n">
        <v>0</v>
      </c>
      <c r="E679" s="19" t="n">
        <v>37</v>
      </c>
    </row>
    <row r="680" customFormat="false" ht="15" hidden="false" customHeight="false" outlineLevel="0" collapsed="false">
      <c r="A680" s="0" t="n">
        <v>679</v>
      </c>
      <c r="B680" s="18" t="n">
        <v>745188.947189872</v>
      </c>
      <c r="C680" s="18" t="n">
        <v>0</v>
      </c>
      <c r="D680" s="0" t="n">
        <v>0</v>
      </c>
      <c r="E680" s="19" t="n">
        <v>41.0833333333333</v>
      </c>
    </row>
    <row r="681" customFormat="false" ht="15" hidden="false" customHeight="false" outlineLevel="0" collapsed="false">
      <c r="A681" s="0" t="n">
        <v>680</v>
      </c>
      <c r="B681" s="18" t="n">
        <v>878350.02481743</v>
      </c>
      <c r="C681" s="18" t="n">
        <v>0</v>
      </c>
      <c r="D681" s="0" t="n">
        <v>0</v>
      </c>
      <c r="E681" s="19" t="n">
        <v>45.5</v>
      </c>
    </row>
    <row r="682" customFormat="false" ht="15" hidden="false" customHeight="false" outlineLevel="0" collapsed="false">
      <c r="A682" s="0" t="n">
        <v>681</v>
      </c>
      <c r="B682" s="18" t="n">
        <v>1100046.62656634</v>
      </c>
      <c r="C682" s="18" t="n">
        <v>0</v>
      </c>
      <c r="D682" s="0" t="n">
        <v>0</v>
      </c>
      <c r="E682" s="19" t="n">
        <v>47.3333333333333</v>
      </c>
    </row>
    <row r="683" customFormat="false" ht="15" hidden="false" customHeight="false" outlineLevel="0" collapsed="false">
      <c r="A683" s="0" t="n">
        <v>682</v>
      </c>
      <c r="B683" s="18" t="n">
        <v>1798004.55917512</v>
      </c>
      <c r="C683" s="18" t="n">
        <v>0</v>
      </c>
      <c r="D683" s="0" t="n">
        <v>0</v>
      </c>
      <c r="E683" s="19" t="n">
        <v>54.9166666666667</v>
      </c>
    </row>
    <row r="684" customFormat="false" ht="15" hidden="false" customHeight="false" outlineLevel="0" collapsed="false">
      <c r="A684" s="0" t="n">
        <v>683</v>
      </c>
      <c r="B684" s="18" t="n">
        <v>627890.633108464</v>
      </c>
      <c r="C684" s="18" t="n">
        <v>0</v>
      </c>
      <c r="D684" s="0" t="n">
        <v>0</v>
      </c>
      <c r="E684" s="19" t="n">
        <v>39.5833333333333</v>
      </c>
    </row>
    <row r="685" customFormat="false" ht="15" hidden="false" customHeight="false" outlineLevel="0" collapsed="false">
      <c r="A685" s="0" t="n">
        <v>684</v>
      </c>
      <c r="B685" s="18" t="n">
        <v>1119673.89575626</v>
      </c>
      <c r="C685" s="18" t="n">
        <v>0</v>
      </c>
      <c r="D685" s="0" t="n">
        <v>0</v>
      </c>
      <c r="E685" s="19" t="n">
        <v>48.0833333333333</v>
      </c>
    </row>
    <row r="686" customFormat="false" ht="15" hidden="false" customHeight="false" outlineLevel="0" collapsed="false">
      <c r="A686" s="0" t="n">
        <v>685</v>
      </c>
      <c r="B686" s="18" t="n">
        <v>877106.296831397</v>
      </c>
      <c r="C686" s="18" t="n">
        <v>0</v>
      </c>
      <c r="D686" s="0" t="n">
        <v>0</v>
      </c>
      <c r="E686" s="19" t="n">
        <v>40.8333333333333</v>
      </c>
    </row>
    <row r="687" customFormat="false" ht="15" hidden="false" customHeight="false" outlineLevel="0" collapsed="false">
      <c r="A687" s="0" t="n">
        <v>686</v>
      </c>
      <c r="B687" s="18" t="n">
        <v>582392.247019752</v>
      </c>
      <c r="C687" s="18" t="n">
        <v>0</v>
      </c>
      <c r="D687" s="0" t="n">
        <v>0</v>
      </c>
      <c r="E687" s="19" t="n">
        <v>35.5</v>
      </c>
    </row>
    <row r="688" customFormat="false" ht="15" hidden="false" customHeight="false" outlineLevel="0" collapsed="false">
      <c r="A688" s="0" t="n">
        <v>687</v>
      </c>
      <c r="B688" s="18" t="n">
        <v>1633268.35317235</v>
      </c>
      <c r="C688" s="18" t="n">
        <v>1885539.34497282</v>
      </c>
      <c r="D688" s="0" t="n">
        <v>1</v>
      </c>
    </row>
    <row r="689" customFormat="false" ht="15" hidden="false" customHeight="false" outlineLevel="0" collapsed="false">
      <c r="A689" s="0" t="n">
        <v>688</v>
      </c>
      <c r="B689" s="18" t="n">
        <v>1884983.50710754</v>
      </c>
      <c r="C689" s="18" t="n">
        <v>1412477.15569728</v>
      </c>
      <c r="D689" s="0" t="n">
        <v>1</v>
      </c>
    </row>
    <row r="690" customFormat="false" ht="15" hidden="false" customHeight="false" outlineLevel="0" collapsed="false">
      <c r="A690" s="0" t="n">
        <v>689</v>
      </c>
      <c r="B690" s="18" t="n">
        <v>530345.067395064</v>
      </c>
      <c r="C690" s="18" t="n">
        <v>0</v>
      </c>
      <c r="D690" s="0" t="n">
        <v>0</v>
      </c>
      <c r="E690" s="19" t="n">
        <v>34</v>
      </c>
    </row>
    <row r="691" customFormat="false" ht="15" hidden="false" customHeight="false" outlineLevel="0" collapsed="false">
      <c r="A691" s="0" t="n">
        <v>690</v>
      </c>
      <c r="B691" s="18" t="n">
        <v>451850.523336724</v>
      </c>
      <c r="C691" s="18" t="n">
        <v>0</v>
      </c>
      <c r="D691" s="0" t="n">
        <v>0</v>
      </c>
      <c r="E691" s="19" t="n">
        <v>34.5833333333333</v>
      </c>
    </row>
    <row r="692" customFormat="false" ht="15" hidden="false" customHeight="false" outlineLevel="0" collapsed="false">
      <c r="A692" s="0" t="n">
        <v>691</v>
      </c>
      <c r="B692" s="18" t="n">
        <v>349549.071348253</v>
      </c>
      <c r="C692" s="18" t="n">
        <v>0</v>
      </c>
      <c r="D692" s="0" t="n">
        <v>0</v>
      </c>
      <c r="E692" s="19" t="n">
        <v>30.5</v>
      </c>
    </row>
    <row r="693" customFormat="false" ht="15" hidden="false" customHeight="false" outlineLevel="0" collapsed="false">
      <c r="A693" s="0" t="n">
        <v>692</v>
      </c>
      <c r="B693" s="18" t="n">
        <v>624201.529618588</v>
      </c>
      <c r="C693" s="18" t="n">
        <v>0</v>
      </c>
      <c r="D693" s="0" t="n">
        <v>0</v>
      </c>
      <c r="E693" s="19" t="n">
        <v>39.3333333333333</v>
      </c>
    </row>
    <row r="694" customFormat="false" ht="15" hidden="false" customHeight="false" outlineLevel="0" collapsed="false">
      <c r="A694" s="0" t="n">
        <v>693</v>
      </c>
      <c r="B694" s="18" t="n">
        <v>1220242.06402501</v>
      </c>
      <c r="C694" s="18" t="n">
        <v>0</v>
      </c>
      <c r="D694" s="0" t="n">
        <v>0</v>
      </c>
      <c r="E694" s="19" t="n">
        <v>51.9166666666667</v>
      </c>
    </row>
    <row r="695" customFormat="false" ht="15" hidden="false" customHeight="false" outlineLevel="0" collapsed="false">
      <c r="A695" s="0" t="n">
        <v>694</v>
      </c>
      <c r="B695" s="18" t="n">
        <v>986008.032704984</v>
      </c>
      <c r="C695" s="18" t="n">
        <v>298966.08026309</v>
      </c>
      <c r="D695" s="0" t="n">
        <v>1</v>
      </c>
    </row>
    <row r="696" customFormat="false" ht="15" hidden="false" customHeight="false" outlineLevel="0" collapsed="false">
      <c r="A696" s="0" t="n">
        <v>695</v>
      </c>
      <c r="B696" s="18" t="n">
        <v>981678.314208493</v>
      </c>
      <c r="C696" s="18" t="n">
        <v>608122.648043125</v>
      </c>
      <c r="D696" s="0" t="n">
        <v>1</v>
      </c>
    </row>
    <row r="697" customFormat="false" ht="15" hidden="false" customHeight="false" outlineLevel="0" collapsed="false">
      <c r="A697" s="0" t="n">
        <v>696</v>
      </c>
      <c r="B697" s="18" t="n">
        <v>481217.802021526</v>
      </c>
      <c r="C697" s="18" t="n">
        <v>0</v>
      </c>
      <c r="D697" s="0" t="n">
        <v>0</v>
      </c>
      <c r="E697" s="19" t="n">
        <v>35.8333333333333</v>
      </c>
    </row>
    <row r="698" customFormat="false" ht="15" hidden="false" customHeight="false" outlineLevel="0" collapsed="false">
      <c r="A698" s="0" t="n">
        <v>697</v>
      </c>
      <c r="B698" s="18" t="n">
        <v>1071790.98627523</v>
      </c>
      <c r="C698" s="18" t="n">
        <v>1222656.87042473</v>
      </c>
      <c r="D698" s="0" t="n">
        <v>1</v>
      </c>
    </row>
    <row r="699" customFormat="false" ht="15" hidden="false" customHeight="false" outlineLevel="0" collapsed="false">
      <c r="A699" s="0" t="n">
        <v>698</v>
      </c>
      <c r="B699" s="18" t="n">
        <v>497610.591200383</v>
      </c>
      <c r="C699" s="18" t="n">
        <v>0</v>
      </c>
      <c r="D699" s="0" t="n">
        <v>0</v>
      </c>
      <c r="E699" s="19" t="n">
        <v>34.5</v>
      </c>
    </row>
    <row r="700" customFormat="false" ht="15" hidden="false" customHeight="false" outlineLevel="0" collapsed="false">
      <c r="A700" s="0" t="n">
        <v>699</v>
      </c>
      <c r="B700" s="18" t="n">
        <v>1830104.59051491</v>
      </c>
      <c r="C700" s="18" t="n">
        <v>4974117.4452139</v>
      </c>
      <c r="D700" s="0" t="n">
        <v>1</v>
      </c>
    </row>
    <row r="701" customFormat="false" ht="15" hidden="false" customHeight="false" outlineLevel="0" collapsed="false">
      <c r="A701" s="0" t="n">
        <v>700</v>
      </c>
      <c r="B701" s="18" t="n">
        <v>908673.261476977</v>
      </c>
      <c r="C701" s="18" t="n">
        <v>0</v>
      </c>
      <c r="D701" s="0" t="n">
        <v>0</v>
      </c>
      <c r="E701" s="19" t="n">
        <v>47.0833333333333</v>
      </c>
    </row>
    <row r="702" customFormat="false" ht="15" hidden="false" customHeight="false" outlineLevel="0" collapsed="false">
      <c r="A702" s="0" t="n">
        <v>701</v>
      </c>
      <c r="B702" s="18" t="n">
        <v>826766.939923409</v>
      </c>
      <c r="C702" s="18" t="n">
        <v>3543918.50464881</v>
      </c>
      <c r="D702" s="0" t="n">
        <v>1</v>
      </c>
    </row>
    <row r="703" customFormat="false" ht="15" hidden="false" customHeight="false" outlineLevel="0" collapsed="false">
      <c r="A703" s="0" t="n">
        <v>702</v>
      </c>
      <c r="B703" s="18" t="n">
        <v>866533.089227917</v>
      </c>
      <c r="C703" s="18" t="n">
        <v>0</v>
      </c>
      <c r="D703" s="0" t="n">
        <v>0</v>
      </c>
      <c r="E703" s="19" t="n">
        <v>36.5</v>
      </c>
    </row>
    <row r="704" customFormat="false" ht="15" hidden="false" customHeight="false" outlineLevel="0" collapsed="false">
      <c r="A704" s="0" t="n">
        <v>703</v>
      </c>
      <c r="B704" s="18" t="n">
        <v>1053986.33716398</v>
      </c>
      <c r="C704" s="18" t="n">
        <v>0</v>
      </c>
      <c r="D704" s="0" t="n">
        <v>0</v>
      </c>
      <c r="E704" s="19" t="n">
        <v>40.6666666666667</v>
      </c>
    </row>
    <row r="705" customFormat="false" ht="15" hidden="false" customHeight="false" outlineLevel="0" collapsed="false">
      <c r="A705" s="0" t="n">
        <v>704</v>
      </c>
      <c r="B705" s="18" t="n">
        <v>963173.212776694</v>
      </c>
      <c r="C705" s="18" t="n">
        <v>166778.659203778</v>
      </c>
      <c r="D705" s="0" t="n">
        <v>1</v>
      </c>
    </row>
    <row r="706" customFormat="false" ht="15" hidden="false" customHeight="false" outlineLevel="0" collapsed="false">
      <c r="A706" s="0" t="n">
        <v>705</v>
      </c>
      <c r="B706" s="18" t="n">
        <v>968036.461075142</v>
      </c>
      <c r="C706" s="18" t="n">
        <v>2669381.72957491</v>
      </c>
      <c r="D706" s="0" t="n">
        <v>1</v>
      </c>
    </row>
    <row r="707" customFormat="false" ht="15" hidden="false" customHeight="false" outlineLevel="0" collapsed="false">
      <c r="A707" s="0" t="n">
        <v>706</v>
      </c>
      <c r="B707" s="18" t="n">
        <v>824164.771750792</v>
      </c>
      <c r="C707" s="18" t="n">
        <v>0</v>
      </c>
      <c r="D707" s="0" t="n">
        <v>0</v>
      </c>
      <c r="E707" s="19" t="n">
        <v>42.4166666666667</v>
      </c>
    </row>
    <row r="708" customFormat="false" ht="15" hidden="false" customHeight="false" outlineLevel="0" collapsed="false">
      <c r="A708" s="0" t="n">
        <v>707</v>
      </c>
      <c r="B708" s="18" t="n">
        <v>1749005.74063902</v>
      </c>
      <c r="C708" s="18" t="n">
        <v>2819065.97734852</v>
      </c>
      <c r="D708" s="0" t="n">
        <v>1</v>
      </c>
    </row>
    <row r="709" customFormat="false" ht="15" hidden="false" customHeight="false" outlineLevel="0" collapsed="false">
      <c r="A709" s="0" t="n">
        <v>708</v>
      </c>
      <c r="B709" s="18" t="n">
        <v>1029786.92493282</v>
      </c>
      <c r="C709" s="18" t="n">
        <v>0</v>
      </c>
      <c r="D709" s="0" t="n">
        <v>0</v>
      </c>
      <c r="E709" s="19" t="n">
        <v>46.75</v>
      </c>
    </row>
    <row r="710" customFormat="false" ht="15" hidden="false" customHeight="false" outlineLevel="0" collapsed="false">
      <c r="A710" s="0" t="n">
        <v>709</v>
      </c>
      <c r="B710" s="18" t="n">
        <v>1099970.53610061</v>
      </c>
      <c r="C710" s="18" t="n">
        <v>96447.4839906532</v>
      </c>
      <c r="D710" s="0" t="n">
        <v>1</v>
      </c>
    </row>
    <row r="711" customFormat="false" ht="15" hidden="false" customHeight="false" outlineLevel="0" collapsed="false">
      <c r="A711" s="0" t="n">
        <v>710</v>
      </c>
      <c r="B711" s="18" t="n">
        <v>355393.309965774</v>
      </c>
      <c r="C711" s="18" t="n">
        <v>0</v>
      </c>
      <c r="D711" s="0" t="n">
        <v>0</v>
      </c>
      <c r="E711" s="19" t="n">
        <v>32.5833333333333</v>
      </c>
    </row>
    <row r="712" customFormat="false" ht="15" hidden="false" customHeight="false" outlineLevel="0" collapsed="false">
      <c r="A712" s="0" t="n">
        <v>711</v>
      </c>
      <c r="B712" s="18" t="n">
        <v>954734.859204645</v>
      </c>
      <c r="C712" s="18" t="n">
        <v>0</v>
      </c>
      <c r="D712" s="0" t="n">
        <v>0</v>
      </c>
      <c r="E712" s="19" t="n">
        <v>43.3333333333333</v>
      </c>
    </row>
    <row r="713" customFormat="false" ht="15" hidden="false" customHeight="false" outlineLevel="0" collapsed="false">
      <c r="A713" s="0" t="n">
        <v>712</v>
      </c>
      <c r="B713" s="18" t="n">
        <v>788788.150316481</v>
      </c>
      <c r="C713" s="18" t="n">
        <v>0</v>
      </c>
      <c r="D713" s="0" t="n">
        <v>0</v>
      </c>
      <c r="E713" s="19" t="n">
        <v>39.4166666666667</v>
      </c>
    </row>
    <row r="714" customFormat="false" ht="15" hidden="false" customHeight="false" outlineLevel="0" collapsed="false">
      <c r="A714" s="0" t="n">
        <v>713</v>
      </c>
      <c r="B714" s="18" t="n">
        <v>1324063.03739226</v>
      </c>
      <c r="C714" s="18" t="n">
        <v>0</v>
      </c>
      <c r="D714" s="0" t="n">
        <v>0</v>
      </c>
      <c r="E714" s="19" t="n">
        <v>48.5833333333333</v>
      </c>
    </row>
    <row r="715" customFormat="false" ht="15" hidden="false" customHeight="false" outlineLevel="0" collapsed="false">
      <c r="A715" s="0" t="n">
        <v>714</v>
      </c>
      <c r="B715" s="18" t="n">
        <v>736265.215763926</v>
      </c>
      <c r="C715" s="18" t="n">
        <v>0</v>
      </c>
      <c r="D715" s="0" t="n">
        <v>0</v>
      </c>
      <c r="E715" s="19" t="n">
        <v>48.8333333333333</v>
      </c>
    </row>
    <row r="716" customFormat="false" ht="15" hidden="false" customHeight="false" outlineLevel="0" collapsed="false">
      <c r="A716" s="0" t="n">
        <v>715</v>
      </c>
      <c r="B716" s="18" t="n">
        <v>1957783.09711014</v>
      </c>
      <c r="C716" s="18" t="n">
        <v>0</v>
      </c>
      <c r="D716" s="0" t="n">
        <v>0</v>
      </c>
      <c r="E716" s="19" t="n">
        <v>52.5833333333333</v>
      </c>
    </row>
    <row r="717" customFormat="false" ht="15" hidden="false" customHeight="false" outlineLevel="0" collapsed="false">
      <c r="A717" s="0" t="n">
        <v>716</v>
      </c>
      <c r="B717" s="18" t="n">
        <v>1129265.3379752</v>
      </c>
      <c r="C717" s="18" t="n">
        <v>0</v>
      </c>
      <c r="D717" s="0" t="n">
        <v>0</v>
      </c>
      <c r="E717" s="19" t="n">
        <v>53.9166666666667</v>
      </c>
    </row>
    <row r="718" customFormat="false" ht="15" hidden="false" customHeight="false" outlineLevel="0" collapsed="false">
      <c r="A718" s="0" t="n">
        <v>717</v>
      </c>
      <c r="B718" s="18" t="n">
        <v>1257821.25779085</v>
      </c>
      <c r="C718" s="18" t="n">
        <v>2997258.76235825</v>
      </c>
      <c r="D718" s="0" t="n">
        <v>1</v>
      </c>
    </row>
    <row r="719" customFormat="false" ht="15" hidden="false" customHeight="false" outlineLevel="0" collapsed="false">
      <c r="A719" s="0" t="n">
        <v>718</v>
      </c>
      <c r="B719" s="18" t="n">
        <v>1275845.00021013</v>
      </c>
      <c r="C719" s="18" t="n">
        <v>3851411.73348257</v>
      </c>
      <c r="D719" s="0" t="n">
        <v>1</v>
      </c>
    </row>
    <row r="720" customFormat="false" ht="15" hidden="false" customHeight="false" outlineLevel="0" collapsed="false">
      <c r="A720" s="0" t="n">
        <v>719</v>
      </c>
      <c r="B720" s="18" t="n">
        <v>2476240.23231955</v>
      </c>
      <c r="C720" s="18" t="n">
        <v>31963015.9705889</v>
      </c>
      <c r="D720" s="0" t="n">
        <v>1</v>
      </c>
    </row>
    <row r="721" customFormat="false" ht="15" hidden="false" customHeight="false" outlineLevel="0" collapsed="false">
      <c r="A721" s="0" t="n">
        <v>720</v>
      </c>
      <c r="B721" s="18" t="n">
        <v>1500798.60008259</v>
      </c>
      <c r="C721" s="18" t="n">
        <v>0</v>
      </c>
      <c r="D721" s="0" t="n">
        <v>0</v>
      </c>
      <c r="E721" s="19" t="n">
        <v>47.5833333333333</v>
      </c>
    </row>
    <row r="722" customFormat="false" ht="15" hidden="false" customHeight="false" outlineLevel="0" collapsed="false">
      <c r="A722" s="0" t="n">
        <v>721</v>
      </c>
      <c r="B722" s="18" t="n">
        <v>869797.266811981</v>
      </c>
      <c r="C722" s="18" t="n">
        <v>0</v>
      </c>
      <c r="D722" s="0" t="n">
        <v>0</v>
      </c>
      <c r="E722" s="19" t="n">
        <v>52.3333333333333</v>
      </c>
    </row>
    <row r="723" customFormat="false" ht="15" hidden="false" customHeight="false" outlineLevel="0" collapsed="false">
      <c r="A723" s="0" t="n">
        <v>722</v>
      </c>
      <c r="B723" s="18" t="n">
        <v>1173227.83034574</v>
      </c>
      <c r="C723" s="18" t="n">
        <v>316079.976133641</v>
      </c>
      <c r="D723" s="0" t="n">
        <v>1</v>
      </c>
    </row>
    <row r="724" customFormat="false" ht="15" hidden="false" customHeight="false" outlineLevel="0" collapsed="false">
      <c r="A724" s="0" t="n">
        <v>723</v>
      </c>
      <c r="B724" s="18" t="n">
        <v>4998729.47840716</v>
      </c>
      <c r="C724" s="18" t="n">
        <v>75955262.5909534</v>
      </c>
      <c r="D724" s="0" t="n">
        <v>1</v>
      </c>
    </row>
    <row r="725" customFormat="false" ht="15" hidden="false" customHeight="false" outlineLevel="0" collapsed="false">
      <c r="A725" s="0" t="n">
        <v>724</v>
      </c>
      <c r="B725" s="18" t="n">
        <v>1250121.51289303</v>
      </c>
      <c r="C725" s="18" t="n">
        <v>5778384.69362007</v>
      </c>
      <c r="D725" s="0" t="n">
        <v>1</v>
      </c>
    </row>
    <row r="726" customFormat="false" ht="15" hidden="false" customHeight="false" outlineLevel="0" collapsed="false">
      <c r="A726" s="0" t="n">
        <v>725</v>
      </c>
      <c r="B726" s="18" t="n">
        <v>789966.957321946</v>
      </c>
      <c r="C726" s="18" t="n">
        <v>0</v>
      </c>
      <c r="D726" s="0" t="n">
        <v>0</v>
      </c>
      <c r="E726" s="19" t="n">
        <v>42.1666666666667</v>
      </c>
    </row>
    <row r="727" customFormat="false" ht="15" hidden="false" customHeight="false" outlineLevel="0" collapsed="false">
      <c r="A727" s="0" t="n">
        <v>726</v>
      </c>
      <c r="B727" s="18" t="n">
        <v>334839.824405581</v>
      </c>
      <c r="C727" s="18" t="n">
        <v>0</v>
      </c>
      <c r="D727" s="0" t="n">
        <v>0</v>
      </c>
      <c r="E727" s="19" t="n">
        <v>31.4166666666667</v>
      </c>
    </row>
    <row r="728" customFormat="false" ht="15" hidden="false" customHeight="false" outlineLevel="0" collapsed="false">
      <c r="A728" s="0" t="n">
        <v>727</v>
      </c>
      <c r="B728" s="18" t="n">
        <v>490867.972786298</v>
      </c>
      <c r="C728" s="18" t="n">
        <v>0</v>
      </c>
      <c r="D728" s="0" t="n">
        <v>0</v>
      </c>
      <c r="E728" s="19" t="n">
        <v>34.75</v>
      </c>
    </row>
    <row r="729" customFormat="false" ht="15" hidden="false" customHeight="false" outlineLevel="0" collapsed="false">
      <c r="A729" s="0" t="n">
        <v>728</v>
      </c>
      <c r="B729" s="18" t="n">
        <v>773488.407841101</v>
      </c>
      <c r="C729" s="18" t="n">
        <v>0</v>
      </c>
      <c r="D729" s="0" t="n">
        <v>0</v>
      </c>
      <c r="E729" s="19" t="n">
        <v>45.5</v>
      </c>
    </row>
    <row r="730" customFormat="false" ht="15" hidden="false" customHeight="false" outlineLevel="0" collapsed="false">
      <c r="A730" s="0" t="n">
        <v>729</v>
      </c>
      <c r="B730" s="18" t="n">
        <v>1914845.7673783</v>
      </c>
      <c r="C730" s="18" t="n">
        <v>3422741.78125229</v>
      </c>
      <c r="D730" s="0" t="n">
        <v>1</v>
      </c>
    </row>
    <row r="731" customFormat="false" ht="15" hidden="false" customHeight="false" outlineLevel="0" collapsed="false">
      <c r="A731" s="0" t="n">
        <v>730</v>
      </c>
      <c r="B731" s="18" t="n">
        <v>1175596.73368871</v>
      </c>
      <c r="C731" s="18" t="n">
        <v>3329526.0848782</v>
      </c>
      <c r="D731" s="0" t="n">
        <v>1</v>
      </c>
    </row>
    <row r="732" customFormat="false" ht="15" hidden="false" customHeight="false" outlineLevel="0" collapsed="false">
      <c r="A732" s="0" t="n">
        <v>731</v>
      </c>
      <c r="B732" s="18" t="n">
        <v>1082102.28420822</v>
      </c>
      <c r="C732" s="18" t="n">
        <v>2180345.331895</v>
      </c>
      <c r="D732" s="0" t="n">
        <v>1</v>
      </c>
    </row>
    <row r="733" customFormat="false" ht="15" hidden="false" customHeight="false" outlineLevel="0" collapsed="false">
      <c r="A733" s="0" t="n">
        <v>732</v>
      </c>
      <c r="B733" s="18" t="n">
        <v>653574.362231948</v>
      </c>
      <c r="C733" s="18" t="n">
        <v>0</v>
      </c>
      <c r="D733" s="0" t="n">
        <v>0</v>
      </c>
      <c r="E733" s="19" t="n">
        <v>40.6666666666667</v>
      </c>
    </row>
    <row r="734" customFormat="false" ht="15" hidden="false" customHeight="false" outlineLevel="0" collapsed="false">
      <c r="A734" s="0" t="n">
        <v>733</v>
      </c>
      <c r="B734" s="18" t="n">
        <v>287244.821239238</v>
      </c>
      <c r="C734" s="18" t="n">
        <v>0</v>
      </c>
      <c r="D734" s="0" t="n">
        <v>0</v>
      </c>
      <c r="E734" s="19" t="n">
        <v>29.6666666666667</v>
      </c>
    </row>
    <row r="735" customFormat="false" ht="15" hidden="false" customHeight="false" outlineLevel="0" collapsed="false">
      <c r="A735" s="0" t="n">
        <v>734</v>
      </c>
      <c r="B735" s="18" t="n">
        <v>600894.613590911</v>
      </c>
      <c r="C735" s="18" t="n">
        <v>0</v>
      </c>
      <c r="D735" s="0" t="n">
        <v>0</v>
      </c>
      <c r="E735" s="19" t="n">
        <v>39.8333333333333</v>
      </c>
    </row>
    <row r="736" customFormat="false" ht="15" hidden="false" customHeight="false" outlineLevel="0" collapsed="false">
      <c r="A736" s="0" t="n">
        <v>735</v>
      </c>
      <c r="B736" s="18" t="n">
        <v>1304210.17237087</v>
      </c>
      <c r="C736" s="18" t="n">
        <v>10251270.8352049</v>
      </c>
      <c r="D736" s="0" t="n">
        <v>1</v>
      </c>
    </row>
    <row r="737" customFormat="false" ht="15" hidden="false" customHeight="false" outlineLevel="0" collapsed="false">
      <c r="A737" s="0" t="n">
        <v>736</v>
      </c>
      <c r="B737" s="18" t="n">
        <v>624138.764252831</v>
      </c>
      <c r="C737" s="18" t="n">
        <v>0</v>
      </c>
      <c r="D737" s="0" t="n">
        <v>0</v>
      </c>
      <c r="E737" s="19" t="n">
        <v>38.3333333333333</v>
      </c>
    </row>
    <row r="738" customFormat="false" ht="15" hidden="false" customHeight="false" outlineLevel="0" collapsed="false">
      <c r="A738" s="0" t="n">
        <v>737</v>
      </c>
      <c r="B738" s="18" t="n">
        <v>1733600.27451151</v>
      </c>
      <c r="C738" s="18" t="n">
        <v>5129718.18839423</v>
      </c>
      <c r="D738" s="0" t="n">
        <v>1</v>
      </c>
    </row>
    <row r="739" customFormat="false" ht="15" hidden="false" customHeight="false" outlineLevel="0" collapsed="false">
      <c r="A739" s="0" t="n">
        <v>738</v>
      </c>
      <c r="B739" s="18" t="n">
        <v>785370.737660405</v>
      </c>
      <c r="C739" s="18" t="n">
        <v>0</v>
      </c>
      <c r="D739" s="0" t="n">
        <v>0</v>
      </c>
      <c r="E739" s="19" t="n">
        <v>35</v>
      </c>
    </row>
    <row r="740" customFormat="false" ht="15" hidden="false" customHeight="false" outlineLevel="0" collapsed="false">
      <c r="A740" s="0" t="n">
        <v>739</v>
      </c>
      <c r="B740" s="18" t="n">
        <v>447079.95299405</v>
      </c>
      <c r="C740" s="18" t="n">
        <v>0</v>
      </c>
      <c r="D740" s="0" t="n">
        <v>0</v>
      </c>
      <c r="E740" s="19" t="n">
        <v>36.0833333333333</v>
      </c>
    </row>
    <row r="741" customFormat="false" ht="15" hidden="false" customHeight="false" outlineLevel="0" collapsed="false">
      <c r="A741" s="0" t="n">
        <v>740</v>
      </c>
      <c r="B741" s="18" t="n">
        <v>1390731.76830726</v>
      </c>
      <c r="C741" s="18" t="n">
        <v>2531296.45097298</v>
      </c>
      <c r="D741" s="0" t="n">
        <v>1</v>
      </c>
    </row>
    <row r="742" customFormat="false" ht="15" hidden="false" customHeight="false" outlineLevel="0" collapsed="false">
      <c r="A742" s="0" t="n">
        <v>741</v>
      </c>
      <c r="B742" s="18" t="n">
        <v>1194366.35503323</v>
      </c>
      <c r="C742" s="18" t="n">
        <v>0</v>
      </c>
      <c r="D742" s="0" t="n">
        <v>0</v>
      </c>
      <c r="E742" s="19" t="n">
        <v>44.6666666666667</v>
      </c>
    </row>
    <row r="743" customFormat="false" ht="15" hidden="false" customHeight="false" outlineLevel="0" collapsed="false">
      <c r="A743" s="0" t="n">
        <v>742</v>
      </c>
      <c r="B743" s="18" t="n">
        <v>664560.324437697</v>
      </c>
      <c r="C743" s="18" t="n">
        <v>0</v>
      </c>
      <c r="D743" s="0" t="n">
        <v>0</v>
      </c>
      <c r="E743" s="19" t="n">
        <v>34.3333333333333</v>
      </c>
    </row>
    <row r="744" customFormat="false" ht="15" hidden="false" customHeight="false" outlineLevel="0" collapsed="false">
      <c r="A744" s="0" t="n">
        <v>743</v>
      </c>
      <c r="B744" s="18" t="n">
        <v>968734.512811595</v>
      </c>
      <c r="C744" s="18" t="n">
        <v>0</v>
      </c>
      <c r="D744" s="0" t="n">
        <v>0</v>
      </c>
      <c r="E744" s="19" t="n">
        <v>41.75</v>
      </c>
    </row>
    <row r="745" customFormat="false" ht="15" hidden="false" customHeight="false" outlineLevel="0" collapsed="false">
      <c r="A745" s="0" t="n">
        <v>744</v>
      </c>
      <c r="B745" s="18" t="n">
        <v>758234.160132293</v>
      </c>
      <c r="C745" s="18" t="n">
        <v>2499743.48613761</v>
      </c>
      <c r="D745" s="0" t="n">
        <v>1</v>
      </c>
    </row>
    <row r="746" customFormat="false" ht="15" hidden="false" customHeight="false" outlineLevel="0" collapsed="false">
      <c r="A746" s="0" t="n">
        <v>745</v>
      </c>
      <c r="B746" s="18" t="n">
        <v>787432.776651222</v>
      </c>
      <c r="C746" s="18" t="n">
        <v>0</v>
      </c>
      <c r="D746" s="0" t="n">
        <v>0</v>
      </c>
      <c r="E746" s="19" t="n">
        <v>36.4166666666667</v>
      </c>
    </row>
    <row r="747" customFormat="false" ht="15" hidden="false" customHeight="false" outlineLevel="0" collapsed="false">
      <c r="A747" s="0" t="n">
        <v>746</v>
      </c>
      <c r="B747" s="18" t="n">
        <v>1629461.94553574</v>
      </c>
      <c r="C747" s="18" t="n">
        <v>5373093.41484224</v>
      </c>
      <c r="D747" s="0" t="n">
        <v>1</v>
      </c>
    </row>
    <row r="748" customFormat="false" ht="15" hidden="false" customHeight="false" outlineLevel="0" collapsed="false">
      <c r="A748" s="0" t="n">
        <v>747</v>
      </c>
      <c r="B748" s="18" t="n">
        <v>715939.294020359</v>
      </c>
      <c r="C748" s="18" t="n">
        <v>0</v>
      </c>
      <c r="D748" s="0" t="n">
        <v>0</v>
      </c>
      <c r="E748" s="19" t="n">
        <v>34.9166666666667</v>
      </c>
    </row>
    <row r="749" customFormat="false" ht="15" hidden="false" customHeight="false" outlineLevel="0" collapsed="false">
      <c r="A749" s="0" t="n">
        <v>748</v>
      </c>
      <c r="B749" s="18" t="n">
        <v>1308084.85441615</v>
      </c>
      <c r="C749" s="18" t="n">
        <v>762654.148790268</v>
      </c>
      <c r="D749" s="0" t="n">
        <v>1</v>
      </c>
    </row>
    <row r="750" customFormat="false" ht="15" hidden="false" customHeight="false" outlineLevel="0" collapsed="false">
      <c r="A750" s="0" t="n">
        <v>749</v>
      </c>
      <c r="B750" s="18" t="n">
        <v>279384.259187356</v>
      </c>
      <c r="C750" s="18" t="n">
        <v>0</v>
      </c>
      <c r="D750" s="0" t="n">
        <v>0</v>
      </c>
      <c r="E750" s="19" t="n">
        <v>30.25</v>
      </c>
    </row>
    <row r="751" customFormat="false" ht="15" hidden="false" customHeight="false" outlineLevel="0" collapsed="false">
      <c r="A751" s="0" t="n">
        <v>750</v>
      </c>
      <c r="B751" s="18" t="n">
        <v>4785848.89069201</v>
      </c>
      <c r="C751" s="18" t="n">
        <v>53107129.6155271</v>
      </c>
      <c r="D751" s="0" t="n">
        <v>1</v>
      </c>
    </row>
    <row r="752" customFormat="false" ht="15" hidden="false" customHeight="false" outlineLevel="0" collapsed="false">
      <c r="A752" s="0" t="n">
        <v>751</v>
      </c>
      <c r="B752" s="18" t="n">
        <v>800624.383464936</v>
      </c>
      <c r="C752" s="18" t="n">
        <v>0</v>
      </c>
      <c r="D752" s="0" t="n">
        <v>0</v>
      </c>
      <c r="E752" s="19" t="n">
        <v>44.0833333333333</v>
      </c>
    </row>
    <row r="753" customFormat="false" ht="15" hidden="false" customHeight="false" outlineLevel="0" collapsed="false">
      <c r="A753" s="0" t="n">
        <v>752</v>
      </c>
      <c r="B753" s="18" t="n">
        <v>421313.42718724</v>
      </c>
      <c r="C753" s="18" t="n">
        <v>0</v>
      </c>
      <c r="D753" s="0" t="n">
        <v>0</v>
      </c>
      <c r="E753" s="19" t="n">
        <v>34.3333333333333</v>
      </c>
    </row>
    <row r="754" customFormat="false" ht="15" hidden="false" customHeight="false" outlineLevel="0" collapsed="false">
      <c r="A754" s="0" t="n">
        <v>753</v>
      </c>
      <c r="B754" s="18" t="n">
        <v>3581859.37675286</v>
      </c>
      <c r="C754" s="18" t="n">
        <v>28559221.4867886</v>
      </c>
      <c r="D754" s="0" t="n">
        <v>1</v>
      </c>
    </row>
    <row r="755" customFormat="false" ht="15" hidden="false" customHeight="false" outlineLevel="0" collapsed="false">
      <c r="A755" s="0" t="n">
        <v>754</v>
      </c>
      <c r="B755" s="18" t="n">
        <v>440573.921115149</v>
      </c>
      <c r="C755" s="18" t="n">
        <v>0</v>
      </c>
      <c r="D755" s="0" t="n">
        <v>0</v>
      </c>
      <c r="E755" s="19" t="n">
        <v>33.1666666666667</v>
      </c>
    </row>
    <row r="756" customFormat="false" ht="15" hidden="false" customHeight="false" outlineLevel="0" collapsed="false">
      <c r="A756" s="0" t="n">
        <v>755</v>
      </c>
      <c r="B756" s="18" t="n">
        <v>1188800.67859366</v>
      </c>
      <c r="C756" s="18" t="n">
        <v>0</v>
      </c>
      <c r="D756" s="0" t="n">
        <v>0</v>
      </c>
      <c r="E756" s="19" t="n">
        <v>54.5833333333333</v>
      </c>
    </row>
    <row r="757" customFormat="false" ht="15" hidden="false" customHeight="false" outlineLevel="0" collapsed="false">
      <c r="A757" s="0" t="n">
        <v>756</v>
      </c>
      <c r="B757" s="18" t="n">
        <v>1971310.1895185</v>
      </c>
      <c r="C757" s="18" t="n">
        <v>0</v>
      </c>
      <c r="D757" s="0" t="n">
        <v>0</v>
      </c>
      <c r="E757" s="19" t="n">
        <v>44.5833333333333</v>
      </c>
    </row>
    <row r="758" customFormat="false" ht="15" hidden="false" customHeight="false" outlineLevel="0" collapsed="false">
      <c r="A758" s="0" t="n">
        <v>757</v>
      </c>
      <c r="B758" s="18" t="n">
        <v>680268.753583646</v>
      </c>
      <c r="C758" s="18" t="n">
        <v>0</v>
      </c>
      <c r="D758" s="0" t="n">
        <v>0</v>
      </c>
      <c r="E758" s="19" t="n">
        <v>37.75</v>
      </c>
    </row>
    <row r="759" customFormat="false" ht="15" hidden="false" customHeight="false" outlineLevel="0" collapsed="false">
      <c r="A759" s="0" t="n">
        <v>758</v>
      </c>
      <c r="B759" s="18" t="n">
        <v>896169.801941289</v>
      </c>
      <c r="C759" s="18" t="n">
        <v>0</v>
      </c>
      <c r="D759" s="0" t="n">
        <v>0</v>
      </c>
      <c r="E759" s="19" t="n">
        <v>51</v>
      </c>
    </row>
    <row r="760" customFormat="false" ht="15" hidden="false" customHeight="false" outlineLevel="0" collapsed="false">
      <c r="A760" s="0" t="n">
        <v>759</v>
      </c>
      <c r="B760" s="18" t="n">
        <v>1587102.72482126</v>
      </c>
      <c r="C760" s="18" t="n">
        <v>30818301.7677252</v>
      </c>
      <c r="D760" s="0" t="n">
        <v>1</v>
      </c>
    </row>
    <row r="761" customFormat="false" ht="15" hidden="false" customHeight="false" outlineLevel="0" collapsed="false">
      <c r="A761" s="0" t="n">
        <v>760</v>
      </c>
      <c r="B761" s="18" t="n">
        <v>1127976.5152592</v>
      </c>
      <c r="C761" s="18" t="n">
        <v>215610.578201764</v>
      </c>
      <c r="D761" s="0" t="n">
        <v>1</v>
      </c>
    </row>
    <row r="762" customFormat="false" ht="15" hidden="false" customHeight="false" outlineLevel="0" collapsed="false">
      <c r="A762" s="0" t="n">
        <v>761</v>
      </c>
      <c r="B762" s="18" t="n">
        <v>3366960.73885554</v>
      </c>
      <c r="C762" s="18" t="n">
        <v>47979357.181116</v>
      </c>
      <c r="D762" s="0" t="n">
        <v>1</v>
      </c>
    </row>
    <row r="763" customFormat="false" ht="15" hidden="false" customHeight="false" outlineLevel="0" collapsed="false">
      <c r="A763" s="0" t="n">
        <v>762</v>
      </c>
      <c r="B763" s="18" t="n">
        <v>824138.395652208</v>
      </c>
      <c r="C763" s="18" t="n">
        <v>2339216.21553896</v>
      </c>
      <c r="D763" s="0" t="n">
        <v>1</v>
      </c>
    </row>
    <row r="764" customFormat="false" ht="15" hidden="false" customHeight="false" outlineLevel="0" collapsed="false">
      <c r="A764" s="0" t="n">
        <v>763</v>
      </c>
      <c r="B764" s="18" t="n">
        <v>1228779.91360892</v>
      </c>
      <c r="C764" s="18" t="n">
        <v>0</v>
      </c>
      <c r="D764" s="0" t="n">
        <v>0</v>
      </c>
      <c r="E764" s="19" t="n">
        <v>51</v>
      </c>
    </row>
    <row r="765" customFormat="false" ht="15" hidden="false" customHeight="false" outlineLevel="0" collapsed="false">
      <c r="A765" s="0" t="n">
        <v>764</v>
      </c>
      <c r="B765" s="18" t="n">
        <v>1208800.71811916</v>
      </c>
      <c r="C765" s="18" t="n">
        <v>1876559.50315712</v>
      </c>
      <c r="D765" s="0" t="n">
        <v>1</v>
      </c>
    </row>
    <row r="766" customFormat="false" ht="15" hidden="false" customHeight="false" outlineLevel="0" collapsed="false">
      <c r="A766" s="0" t="n">
        <v>765</v>
      </c>
      <c r="B766" s="18" t="n">
        <v>1092558.69427113</v>
      </c>
      <c r="C766" s="18" t="n">
        <v>17316757.6959831</v>
      </c>
      <c r="D766" s="0" t="n">
        <v>1</v>
      </c>
    </row>
    <row r="767" customFormat="false" ht="15" hidden="false" customHeight="false" outlineLevel="0" collapsed="false">
      <c r="A767" s="0" t="n">
        <v>766</v>
      </c>
      <c r="B767" s="18" t="n">
        <v>1526942.45337189</v>
      </c>
      <c r="C767" s="18" t="n">
        <v>2026718.9629297</v>
      </c>
      <c r="D767" s="0" t="n">
        <v>1</v>
      </c>
    </row>
    <row r="768" customFormat="false" ht="15" hidden="false" customHeight="false" outlineLevel="0" collapsed="false">
      <c r="A768" s="0" t="n">
        <v>767</v>
      </c>
      <c r="B768" s="18" t="n">
        <v>542867.320162008</v>
      </c>
      <c r="C768" s="18" t="n">
        <v>0</v>
      </c>
      <c r="D768" s="0" t="n">
        <v>0</v>
      </c>
      <c r="E768" s="19" t="n">
        <v>43.3333333333333</v>
      </c>
    </row>
    <row r="769" customFormat="false" ht="15" hidden="false" customHeight="false" outlineLevel="0" collapsed="false">
      <c r="A769" s="0" t="n">
        <v>768</v>
      </c>
      <c r="B769" s="18" t="n">
        <v>768925.658097538</v>
      </c>
      <c r="C769" s="18" t="n">
        <v>0</v>
      </c>
      <c r="D769" s="0" t="n">
        <v>0</v>
      </c>
      <c r="E769" s="19" t="n">
        <v>40</v>
      </c>
    </row>
    <row r="770" customFormat="false" ht="15" hidden="false" customHeight="false" outlineLevel="0" collapsed="false">
      <c r="A770" s="0" t="n">
        <v>769</v>
      </c>
      <c r="B770" s="18" t="n">
        <v>489042.021301535</v>
      </c>
      <c r="C770" s="18" t="n">
        <v>0</v>
      </c>
      <c r="D770" s="0" t="n">
        <v>0</v>
      </c>
      <c r="E770" s="19" t="n">
        <v>31.8333333333333</v>
      </c>
    </row>
    <row r="771" customFormat="false" ht="15" hidden="false" customHeight="false" outlineLevel="0" collapsed="false">
      <c r="A771" s="0" t="n">
        <v>770</v>
      </c>
      <c r="B771" s="18" t="n">
        <v>1715021.68128512</v>
      </c>
      <c r="C771" s="18" t="n">
        <v>8148190.58287165</v>
      </c>
      <c r="D771" s="0" t="n">
        <v>1</v>
      </c>
    </row>
    <row r="772" customFormat="false" ht="15" hidden="false" customHeight="false" outlineLevel="0" collapsed="false">
      <c r="A772" s="0" t="n">
        <v>771</v>
      </c>
      <c r="B772" s="18" t="n">
        <v>1266082.96204757</v>
      </c>
      <c r="C772" s="18" t="n">
        <v>0</v>
      </c>
      <c r="D772" s="0" t="n">
        <v>0</v>
      </c>
      <c r="E772" s="19" t="n">
        <v>41.75</v>
      </c>
    </row>
    <row r="773" customFormat="false" ht="15" hidden="false" customHeight="false" outlineLevel="0" collapsed="false">
      <c r="A773" s="0" t="n">
        <v>772</v>
      </c>
      <c r="B773" s="18" t="n">
        <v>640559.720151194</v>
      </c>
      <c r="C773" s="18" t="n">
        <v>0</v>
      </c>
      <c r="D773" s="0" t="n">
        <v>0</v>
      </c>
      <c r="E773" s="19" t="n">
        <v>36.0833333333333</v>
      </c>
    </row>
    <row r="774" customFormat="false" ht="15" hidden="false" customHeight="false" outlineLevel="0" collapsed="false">
      <c r="A774" s="0" t="n">
        <v>773</v>
      </c>
      <c r="B774" s="18" t="n">
        <v>1964321.47557288</v>
      </c>
      <c r="C774" s="18" t="n">
        <v>0</v>
      </c>
      <c r="D774" s="0" t="n">
        <v>0</v>
      </c>
      <c r="E774" s="19" t="n">
        <v>40.9166666666667</v>
      </c>
    </row>
    <row r="775" customFormat="false" ht="15" hidden="false" customHeight="false" outlineLevel="0" collapsed="false">
      <c r="A775" s="0" t="n">
        <v>774</v>
      </c>
      <c r="B775" s="18" t="n">
        <v>480126.826041488</v>
      </c>
      <c r="C775" s="18" t="n">
        <v>0</v>
      </c>
      <c r="D775" s="0" t="n">
        <v>0</v>
      </c>
      <c r="E775" s="19" t="n">
        <v>32.5833333333333</v>
      </c>
    </row>
    <row r="776" customFormat="false" ht="15" hidden="false" customHeight="false" outlineLevel="0" collapsed="false">
      <c r="A776" s="0" t="n">
        <v>775</v>
      </c>
      <c r="B776" s="18" t="n">
        <v>1939711.99066</v>
      </c>
      <c r="C776" s="18" t="n">
        <v>1792997.5458262</v>
      </c>
      <c r="D776" s="0" t="n">
        <v>1</v>
      </c>
    </row>
    <row r="777" customFormat="false" ht="15" hidden="false" customHeight="false" outlineLevel="0" collapsed="false">
      <c r="A777" s="0" t="n">
        <v>776</v>
      </c>
      <c r="B777" s="18" t="n">
        <v>992943.074953754</v>
      </c>
      <c r="C777" s="18" t="n">
        <v>27237434.9277752</v>
      </c>
      <c r="D777" s="0" t="n">
        <v>1</v>
      </c>
    </row>
    <row r="778" customFormat="false" ht="15" hidden="false" customHeight="false" outlineLevel="0" collapsed="false">
      <c r="A778" s="0" t="n">
        <v>777</v>
      </c>
      <c r="B778" s="18" t="n">
        <v>895526.165028917</v>
      </c>
      <c r="C778" s="18" t="n">
        <v>0</v>
      </c>
      <c r="D778" s="0" t="n">
        <v>0</v>
      </c>
      <c r="E778" s="19" t="n">
        <v>37.75</v>
      </c>
    </row>
    <row r="779" customFormat="false" ht="15" hidden="false" customHeight="false" outlineLevel="0" collapsed="false">
      <c r="A779" s="0" t="n">
        <v>778</v>
      </c>
      <c r="B779" s="18" t="n">
        <v>1132488.17771039</v>
      </c>
      <c r="C779" s="18" t="n">
        <v>0</v>
      </c>
      <c r="D779" s="0" t="n">
        <v>0</v>
      </c>
      <c r="E779" s="19" t="n">
        <v>45.5</v>
      </c>
    </row>
    <row r="780" customFormat="false" ht="15" hidden="false" customHeight="false" outlineLevel="0" collapsed="false">
      <c r="A780" s="0" t="n">
        <v>779</v>
      </c>
      <c r="B780" s="18" t="n">
        <v>411798.328488679</v>
      </c>
      <c r="C780" s="18" t="n">
        <v>0</v>
      </c>
      <c r="D780" s="0" t="n">
        <v>0</v>
      </c>
      <c r="E780" s="19" t="n">
        <v>36.0833333333333</v>
      </c>
    </row>
    <row r="781" customFormat="false" ht="15" hidden="false" customHeight="false" outlineLevel="0" collapsed="false">
      <c r="A781" s="0" t="n">
        <v>780</v>
      </c>
      <c r="B781" s="18" t="n">
        <v>1130526.0901944</v>
      </c>
      <c r="C781" s="18" t="n">
        <v>0</v>
      </c>
      <c r="D781" s="0" t="n">
        <v>0</v>
      </c>
      <c r="E781" s="19" t="n">
        <v>46.1666666666667</v>
      </c>
    </row>
    <row r="782" customFormat="false" ht="15" hidden="false" customHeight="false" outlineLevel="0" collapsed="false">
      <c r="A782" s="0" t="n">
        <v>781</v>
      </c>
      <c r="B782" s="18" t="n">
        <v>840144.021974294</v>
      </c>
      <c r="C782" s="18" t="n">
        <v>0</v>
      </c>
      <c r="D782" s="0" t="n">
        <v>0</v>
      </c>
      <c r="E782" s="19" t="n">
        <v>45.0833333333333</v>
      </c>
    </row>
    <row r="783" customFormat="false" ht="15" hidden="false" customHeight="false" outlineLevel="0" collapsed="false">
      <c r="A783" s="0" t="n">
        <v>782</v>
      </c>
      <c r="B783" s="18" t="n">
        <v>582568.578420363</v>
      </c>
      <c r="C783" s="18" t="n">
        <v>0</v>
      </c>
      <c r="D783" s="0" t="n">
        <v>0</v>
      </c>
      <c r="E783" s="19" t="n">
        <v>35.4166666666667</v>
      </c>
    </row>
    <row r="784" customFormat="false" ht="15" hidden="false" customHeight="false" outlineLevel="0" collapsed="false">
      <c r="A784" s="0" t="n">
        <v>783</v>
      </c>
      <c r="B784" s="18" t="n">
        <v>658453.129015622</v>
      </c>
      <c r="C784" s="18" t="n">
        <v>0</v>
      </c>
      <c r="D784" s="0" t="n">
        <v>0</v>
      </c>
      <c r="E784" s="19" t="n">
        <v>34.5833333333333</v>
      </c>
    </row>
    <row r="785" customFormat="false" ht="15" hidden="false" customHeight="false" outlineLevel="0" collapsed="false">
      <c r="A785" s="0" t="n">
        <v>784</v>
      </c>
      <c r="B785" s="18" t="n">
        <v>449920.732442514</v>
      </c>
      <c r="C785" s="18" t="n">
        <v>0</v>
      </c>
      <c r="D785" s="0" t="n">
        <v>0</v>
      </c>
      <c r="E785" s="19" t="n">
        <v>31</v>
      </c>
    </row>
    <row r="786" customFormat="false" ht="15" hidden="false" customHeight="false" outlineLevel="0" collapsed="false">
      <c r="A786" s="0" t="n">
        <v>785</v>
      </c>
      <c r="B786" s="18" t="n">
        <v>1033922.81958733</v>
      </c>
      <c r="C786" s="18" t="n">
        <v>0</v>
      </c>
      <c r="D786" s="0" t="n">
        <v>0</v>
      </c>
      <c r="E786" s="19" t="n">
        <v>46.9166666666667</v>
      </c>
    </row>
    <row r="787" customFormat="false" ht="15" hidden="false" customHeight="false" outlineLevel="0" collapsed="false">
      <c r="A787" s="0" t="n">
        <v>786</v>
      </c>
      <c r="B787" s="18" t="n">
        <v>842739.96867889</v>
      </c>
      <c r="C787" s="18" t="n">
        <v>1365514.76771469</v>
      </c>
      <c r="D787" s="0" t="n">
        <v>1</v>
      </c>
    </row>
    <row r="788" customFormat="false" ht="15" hidden="false" customHeight="false" outlineLevel="0" collapsed="false">
      <c r="A788" s="0" t="n">
        <v>787</v>
      </c>
      <c r="B788" s="18" t="n">
        <v>1700976.34817033</v>
      </c>
      <c r="C788" s="18" t="n">
        <v>671984.773933488</v>
      </c>
      <c r="D788" s="0" t="n">
        <v>1</v>
      </c>
    </row>
    <row r="789" customFormat="false" ht="15" hidden="false" customHeight="false" outlineLevel="0" collapsed="false">
      <c r="A789" s="0" t="n">
        <v>788</v>
      </c>
      <c r="B789" s="18" t="n">
        <v>2130932.24497169</v>
      </c>
      <c r="C789" s="18" t="n">
        <v>4806260.02964754</v>
      </c>
      <c r="D789" s="0" t="n">
        <v>1</v>
      </c>
    </row>
    <row r="790" customFormat="false" ht="15" hidden="false" customHeight="false" outlineLevel="0" collapsed="false">
      <c r="A790" s="0" t="n">
        <v>789</v>
      </c>
      <c r="B790" s="18" t="n">
        <v>996779.76813554</v>
      </c>
      <c r="C790" s="18" t="n">
        <v>0</v>
      </c>
      <c r="D790" s="0" t="n">
        <v>0</v>
      </c>
      <c r="E790" s="19" t="n">
        <v>52.25</v>
      </c>
    </row>
    <row r="791" customFormat="false" ht="15" hidden="false" customHeight="false" outlineLevel="0" collapsed="false">
      <c r="A791" s="0" t="n">
        <v>790</v>
      </c>
      <c r="B791" s="18" t="n">
        <v>968072.487692889</v>
      </c>
      <c r="C791" s="18" t="n">
        <v>3736032.1395328</v>
      </c>
      <c r="D791" s="0" t="n">
        <v>1</v>
      </c>
    </row>
    <row r="792" customFormat="false" ht="15" hidden="false" customHeight="false" outlineLevel="0" collapsed="false">
      <c r="A792" s="0" t="n">
        <v>791</v>
      </c>
      <c r="B792" s="18" t="n">
        <v>576657.076908621</v>
      </c>
      <c r="C792" s="18" t="n">
        <v>0</v>
      </c>
      <c r="D792" s="0" t="n">
        <v>0</v>
      </c>
      <c r="E792" s="19" t="n">
        <v>41.3333333333333</v>
      </c>
    </row>
    <row r="793" customFormat="false" ht="15" hidden="false" customHeight="false" outlineLevel="0" collapsed="false">
      <c r="A793" s="0" t="n">
        <v>792</v>
      </c>
      <c r="B793" s="18" t="n">
        <v>929239.02868643</v>
      </c>
      <c r="C793" s="18" t="n">
        <v>0</v>
      </c>
      <c r="D793" s="0" t="n">
        <v>0</v>
      </c>
      <c r="E793" s="19" t="n">
        <v>45.1666666666667</v>
      </c>
    </row>
    <row r="794" customFormat="false" ht="15" hidden="false" customHeight="false" outlineLevel="0" collapsed="false">
      <c r="A794" s="0" t="n">
        <v>793</v>
      </c>
      <c r="B794" s="18" t="n">
        <v>897196.040667226</v>
      </c>
      <c r="C794" s="18" t="n">
        <v>0</v>
      </c>
      <c r="D794" s="0" t="n">
        <v>0</v>
      </c>
      <c r="E794" s="19" t="n">
        <v>50.25</v>
      </c>
    </row>
    <row r="795" customFormat="false" ht="15" hidden="false" customHeight="false" outlineLevel="0" collapsed="false">
      <c r="A795" s="0" t="n">
        <v>794</v>
      </c>
      <c r="B795" s="18" t="n">
        <v>686302.401718653</v>
      </c>
      <c r="C795" s="18" t="n">
        <v>0</v>
      </c>
      <c r="D795" s="0" t="n">
        <v>0</v>
      </c>
      <c r="E795" s="19" t="n">
        <v>37.4166666666667</v>
      </c>
    </row>
    <row r="796" customFormat="false" ht="15" hidden="false" customHeight="false" outlineLevel="0" collapsed="false">
      <c r="A796" s="0" t="n">
        <v>795</v>
      </c>
      <c r="B796" s="18" t="n">
        <v>1129992.54090147</v>
      </c>
      <c r="C796" s="18" t="n">
        <v>0</v>
      </c>
      <c r="D796" s="0" t="n">
        <v>0</v>
      </c>
      <c r="E796" s="19" t="n">
        <v>49.9166666666667</v>
      </c>
    </row>
    <row r="797" customFormat="false" ht="15" hidden="false" customHeight="false" outlineLevel="0" collapsed="false">
      <c r="A797" s="0" t="n">
        <v>796</v>
      </c>
      <c r="B797" s="18" t="n">
        <v>1182947.70673186</v>
      </c>
      <c r="C797" s="18" t="n">
        <v>2254186.77995088</v>
      </c>
      <c r="D797" s="0" t="n">
        <v>1</v>
      </c>
    </row>
    <row r="798" customFormat="false" ht="15" hidden="false" customHeight="false" outlineLevel="0" collapsed="false">
      <c r="A798" s="0" t="n">
        <v>797</v>
      </c>
      <c r="B798" s="18" t="n">
        <v>2497601.47952199</v>
      </c>
      <c r="C798" s="18" t="n">
        <v>0</v>
      </c>
      <c r="D798" s="0" t="n">
        <v>0</v>
      </c>
      <c r="E798" s="19" t="n">
        <v>54.5833333333333</v>
      </c>
    </row>
    <row r="799" customFormat="false" ht="15" hidden="false" customHeight="false" outlineLevel="0" collapsed="false">
      <c r="A799" s="0" t="n">
        <v>798</v>
      </c>
      <c r="B799" s="18" t="n">
        <v>721083.480376513</v>
      </c>
      <c r="C799" s="18" t="n">
        <v>0</v>
      </c>
      <c r="D799" s="0" t="n">
        <v>0</v>
      </c>
      <c r="E799" s="19" t="n">
        <v>35.8333333333333</v>
      </c>
    </row>
    <row r="800" customFormat="false" ht="15" hidden="false" customHeight="false" outlineLevel="0" collapsed="false">
      <c r="A800" s="0" t="n">
        <v>799</v>
      </c>
      <c r="B800" s="18" t="n">
        <v>984261.406220089</v>
      </c>
      <c r="C800" s="18" t="n">
        <v>0</v>
      </c>
      <c r="D800" s="0" t="n">
        <v>0</v>
      </c>
      <c r="E800" s="19" t="n">
        <v>41.75</v>
      </c>
    </row>
    <row r="801" customFormat="false" ht="15" hidden="false" customHeight="false" outlineLevel="0" collapsed="false">
      <c r="A801" s="0" t="n">
        <v>800</v>
      </c>
      <c r="B801" s="18" t="n">
        <v>1489653.90937824</v>
      </c>
      <c r="C801" s="18" t="n">
        <v>0</v>
      </c>
      <c r="D801" s="0" t="n">
        <v>0</v>
      </c>
      <c r="E801" s="19" t="n">
        <v>47</v>
      </c>
    </row>
    <row r="802" customFormat="false" ht="15" hidden="false" customHeight="false" outlineLevel="0" collapsed="false">
      <c r="A802" s="0" t="n">
        <v>801</v>
      </c>
      <c r="B802" s="18" t="n">
        <v>685304.151739365</v>
      </c>
      <c r="C802" s="18" t="n">
        <v>0</v>
      </c>
      <c r="D802" s="0" t="n">
        <v>0</v>
      </c>
      <c r="E802" s="19" t="n">
        <v>46</v>
      </c>
    </row>
    <row r="803" customFormat="false" ht="15" hidden="false" customHeight="false" outlineLevel="0" collapsed="false">
      <c r="A803" s="0" t="n">
        <v>802</v>
      </c>
      <c r="B803" s="18" t="n">
        <v>1923047.51499609</v>
      </c>
      <c r="C803" s="18" t="n">
        <v>5043796.96941249</v>
      </c>
      <c r="D803" s="0" t="n">
        <v>1</v>
      </c>
    </row>
    <row r="804" customFormat="false" ht="15" hidden="false" customHeight="false" outlineLevel="0" collapsed="false">
      <c r="A804" s="0" t="n">
        <v>803</v>
      </c>
      <c r="B804" s="18" t="n">
        <v>714534.649774189</v>
      </c>
      <c r="C804" s="18" t="n">
        <v>0</v>
      </c>
      <c r="D804" s="0" t="n">
        <v>0</v>
      </c>
      <c r="E804" s="19" t="n">
        <v>37.5833333333333</v>
      </c>
    </row>
    <row r="805" customFormat="false" ht="15" hidden="false" customHeight="false" outlineLevel="0" collapsed="false">
      <c r="A805" s="0" t="n">
        <v>804</v>
      </c>
      <c r="B805" s="18" t="n">
        <v>2173997.82591766</v>
      </c>
      <c r="C805" s="18" t="n">
        <v>3913291.9421846</v>
      </c>
      <c r="D805" s="0" t="n">
        <v>1</v>
      </c>
    </row>
    <row r="806" customFormat="false" ht="15" hidden="false" customHeight="false" outlineLevel="0" collapsed="false">
      <c r="A806" s="0" t="n">
        <v>805</v>
      </c>
      <c r="B806" s="18" t="n">
        <v>1635370.24293649</v>
      </c>
      <c r="C806" s="18" t="n">
        <v>0</v>
      </c>
      <c r="D806" s="0" t="n">
        <v>0</v>
      </c>
      <c r="E806" s="19" t="n">
        <v>43.4166666666667</v>
      </c>
    </row>
    <row r="807" customFormat="false" ht="15" hidden="false" customHeight="false" outlineLevel="0" collapsed="false">
      <c r="A807" s="0" t="n">
        <v>806</v>
      </c>
      <c r="B807" s="18" t="n">
        <v>1920934.33300208</v>
      </c>
      <c r="C807" s="18" t="n">
        <v>11772683.0753323</v>
      </c>
      <c r="D807" s="0" t="n">
        <v>1</v>
      </c>
    </row>
    <row r="808" customFormat="false" ht="15" hidden="false" customHeight="false" outlineLevel="0" collapsed="false">
      <c r="A808" s="0" t="n">
        <v>807</v>
      </c>
      <c r="B808" s="18" t="n">
        <v>1313267.30909668</v>
      </c>
      <c r="C808" s="18" t="n">
        <v>120880.423206098</v>
      </c>
      <c r="D808" s="0" t="n">
        <v>1</v>
      </c>
    </row>
    <row r="809" customFormat="false" ht="15" hidden="false" customHeight="false" outlineLevel="0" collapsed="false">
      <c r="A809" s="0" t="n">
        <v>808</v>
      </c>
      <c r="B809" s="18" t="n">
        <v>1324949.2421131</v>
      </c>
      <c r="C809" s="18" t="n">
        <v>5405982.94081607</v>
      </c>
      <c r="D809" s="0" t="n">
        <v>1</v>
      </c>
    </row>
    <row r="810" customFormat="false" ht="15" hidden="false" customHeight="false" outlineLevel="0" collapsed="false">
      <c r="A810" s="0" t="n">
        <v>809</v>
      </c>
      <c r="B810" s="18" t="n">
        <v>1107109.20195234</v>
      </c>
      <c r="C810" s="18" t="n">
        <v>0</v>
      </c>
      <c r="D810" s="0" t="n">
        <v>0</v>
      </c>
      <c r="E810" s="19" t="n">
        <v>36.5</v>
      </c>
    </row>
    <row r="811" customFormat="false" ht="15" hidden="false" customHeight="false" outlineLevel="0" collapsed="false">
      <c r="A811" s="0" t="n">
        <v>810</v>
      </c>
      <c r="B811" s="18" t="n">
        <v>1164811.09538739</v>
      </c>
      <c r="C811" s="18" t="n">
        <v>0</v>
      </c>
      <c r="D811" s="0" t="n">
        <v>0</v>
      </c>
      <c r="E811" s="19" t="n">
        <v>36.3333333333333</v>
      </c>
    </row>
    <row r="812" customFormat="false" ht="15" hidden="false" customHeight="false" outlineLevel="0" collapsed="false">
      <c r="A812" s="0" t="n">
        <v>811</v>
      </c>
      <c r="B812" s="18" t="n">
        <v>717086.155089592</v>
      </c>
      <c r="C812" s="18" t="n">
        <v>0</v>
      </c>
      <c r="D812" s="0" t="n">
        <v>0</v>
      </c>
      <c r="E812" s="19" t="n">
        <v>36.6666666666667</v>
      </c>
    </row>
    <row r="813" customFormat="false" ht="15" hidden="false" customHeight="false" outlineLevel="0" collapsed="false">
      <c r="A813" s="0" t="n">
        <v>812</v>
      </c>
      <c r="B813" s="18" t="n">
        <v>1180292.61546967</v>
      </c>
      <c r="C813" s="18" t="n">
        <v>0</v>
      </c>
      <c r="D813" s="0" t="n">
        <v>0</v>
      </c>
      <c r="E813" s="19" t="n">
        <v>37.25</v>
      </c>
    </row>
    <row r="814" customFormat="false" ht="15" hidden="false" customHeight="false" outlineLevel="0" collapsed="false">
      <c r="A814" s="0" t="n">
        <v>813</v>
      </c>
      <c r="B814" s="18" t="n">
        <v>541623.824045907</v>
      </c>
      <c r="C814" s="18" t="n">
        <v>0</v>
      </c>
      <c r="D814" s="0" t="n">
        <v>0</v>
      </c>
      <c r="E814" s="19" t="n">
        <v>34.3333333333333</v>
      </c>
    </row>
    <row r="815" customFormat="false" ht="15" hidden="false" customHeight="false" outlineLevel="0" collapsed="false">
      <c r="A815" s="0" t="n">
        <v>814</v>
      </c>
      <c r="B815" s="18" t="n">
        <v>459146.831772344</v>
      </c>
      <c r="C815" s="18" t="n">
        <v>0</v>
      </c>
      <c r="D815" s="0" t="n">
        <v>0</v>
      </c>
      <c r="E815" s="19" t="n">
        <v>33.5833333333333</v>
      </c>
    </row>
    <row r="816" customFormat="false" ht="15" hidden="false" customHeight="false" outlineLevel="0" collapsed="false">
      <c r="A816" s="0" t="n">
        <v>815</v>
      </c>
      <c r="B816" s="18" t="n">
        <v>545626.090050401</v>
      </c>
      <c r="C816" s="18" t="n">
        <v>0</v>
      </c>
      <c r="D816" s="0" t="n">
        <v>0</v>
      </c>
      <c r="E816" s="19" t="n">
        <v>35.8333333333333</v>
      </c>
    </row>
    <row r="817" customFormat="false" ht="15" hidden="false" customHeight="false" outlineLevel="0" collapsed="false">
      <c r="A817" s="0" t="n">
        <v>816</v>
      </c>
      <c r="B817" s="18" t="n">
        <v>904262.34122415</v>
      </c>
      <c r="C817" s="18" t="n">
        <v>1360384.53416822</v>
      </c>
      <c r="D817" s="0" t="n">
        <v>1</v>
      </c>
    </row>
    <row r="818" customFormat="false" ht="15" hidden="false" customHeight="false" outlineLevel="0" collapsed="false">
      <c r="A818" s="0" t="n">
        <v>817</v>
      </c>
      <c r="B818" s="18" t="n">
        <v>1323796.61008044</v>
      </c>
      <c r="C818" s="18" t="n">
        <v>8077297.68957461</v>
      </c>
      <c r="D818" s="0" t="n">
        <v>1</v>
      </c>
    </row>
    <row r="819" customFormat="false" ht="15" hidden="false" customHeight="false" outlineLevel="0" collapsed="false">
      <c r="A819" s="0" t="n">
        <v>818</v>
      </c>
      <c r="B819" s="18" t="n">
        <v>2131702.81038638</v>
      </c>
      <c r="C819" s="18" t="n">
        <v>1611222.008495</v>
      </c>
      <c r="D819" s="0" t="n">
        <v>1</v>
      </c>
    </row>
    <row r="820" customFormat="false" ht="15" hidden="false" customHeight="false" outlineLevel="0" collapsed="false">
      <c r="A820" s="0" t="n">
        <v>819</v>
      </c>
      <c r="B820" s="18" t="n">
        <v>1560296.03370254</v>
      </c>
      <c r="C820" s="18" t="n">
        <v>6589460.93571576</v>
      </c>
      <c r="D820" s="0" t="n">
        <v>1</v>
      </c>
    </row>
    <row r="821" customFormat="false" ht="15" hidden="false" customHeight="false" outlineLevel="0" collapsed="false">
      <c r="A821" s="0" t="n">
        <v>820</v>
      </c>
      <c r="B821" s="18" t="n">
        <v>636969.147626189</v>
      </c>
      <c r="C821" s="18" t="n">
        <v>0</v>
      </c>
      <c r="D821" s="0" t="n">
        <v>0</v>
      </c>
      <c r="E821" s="19" t="n">
        <v>34</v>
      </c>
    </row>
    <row r="822" customFormat="false" ht="15" hidden="false" customHeight="false" outlineLevel="0" collapsed="false">
      <c r="A822" s="0" t="n">
        <v>821</v>
      </c>
      <c r="B822" s="18" t="n">
        <v>1773259.16531053</v>
      </c>
      <c r="C822" s="18" t="n">
        <v>7331705.08126118</v>
      </c>
      <c r="D822" s="0" t="n">
        <v>1</v>
      </c>
    </row>
    <row r="823" customFormat="false" ht="15" hidden="false" customHeight="false" outlineLevel="0" collapsed="false">
      <c r="A823" s="0" t="n">
        <v>822</v>
      </c>
      <c r="B823" s="18" t="n">
        <v>654865.373738275</v>
      </c>
      <c r="C823" s="18" t="n">
        <v>0</v>
      </c>
      <c r="D823" s="0" t="n">
        <v>0</v>
      </c>
      <c r="E823" s="19" t="n">
        <v>31.5833333333333</v>
      </c>
    </row>
    <row r="824" customFormat="false" ht="15" hidden="false" customHeight="false" outlineLevel="0" collapsed="false">
      <c r="A824" s="0" t="n">
        <v>823</v>
      </c>
      <c r="B824" s="18" t="n">
        <v>1446754.44626122</v>
      </c>
      <c r="C824" s="18" t="n">
        <v>0</v>
      </c>
      <c r="D824" s="0" t="n">
        <v>0</v>
      </c>
      <c r="E824" s="19" t="n">
        <v>49.5833333333333</v>
      </c>
    </row>
    <row r="825" customFormat="false" ht="15" hidden="false" customHeight="false" outlineLevel="0" collapsed="false">
      <c r="A825" s="0" t="n">
        <v>824</v>
      </c>
      <c r="B825" s="18" t="n">
        <v>1625160.64215022</v>
      </c>
      <c r="C825" s="18" t="n">
        <v>4445382.36273881</v>
      </c>
      <c r="D825" s="0" t="n">
        <v>1</v>
      </c>
    </row>
    <row r="826" customFormat="false" ht="15" hidden="false" customHeight="false" outlineLevel="0" collapsed="false">
      <c r="A826" s="0" t="n">
        <v>825</v>
      </c>
      <c r="B826" s="18" t="n">
        <v>562376.858085355</v>
      </c>
      <c r="C826" s="18" t="n">
        <v>0</v>
      </c>
      <c r="D826" s="0" t="n">
        <v>0</v>
      </c>
      <c r="E826" s="19" t="n">
        <v>37.3333333333333</v>
      </c>
    </row>
    <row r="827" customFormat="false" ht="15" hidden="false" customHeight="false" outlineLevel="0" collapsed="false">
      <c r="A827" s="0" t="n">
        <v>826</v>
      </c>
      <c r="B827" s="18" t="n">
        <v>528065.066982714</v>
      </c>
      <c r="C827" s="18" t="n">
        <v>0</v>
      </c>
      <c r="D827" s="0" t="n">
        <v>0</v>
      </c>
      <c r="E827" s="19" t="n">
        <v>37.5</v>
      </c>
    </row>
    <row r="828" customFormat="false" ht="15" hidden="false" customHeight="false" outlineLevel="0" collapsed="false">
      <c r="A828" s="0" t="n">
        <v>827</v>
      </c>
      <c r="B828" s="18" t="n">
        <v>770389.123313986</v>
      </c>
      <c r="C828" s="18" t="n">
        <v>0</v>
      </c>
      <c r="D828" s="0" t="n">
        <v>0</v>
      </c>
      <c r="E828" s="19" t="n">
        <v>47.8333333333333</v>
      </c>
    </row>
    <row r="829" customFormat="false" ht="15" hidden="false" customHeight="false" outlineLevel="0" collapsed="false">
      <c r="A829" s="0" t="n">
        <v>828</v>
      </c>
      <c r="B829" s="18" t="n">
        <v>873936.149523952</v>
      </c>
      <c r="C829" s="18" t="n">
        <v>0</v>
      </c>
      <c r="D829" s="0" t="n">
        <v>0</v>
      </c>
      <c r="E829" s="19" t="n">
        <v>35.1666666666667</v>
      </c>
    </row>
    <row r="830" customFormat="false" ht="15" hidden="false" customHeight="false" outlineLevel="0" collapsed="false">
      <c r="A830" s="0" t="n">
        <v>829</v>
      </c>
      <c r="B830" s="18" t="n">
        <v>420671.629485122</v>
      </c>
      <c r="C830" s="18" t="n">
        <v>0</v>
      </c>
      <c r="D830" s="0" t="n">
        <v>0</v>
      </c>
      <c r="E830" s="19" t="n">
        <v>30.8333333333333</v>
      </c>
    </row>
    <row r="831" customFormat="false" ht="15" hidden="false" customHeight="false" outlineLevel="0" collapsed="false">
      <c r="A831" s="0" t="n">
        <v>830</v>
      </c>
      <c r="B831" s="18" t="n">
        <v>645321.319098511</v>
      </c>
      <c r="C831" s="18" t="n">
        <v>0</v>
      </c>
      <c r="D831" s="0" t="n">
        <v>0</v>
      </c>
      <c r="E831" s="19" t="n">
        <v>35</v>
      </c>
    </row>
    <row r="832" customFormat="false" ht="15" hidden="false" customHeight="false" outlineLevel="0" collapsed="false">
      <c r="A832" s="0" t="n">
        <v>831</v>
      </c>
      <c r="B832" s="18" t="n">
        <v>1054046.47975761</v>
      </c>
      <c r="C832" s="18" t="n">
        <v>0</v>
      </c>
      <c r="D832" s="0" t="n">
        <v>0</v>
      </c>
      <c r="E832" s="19" t="n">
        <v>42.9166666666667</v>
      </c>
    </row>
    <row r="833" customFormat="false" ht="15" hidden="false" customHeight="false" outlineLevel="0" collapsed="false">
      <c r="A833" s="0" t="n">
        <v>832</v>
      </c>
      <c r="B833" s="18" t="n">
        <v>449606.196364885</v>
      </c>
      <c r="C833" s="18" t="n">
        <v>0</v>
      </c>
      <c r="D833" s="0" t="n">
        <v>0</v>
      </c>
      <c r="E833" s="19" t="n">
        <v>32.75</v>
      </c>
    </row>
    <row r="834" customFormat="false" ht="15" hidden="false" customHeight="false" outlineLevel="0" collapsed="false">
      <c r="A834" s="0" t="n">
        <v>833</v>
      </c>
      <c r="B834" s="18" t="n">
        <v>461748.074474974</v>
      </c>
      <c r="C834" s="18" t="n">
        <v>0</v>
      </c>
      <c r="D834" s="0" t="n">
        <v>0</v>
      </c>
      <c r="E834" s="19" t="n">
        <v>33.5</v>
      </c>
    </row>
    <row r="835" customFormat="false" ht="15" hidden="false" customHeight="false" outlineLevel="0" collapsed="false">
      <c r="A835" s="0" t="n">
        <v>834</v>
      </c>
      <c r="B835" s="18" t="n">
        <v>752859.068502159</v>
      </c>
      <c r="C835" s="18" t="n">
        <v>2646106.89679205</v>
      </c>
      <c r="D835" s="0" t="n">
        <v>1</v>
      </c>
    </row>
    <row r="836" customFormat="false" ht="15" hidden="false" customHeight="false" outlineLevel="0" collapsed="false">
      <c r="A836" s="0" t="n">
        <v>835</v>
      </c>
      <c r="B836" s="18" t="n">
        <v>518330.297672816</v>
      </c>
      <c r="C836" s="18" t="n">
        <v>0</v>
      </c>
      <c r="D836" s="0" t="n">
        <v>0</v>
      </c>
      <c r="E836" s="19" t="n">
        <v>42.1666666666667</v>
      </c>
    </row>
    <row r="837" customFormat="false" ht="15" hidden="false" customHeight="false" outlineLevel="0" collapsed="false">
      <c r="A837" s="0" t="n">
        <v>836</v>
      </c>
      <c r="B837" s="18" t="n">
        <v>412327.126650944</v>
      </c>
      <c r="C837" s="18" t="n">
        <v>0</v>
      </c>
      <c r="D837" s="0" t="n">
        <v>0</v>
      </c>
      <c r="E837" s="19" t="n">
        <v>30.1666666666667</v>
      </c>
    </row>
    <row r="838" customFormat="false" ht="15" hidden="false" customHeight="false" outlineLevel="0" collapsed="false">
      <c r="A838" s="0" t="n">
        <v>837</v>
      </c>
      <c r="B838" s="18" t="n">
        <v>788146.063298764</v>
      </c>
      <c r="C838" s="18" t="n">
        <v>1373181.94551171</v>
      </c>
      <c r="D838" s="0" t="n">
        <v>1</v>
      </c>
    </row>
    <row r="839" customFormat="false" ht="15" hidden="false" customHeight="false" outlineLevel="0" collapsed="false">
      <c r="A839" s="0" t="n">
        <v>838</v>
      </c>
      <c r="B839" s="18" t="n">
        <v>1510605.11042927</v>
      </c>
      <c r="C839" s="18" t="n">
        <v>48592353.1973655</v>
      </c>
      <c r="D839" s="0" t="n">
        <v>1</v>
      </c>
    </row>
    <row r="840" customFormat="false" ht="15" hidden="false" customHeight="false" outlineLevel="0" collapsed="false">
      <c r="A840" s="0" t="n">
        <v>839</v>
      </c>
      <c r="B840" s="18" t="n">
        <v>816244.885216597</v>
      </c>
      <c r="C840" s="18" t="n">
        <v>933984.988199662</v>
      </c>
      <c r="D840" s="0" t="n">
        <v>1</v>
      </c>
    </row>
    <row r="841" customFormat="false" ht="15" hidden="false" customHeight="false" outlineLevel="0" collapsed="false">
      <c r="A841" s="0" t="n">
        <v>840</v>
      </c>
      <c r="B841" s="18" t="n">
        <v>791273.880707638</v>
      </c>
      <c r="C841" s="18" t="n">
        <v>0</v>
      </c>
      <c r="D841" s="0" t="n">
        <v>0</v>
      </c>
      <c r="E841" s="19" t="n">
        <v>44.5</v>
      </c>
    </row>
    <row r="842" customFormat="false" ht="15" hidden="false" customHeight="false" outlineLevel="0" collapsed="false">
      <c r="A842" s="0" t="n">
        <v>841</v>
      </c>
      <c r="B842" s="18" t="n">
        <v>1600033.93874831</v>
      </c>
      <c r="C842" s="18" t="n">
        <v>4764461.24409092</v>
      </c>
      <c r="D842" s="0" t="n">
        <v>1</v>
      </c>
    </row>
    <row r="843" customFormat="false" ht="15" hidden="false" customHeight="false" outlineLevel="0" collapsed="false">
      <c r="A843" s="0" t="n">
        <v>842</v>
      </c>
      <c r="B843" s="18" t="n">
        <v>737659.110953932</v>
      </c>
      <c r="C843" s="18" t="n">
        <v>0</v>
      </c>
      <c r="D843" s="0" t="n">
        <v>0</v>
      </c>
      <c r="E843" s="19" t="n">
        <v>37.1666666666667</v>
      </c>
    </row>
    <row r="844" customFormat="false" ht="15" hidden="false" customHeight="false" outlineLevel="0" collapsed="false">
      <c r="A844" s="0" t="n">
        <v>843</v>
      </c>
      <c r="B844" s="18" t="n">
        <v>443968.494117975</v>
      </c>
      <c r="C844" s="18" t="n">
        <v>0</v>
      </c>
      <c r="D844" s="0" t="n">
        <v>0</v>
      </c>
      <c r="E844" s="19" t="n">
        <v>38.5</v>
      </c>
    </row>
    <row r="845" customFormat="false" ht="15" hidden="false" customHeight="false" outlineLevel="0" collapsed="false">
      <c r="A845" s="0" t="n">
        <v>844</v>
      </c>
      <c r="B845" s="18" t="n">
        <v>1209137.10376981</v>
      </c>
      <c r="C845" s="18" t="n">
        <v>0</v>
      </c>
      <c r="D845" s="0" t="n">
        <v>0</v>
      </c>
      <c r="E845" s="19" t="n">
        <v>52.8333333333333</v>
      </c>
    </row>
    <row r="846" customFormat="false" ht="15" hidden="false" customHeight="false" outlineLevel="0" collapsed="false">
      <c r="A846" s="0" t="n">
        <v>845</v>
      </c>
      <c r="B846" s="18" t="n">
        <v>1158472.15406091</v>
      </c>
      <c r="C846" s="18" t="n">
        <v>7537169.94269751</v>
      </c>
      <c r="D846" s="0" t="n">
        <v>1</v>
      </c>
    </row>
    <row r="847" customFormat="false" ht="15" hidden="false" customHeight="false" outlineLevel="0" collapsed="false">
      <c r="A847" s="0" t="n">
        <v>846</v>
      </c>
      <c r="B847" s="18" t="n">
        <v>614334.667920371</v>
      </c>
      <c r="C847" s="18" t="n">
        <v>0</v>
      </c>
      <c r="D847" s="0" t="n">
        <v>0</v>
      </c>
      <c r="E847" s="19" t="n">
        <v>39</v>
      </c>
    </row>
    <row r="848" customFormat="false" ht="15" hidden="false" customHeight="false" outlineLevel="0" collapsed="false">
      <c r="A848" s="0" t="n">
        <v>847</v>
      </c>
      <c r="B848" s="18" t="n">
        <v>1424682.43833416</v>
      </c>
      <c r="C848" s="18" t="n">
        <v>0</v>
      </c>
      <c r="D848" s="0" t="n">
        <v>0</v>
      </c>
      <c r="E848" s="19" t="n">
        <v>49.3333333333333</v>
      </c>
    </row>
    <row r="849" customFormat="false" ht="15" hidden="false" customHeight="false" outlineLevel="0" collapsed="false">
      <c r="A849" s="0" t="n">
        <v>848</v>
      </c>
      <c r="B849" s="18" t="n">
        <v>1505641.04718232</v>
      </c>
      <c r="C849" s="18" t="n">
        <v>0</v>
      </c>
      <c r="D849" s="0" t="n">
        <v>0</v>
      </c>
      <c r="E849" s="19" t="n">
        <v>49</v>
      </c>
    </row>
    <row r="850" customFormat="false" ht="15" hidden="false" customHeight="false" outlineLevel="0" collapsed="false">
      <c r="A850" s="0" t="n">
        <v>849</v>
      </c>
      <c r="B850" s="18" t="n">
        <v>1701047.49897948</v>
      </c>
      <c r="C850" s="18" t="n">
        <v>13242958.5735262</v>
      </c>
      <c r="D850" s="0" t="n">
        <v>1</v>
      </c>
    </row>
    <row r="851" customFormat="false" ht="15" hidden="false" customHeight="false" outlineLevel="0" collapsed="false">
      <c r="A851" s="0" t="n">
        <v>850</v>
      </c>
      <c r="B851" s="18" t="n">
        <v>3206470.93074692</v>
      </c>
      <c r="C851" s="18" t="n">
        <v>3286262.67036651</v>
      </c>
      <c r="D851" s="0" t="n">
        <v>1</v>
      </c>
    </row>
    <row r="852" customFormat="false" ht="15" hidden="false" customHeight="false" outlineLevel="0" collapsed="false">
      <c r="A852" s="0" t="n">
        <v>851</v>
      </c>
      <c r="B852" s="18" t="n">
        <v>812371.570862873</v>
      </c>
      <c r="C852" s="18" t="n">
        <v>15874294.8841219</v>
      </c>
      <c r="D852" s="0" t="n">
        <v>1</v>
      </c>
    </row>
    <row r="853" customFormat="false" ht="15" hidden="false" customHeight="false" outlineLevel="0" collapsed="false">
      <c r="A853" s="0" t="n">
        <v>852</v>
      </c>
      <c r="B853" s="18" t="n">
        <v>2255221.14291553</v>
      </c>
      <c r="C853" s="18" t="n">
        <v>6026250.05363241</v>
      </c>
      <c r="D853" s="0" t="n">
        <v>1</v>
      </c>
    </row>
    <row r="854" customFormat="false" ht="15" hidden="false" customHeight="false" outlineLevel="0" collapsed="false">
      <c r="A854" s="0" t="n">
        <v>853</v>
      </c>
      <c r="B854" s="18" t="n">
        <v>847163.917893481</v>
      </c>
      <c r="C854" s="18" t="n">
        <v>6058606.07030514</v>
      </c>
      <c r="D854" s="0" t="n">
        <v>1</v>
      </c>
    </row>
    <row r="855" customFormat="false" ht="15" hidden="false" customHeight="false" outlineLevel="0" collapsed="false">
      <c r="A855" s="0" t="n">
        <v>854</v>
      </c>
      <c r="B855" s="18" t="n">
        <v>642093.76929837</v>
      </c>
      <c r="C855" s="18" t="n">
        <v>0</v>
      </c>
      <c r="D855" s="0" t="n">
        <v>0</v>
      </c>
      <c r="E855" s="19" t="n">
        <v>33.5833333333333</v>
      </c>
    </row>
    <row r="856" customFormat="false" ht="15" hidden="false" customHeight="false" outlineLevel="0" collapsed="false">
      <c r="A856" s="0" t="n">
        <v>855</v>
      </c>
      <c r="B856" s="18" t="n">
        <v>672829.403563772</v>
      </c>
      <c r="C856" s="18" t="n">
        <v>0</v>
      </c>
      <c r="D856" s="0" t="n">
        <v>0</v>
      </c>
      <c r="E856" s="19" t="n">
        <v>38.9166666666667</v>
      </c>
    </row>
    <row r="857" customFormat="false" ht="15" hidden="false" customHeight="false" outlineLevel="0" collapsed="false">
      <c r="A857" s="0" t="n">
        <v>856</v>
      </c>
      <c r="B857" s="18" t="n">
        <v>520085.220499318</v>
      </c>
      <c r="C857" s="18" t="n">
        <v>0</v>
      </c>
      <c r="D857" s="0" t="n">
        <v>0</v>
      </c>
      <c r="E857" s="19" t="n">
        <v>32.8333333333333</v>
      </c>
    </row>
    <row r="858" customFormat="false" ht="15" hidden="false" customHeight="false" outlineLevel="0" collapsed="false">
      <c r="A858" s="0" t="n">
        <v>857</v>
      </c>
      <c r="B858" s="18" t="n">
        <v>2657981.62480009</v>
      </c>
      <c r="C858" s="18" t="n">
        <v>13135862.3333994</v>
      </c>
      <c r="D858" s="0" t="n">
        <v>1</v>
      </c>
    </row>
    <row r="859" customFormat="false" ht="15" hidden="false" customHeight="false" outlineLevel="0" collapsed="false">
      <c r="A859" s="0" t="n">
        <v>858</v>
      </c>
      <c r="B859" s="18" t="n">
        <v>439024.731426257</v>
      </c>
      <c r="C859" s="18" t="n">
        <v>0</v>
      </c>
      <c r="D859" s="0" t="n">
        <v>0</v>
      </c>
      <c r="E859" s="19" t="n">
        <v>33.6666666666667</v>
      </c>
    </row>
    <row r="860" customFormat="false" ht="15" hidden="false" customHeight="false" outlineLevel="0" collapsed="false">
      <c r="A860" s="0" t="n">
        <v>859</v>
      </c>
      <c r="B860" s="18" t="n">
        <v>958026.504319785</v>
      </c>
      <c r="C860" s="18" t="n">
        <v>6124403.24508828</v>
      </c>
      <c r="D860" s="0" t="n">
        <v>1</v>
      </c>
    </row>
    <row r="861" customFormat="false" ht="15" hidden="false" customHeight="false" outlineLevel="0" collapsed="false">
      <c r="A861" s="0" t="n">
        <v>860</v>
      </c>
      <c r="B861" s="18" t="n">
        <v>940050.565183383</v>
      </c>
      <c r="C861" s="18" t="n">
        <v>0</v>
      </c>
      <c r="D861" s="0" t="n">
        <v>0</v>
      </c>
      <c r="E861" s="19" t="n">
        <v>39.75</v>
      </c>
    </row>
    <row r="862" customFormat="false" ht="15" hidden="false" customHeight="false" outlineLevel="0" collapsed="false">
      <c r="A862" s="0" t="n">
        <v>861</v>
      </c>
      <c r="B862" s="18" t="n">
        <v>790411.575019567</v>
      </c>
      <c r="C862" s="18" t="n">
        <v>0</v>
      </c>
      <c r="D862" s="0" t="n">
        <v>0</v>
      </c>
      <c r="E862" s="19" t="n">
        <v>43.9166666666667</v>
      </c>
    </row>
    <row r="863" customFormat="false" ht="15" hidden="false" customHeight="false" outlineLevel="0" collapsed="false">
      <c r="A863" s="0" t="n">
        <v>862</v>
      </c>
      <c r="B863" s="18" t="n">
        <v>554987.361211879</v>
      </c>
      <c r="C863" s="18" t="n">
        <v>0</v>
      </c>
      <c r="D863" s="0" t="n">
        <v>0</v>
      </c>
      <c r="E863" s="19" t="n">
        <v>37.3333333333333</v>
      </c>
    </row>
    <row r="864" customFormat="false" ht="15" hidden="false" customHeight="false" outlineLevel="0" collapsed="false">
      <c r="A864" s="0" t="n">
        <v>863</v>
      </c>
      <c r="B864" s="18" t="n">
        <v>445742.270457489</v>
      </c>
      <c r="C864" s="18" t="n">
        <v>0</v>
      </c>
      <c r="D864" s="0" t="n">
        <v>0</v>
      </c>
      <c r="E864" s="19" t="n">
        <v>33.25</v>
      </c>
    </row>
    <row r="865" customFormat="false" ht="15" hidden="false" customHeight="false" outlineLevel="0" collapsed="false">
      <c r="A865" s="0" t="n">
        <v>864</v>
      </c>
      <c r="B865" s="18" t="n">
        <v>840337.575966438</v>
      </c>
      <c r="C865" s="18" t="n">
        <v>665478.2041633</v>
      </c>
      <c r="D865" s="0" t="n">
        <v>1</v>
      </c>
    </row>
    <row r="866" customFormat="false" ht="15" hidden="false" customHeight="false" outlineLevel="0" collapsed="false">
      <c r="A866" s="0" t="n">
        <v>865</v>
      </c>
      <c r="B866" s="18" t="n">
        <v>560869.878180581</v>
      </c>
      <c r="C866" s="18" t="n">
        <v>0</v>
      </c>
      <c r="D866" s="0" t="n">
        <v>0</v>
      </c>
      <c r="E866" s="19" t="n">
        <v>41.1666666666667</v>
      </c>
    </row>
    <row r="867" customFormat="false" ht="15" hidden="false" customHeight="false" outlineLevel="0" collapsed="false">
      <c r="A867" s="0" t="n">
        <v>866</v>
      </c>
      <c r="B867" s="18" t="n">
        <v>1921876.5455702</v>
      </c>
      <c r="C867" s="18" t="n">
        <v>3361654.42943498</v>
      </c>
      <c r="D867" s="0" t="n">
        <v>1</v>
      </c>
    </row>
    <row r="868" customFormat="false" ht="15" hidden="false" customHeight="false" outlineLevel="0" collapsed="false">
      <c r="A868" s="0" t="n">
        <v>867</v>
      </c>
      <c r="B868" s="18" t="n">
        <v>2815276.63658777</v>
      </c>
      <c r="C868" s="18" t="n">
        <v>61391538.172926</v>
      </c>
      <c r="D868" s="0" t="n">
        <v>1</v>
      </c>
    </row>
    <row r="869" customFormat="false" ht="15" hidden="false" customHeight="false" outlineLevel="0" collapsed="false">
      <c r="A869" s="0" t="n">
        <v>868</v>
      </c>
      <c r="B869" s="18" t="n">
        <v>1350658.15007899</v>
      </c>
      <c r="C869" s="18" t="n">
        <v>1270723.40008631</v>
      </c>
      <c r="D869" s="0" t="n">
        <v>1</v>
      </c>
    </row>
    <row r="870" customFormat="false" ht="15" hidden="false" customHeight="false" outlineLevel="0" collapsed="false">
      <c r="A870" s="0" t="n">
        <v>869</v>
      </c>
      <c r="B870" s="18" t="n">
        <v>1233093.72528277</v>
      </c>
      <c r="C870" s="18" t="n">
        <v>0</v>
      </c>
      <c r="D870" s="0" t="n">
        <v>0</v>
      </c>
      <c r="E870" s="19" t="n">
        <v>44.4166666666667</v>
      </c>
    </row>
    <row r="871" customFormat="false" ht="15" hidden="false" customHeight="false" outlineLevel="0" collapsed="false">
      <c r="A871" s="0" t="n">
        <v>870</v>
      </c>
      <c r="B871" s="18" t="n">
        <v>323123.783302956</v>
      </c>
      <c r="C871" s="18" t="n">
        <v>0</v>
      </c>
      <c r="D871" s="0" t="n">
        <v>0</v>
      </c>
      <c r="E871" s="19" t="n">
        <v>33.8333333333333</v>
      </c>
    </row>
    <row r="872" customFormat="false" ht="15" hidden="false" customHeight="false" outlineLevel="0" collapsed="false">
      <c r="A872" s="0" t="n">
        <v>871</v>
      </c>
      <c r="B872" s="18" t="n">
        <v>1506937.4571678</v>
      </c>
      <c r="C872" s="18" t="n">
        <v>3914829.83007991</v>
      </c>
      <c r="D872" s="0" t="n">
        <v>1</v>
      </c>
    </row>
    <row r="873" customFormat="false" ht="15" hidden="false" customHeight="false" outlineLevel="0" collapsed="false">
      <c r="A873" s="0" t="n">
        <v>872</v>
      </c>
      <c r="B873" s="18" t="n">
        <v>2522722.18942076</v>
      </c>
      <c r="C873" s="18" t="n">
        <v>2803284.8214412</v>
      </c>
      <c r="D873" s="0" t="n">
        <v>1</v>
      </c>
    </row>
    <row r="874" customFormat="false" ht="15" hidden="false" customHeight="false" outlineLevel="0" collapsed="false">
      <c r="A874" s="0" t="n">
        <v>873</v>
      </c>
      <c r="B874" s="18" t="n">
        <v>1347236.28040093</v>
      </c>
      <c r="C874" s="18" t="n">
        <v>0</v>
      </c>
      <c r="D874" s="0" t="n">
        <v>0</v>
      </c>
      <c r="E874" s="19" t="n">
        <v>43</v>
      </c>
    </row>
    <row r="875" customFormat="false" ht="15" hidden="false" customHeight="false" outlineLevel="0" collapsed="false">
      <c r="A875" s="0" t="n">
        <v>874</v>
      </c>
      <c r="B875" s="18" t="n">
        <v>1508070.05711992</v>
      </c>
      <c r="C875" s="18" t="n">
        <v>1139584.50222463</v>
      </c>
      <c r="D875" s="0" t="n">
        <v>1</v>
      </c>
    </row>
    <row r="876" customFormat="false" ht="15" hidden="false" customHeight="false" outlineLevel="0" collapsed="false">
      <c r="A876" s="0" t="n">
        <v>875</v>
      </c>
      <c r="B876" s="18" t="n">
        <v>888961.640550117</v>
      </c>
      <c r="C876" s="18" t="n">
        <v>0</v>
      </c>
      <c r="D876" s="0" t="n">
        <v>0</v>
      </c>
      <c r="E876" s="19" t="n">
        <v>45.6666666666667</v>
      </c>
    </row>
    <row r="877" customFormat="false" ht="15" hidden="false" customHeight="false" outlineLevel="0" collapsed="false">
      <c r="A877" s="0" t="n">
        <v>876</v>
      </c>
      <c r="B877" s="18" t="n">
        <v>870579.372422677</v>
      </c>
      <c r="C877" s="18" t="n">
        <v>0</v>
      </c>
      <c r="D877" s="0" t="n">
        <v>0</v>
      </c>
      <c r="E877" s="19" t="n">
        <v>48.8333333333333</v>
      </c>
    </row>
    <row r="878" customFormat="false" ht="15" hidden="false" customHeight="false" outlineLevel="0" collapsed="false">
      <c r="A878" s="0" t="n">
        <v>877</v>
      </c>
      <c r="B878" s="18" t="n">
        <v>256640.944092994</v>
      </c>
      <c r="C878" s="18" t="n">
        <v>0</v>
      </c>
      <c r="D878" s="0" t="n">
        <v>0</v>
      </c>
      <c r="E878" s="19" t="n">
        <v>29.5833333333333</v>
      </c>
    </row>
    <row r="879" customFormat="false" ht="15" hidden="false" customHeight="false" outlineLevel="0" collapsed="false">
      <c r="A879" s="0" t="n">
        <v>878</v>
      </c>
      <c r="B879" s="18" t="n">
        <v>1260058.2305531</v>
      </c>
      <c r="C879" s="18" t="n">
        <v>2545588.29482914</v>
      </c>
      <c r="D879" s="0" t="n">
        <v>1</v>
      </c>
    </row>
    <row r="880" customFormat="false" ht="15" hidden="false" customHeight="false" outlineLevel="0" collapsed="false">
      <c r="A880" s="0" t="n">
        <v>879</v>
      </c>
      <c r="B880" s="18" t="n">
        <v>1196643.50899302</v>
      </c>
      <c r="C880" s="18" t="n">
        <v>2967047.1643907</v>
      </c>
      <c r="D880" s="0" t="n">
        <v>1</v>
      </c>
    </row>
    <row r="881" customFormat="false" ht="15" hidden="false" customHeight="false" outlineLevel="0" collapsed="false">
      <c r="A881" s="0" t="n">
        <v>880</v>
      </c>
      <c r="B881" s="18" t="n">
        <v>697613.330645282</v>
      </c>
      <c r="C881" s="18" t="n">
        <v>0</v>
      </c>
      <c r="D881" s="0" t="n">
        <v>0</v>
      </c>
      <c r="E881" s="19" t="n">
        <v>40.25</v>
      </c>
    </row>
    <row r="882" customFormat="false" ht="15" hidden="false" customHeight="false" outlineLevel="0" collapsed="false">
      <c r="A882" s="0" t="n">
        <v>881</v>
      </c>
      <c r="B882" s="18" t="n">
        <v>3402138.23601631</v>
      </c>
      <c r="C882" s="18" t="n">
        <v>5008833.48061322</v>
      </c>
      <c r="D882" s="0" t="n">
        <v>1</v>
      </c>
    </row>
    <row r="883" customFormat="false" ht="15" hidden="false" customHeight="false" outlineLevel="0" collapsed="false">
      <c r="A883" s="0" t="n">
        <v>882</v>
      </c>
      <c r="B883" s="18" t="n">
        <v>518143.749931506</v>
      </c>
      <c r="C883" s="18" t="n">
        <v>0</v>
      </c>
      <c r="D883" s="0" t="n">
        <v>0</v>
      </c>
      <c r="E883" s="19" t="n">
        <v>40.1666666666667</v>
      </c>
    </row>
    <row r="884" customFormat="false" ht="15" hidden="false" customHeight="false" outlineLevel="0" collapsed="false">
      <c r="A884" s="0" t="n">
        <v>883</v>
      </c>
      <c r="B884" s="18" t="n">
        <v>1036154.51034394</v>
      </c>
      <c r="C884" s="18" t="n">
        <v>0</v>
      </c>
      <c r="D884" s="0" t="n">
        <v>0</v>
      </c>
      <c r="E884" s="19" t="n">
        <v>42.1666666666667</v>
      </c>
    </row>
    <row r="885" customFormat="false" ht="15" hidden="false" customHeight="false" outlineLevel="0" collapsed="false">
      <c r="A885" s="0" t="n">
        <v>884</v>
      </c>
      <c r="B885" s="18" t="n">
        <v>476544.784363109</v>
      </c>
      <c r="C885" s="18" t="n">
        <v>0</v>
      </c>
      <c r="D885" s="0" t="n">
        <v>0</v>
      </c>
      <c r="E885" s="19" t="n">
        <v>32.1666666666667</v>
      </c>
    </row>
    <row r="886" customFormat="false" ht="15" hidden="false" customHeight="false" outlineLevel="0" collapsed="false">
      <c r="A886" s="0" t="n">
        <v>885</v>
      </c>
      <c r="B886" s="18" t="n">
        <v>2956012.86097988</v>
      </c>
      <c r="C886" s="18" t="n">
        <v>9834029.66471181</v>
      </c>
      <c r="D886" s="0" t="n">
        <v>1</v>
      </c>
    </row>
    <row r="887" customFormat="false" ht="15" hidden="false" customHeight="false" outlineLevel="0" collapsed="false">
      <c r="A887" s="0" t="n">
        <v>886</v>
      </c>
      <c r="B887" s="18" t="n">
        <v>935503.34128016</v>
      </c>
      <c r="C887" s="18" t="n">
        <v>0</v>
      </c>
      <c r="D887" s="0" t="n">
        <v>0</v>
      </c>
      <c r="E887" s="19" t="n">
        <v>36.75</v>
      </c>
    </row>
    <row r="888" customFormat="false" ht="15" hidden="false" customHeight="false" outlineLevel="0" collapsed="false">
      <c r="A888" s="0" t="n">
        <v>887</v>
      </c>
      <c r="B888" s="18" t="n">
        <v>1530163.45993985</v>
      </c>
      <c r="C888" s="18" t="n">
        <v>0</v>
      </c>
      <c r="D888" s="0" t="n">
        <v>0</v>
      </c>
      <c r="E888" s="19" t="n">
        <v>54.4166666666667</v>
      </c>
    </row>
    <row r="889" customFormat="false" ht="15" hidden="false" customHeight="false" outlineLevel="0" collapsed="false">
      <c r="A889" s="0" t="n">
        <v>888</v>
      </c>
      <c r="B889" s="18" t="n">
        <v>738609.132597992</v>
      </c>
      <c r="C889" s="18" t="n">
        <v>0</v>
      </c>
      <c r="D889" s="0" t="n">
        <v>0</v>
      </c>
      <c r="E889" s="19" t="n">
        <v>42.4166666666667</v>
      </c>
    </row>
    <row r="890" customFormat="false" ht="15" hidden="false" customHeight="false" outlineLevel="0" collapsed="false">
      <c r="A890" s="0" t="n">
        <v>889</v>
      </c>
      <c r="B890" s="18" t="n">
        <v>439327.074723726</v>
      </c>
      <c r="C890" s="18" t="n">
        <v>0</v>
      </c>
      <c r="D890" s="0" t="n">
        <v>0</v>
      </c>
      <c r="E890" s="19" t="n">
        <v>32.5</v>
      </c>
    </row>
    <row r="891" customFormat="false" ht="15" hidden="false" customHeight="false" outlineLevel="0" collapsed="false">
      <c r="A891" s="0" t="n">
        <v>890</v>
      </c>
      <c r="B891" s="18" t="n">
        <v>628417.767651288</v>
      </c>
      <c r="C891" s="18" t="n">
        <v>0</v>
      </c>
      <c r="D891" s="0" t="n">
        <v>0</v>
      </c>
      <c r="E891" s="19" t="n">
        <v>33.0833333333333</v>
      </c>
    </row>
    <row r="892" customFormat="false" ht="15" hidden="false" customHeight="false" outlineLevel="0" collapsed="false">
      <c r="A892" s="0" t="n">
        <v>891</v>
      </c>
      <c r="B892" s="18" t="n">
        <v>1258005.81810683</v>
      </c>
      <c r="C892" s="18" t="n">
        <v>268590.086364394</v>
      </c>
      <c r="D892" s="0" t="n">
        <v>1</v>
      </c>
    </row>
    <row r="893" customFormat="false" ht="15" hidden="false" customHeight="false" outlineLevel="0" collapsed="false">
      <c r="A893" s="0" t="n">
        <v>892</v>
      </c>
      <c r="B893" s="18" t="n">
        <v>695629.447912968</v>
      </c>
      <c r="C893" s="18" t="n">
        <v>0</v>
      </c>
      <c r="D893" s="0" t="n">
        <v>0</v>
      </c>
      <c r="E893" s="19" t="n">
        <v>47.8333333333333</v>
      </c>
    </row>
    <row r="894" customFormat="false" ht="15" hidden="false" customHeight="false" outlineLevel="0" collapsed="false">
      <c r="A894" s="0" t="n">
        <v>893</v>
      </c>
      <c r="B894" s="18" t="n">
        <v>545687.935966329</v>
      </c>
      <c r="C894" s="18" t="n">
        <v>0</v>
      </c>
      <c r="D894" s="0" t="n">
        <v>0</v>
      </c>
      <c r="E894" s="19" t="n">
        <v>36.25</v>
      </c>
    </row>
    <row r="895" customFormat="false" ht="15" hidden="false" customHeight="false" outlineLevel="0" collapsed="false">
      <c r="A895" s="0" t="n">
        <v>894</v>
      </c>
      <c r="B895" s="18" t="n">
        <v>1351190.84338894</v>
      </c>
      <c r="C895" s="18" t="n">
        <v>3297190.60709332</v>
      </c>
      <c r="D895" s="0" t="n">
        <v>1</v>
      </c>
    </row>
    <row r="896" customFormat="false" ht="15" hidden="false" customHeight="false" outlineLevel="0" collapsed="false">
      <c r="A896" s="0" t="n">
        <v>895</v>
      </c>
      <c r="B896" s="18" t="n">
        <v>722079.297746559</v>
      </c>
      <c r="C896" s="18" t="n">
        <v>0</v>
      </c>
      <c r="D896" s="0" t="n">
        <v>0</v>
      </c>
      <c r="E896" s="19" t="n">
        <v>41.0833333333333</v>
      </c>
    </row>
    <row r="897" customFormat="false" ht="15" hidden="false" customHeight="false" outlineLevel="0" collapsed="false">
      <c r="A897" s="0" t="n">
        <v>896</v>
      </c>
      <c r="B897" s="18" t="n">
        <v>1777993.03519147</v>
      </c>
      <c r="C897" s="18" t="n">
        <v>1623315.85942285</v>
      </c>
      <c r="D897" s="0" t="n">
        <v>1</v>
      </c>
    </row>
    <row r="898" customFormat="false" ht="15" hidden="false" customHeight="false" outlineLevel="0" collapsed="false">
      <c r="A898" s="0" t="n">
        <v>897</v>
      </c>
      <c r="B898" s="18" t="n">
        <v>999332.6209469</v>
      </c>
      <c r="C898" s="18" t="n">
        <v>0</v>
      </c>
      <c r="D898" s="0" t="n">
        <v>0</v>
      </c>
      <c r="E898" s="19" t="n">
        <v>39.1666666666667</v>
      </c>
    </row>
    <row r="899" customFormat="false" ht="15" hidden="false" customHeight="false" outlineLevel="0" collapsed="false">
      <c r="A899" s="0" t="n">
        <v>898</v>
      </c>
      <c r="B899" s="18" t="n">
        <v>764037.629319062</v>
      </c>
      <c r="C899" s="18" t="n">
        <v>0</v>
      </c>
      <c r="D899" s="0" t="n">
        <v>0</v>
      </c>
      <c r="E899" s="19" t="n">
        <v>47.5</v>
      </c>
    </row>
    <row r="900" customFormat="false" ht="15" hidden="false" customHeight="false" outlineLevel="0" collapsed="false">
      <c r="A900" s="0" t="n">
        <v>899</v>
      </c>
      <c r="B900" s="18" t="n">
        <v>1144429.02111641</v>
      </c>
      <c r="C900" s="18" t="n">
        <v>9352129.96727745</v>
      </c>
      <c r="D900" s="0" t="n">
        <v>1</v>
      </c>
    </row>
    <row r="901" customFormat="false" ht="15" hidden="false" customHeight="false" outlineLevel="0" collapsed="false">
      <c r="A901" s="0" t="n">
        <v>900</v>
      </c>
      <c r="B901" s="18" t="n">
        <v>1506178.55856446</v>
      </c>
      <c r="C901" s="18" t="n">
        <v>3119126.25691509</v>
      </c>
      <c r="D901" s="0" t="n">
        <v>1</v>
      </c>
    </row>
    <row r="902" customFormat="false" ht="15" hidden="false" customHeight="false" outlineLevel="0" collapsed="false">
      <c r="A902" s="0" t="n">
        <v>901</v>
      </c>
      <c r="B902" s="18" t="n">
        <v>2117329.61957674</v>
      </c>
      <c r="C902" s="18" t="n">
        <v>4110078.49113992</v>
      </c>
      <c r="D902" s="0" t="n">
        <v>1</v>
      </c>
    </row>
    <row r="903" customFormat="false" ht="15" hidden="false" customHeight="false" outlineLevel="0" collapsed="false">
      <c r="A903" s="0" t="n">
        <v>902</v>
      </c>
      <c r="B903" s="18" t="n">
        <v>1041414.5589802</v>
      </c>
      <c r="C903" s="18" t="n">
        <v>606057.46523908</v>
      </c>
      <c r="D903" s="0" t="n">
        <v>1</v>
      </c>
    </row>
    <row r="904" customFormat="false" ht="15" hidden="false" customHeight="false" outlineLevel="0" collapsed="false">
      <c r="A904" s="0" t="n">
        <v>903</v>
      </c>
      <c r="B904" s="18" t="n">
        <v>401186.612733533</v>
      </c>
      <c r="C904" s="18" t="n">
        <v>0</v>
      </c>
      <c r="D904" s="0" t="n">
        <v>0</v>
      </c>
      <c r="E904" s="19" t="n">
        <v>35.3333333333333</v>
      </c>
    </row>
    <row r="905" customFormat="false" ht="15" hidden="false" customHeight="false" outlineLevel="0" collapsed="false">
      <c r="A905" s="0" t="n">
        <v>904</v>
      </c>
      <c r="B905" s="18" t="n">
        <v>3187987.28845116</v>
      </c>
      <c r="C905" s="18" t="n">
        <v>3526856.9287034</v>
      </c>
      <c r="D905" s="0" t="n">
        <v>1</v>
      </c>
    </row>
    <row r="906" customFormat="false" ht="15" hidden="false" customHeight="false" outlineLevel="0" collapsed="false">
      <c r="A906" s="0" t="n">
        <v>905</v>
      </c>
      <c r="B906" s="18" t="n">
        <v>2005375.27210703</v>
      </c>
      <c r="C906" s="18" t="n">
        <v>1078894.86205341</v>
      </c>
      <c r="D906" s="0" t="n">
        <v>1</v>
      </c>
    </row>
    <row r="907" customFormat="false" ht="15" hidden="false" customHeight="false" outlineLevel="0" collapsed="false">
      <c r="A907" s="0" t="n">
        <v>906</v>
      </c>
      <c r="B907" s="18" t="n">
        <v>1460018.86872213</v>
      </c>
      <c r="C907" s="18" t="n">
        <v>12282410.7726511</v>
      </c>
      <c r="D907" s="0" t="n">
        <v>1</v>
      </c>
    </row>
    <row r="908" customFormat="false" ht="15" hidden="false" customHeight="false" outlineLevel="0" collapsed="false">
      <c r="A908" s="0" t="n">
        <v>907</v>
      </c>
      <c r="B908" s="18" t="n">
        <v>593323.068821904</v>
      </c>
      <c r="C908" s="18" t="n">
        <v>0</v>
      </c>
      <c r="D908" s="0" t="n">
        <v>0</v>
      </c>
      <c r="E908" s="19" t="n">
        <v>33.0833333333333</v>
      </c>
    </row>
    <row r="909" customFormat="false" ht="15" hidden="false" customHeight="false" outlineLevel="0" collapsed="false">
      <c r="A909" s="0" t="n">
        <v>908</v>
      </c>
      <c r="B909" s="18" t="n">
        <v>3071420.81393911</v>
      </c>
      <c r="C909" s="18" t="n">
        <v>11574617.2074652</v>
      </c>
      <c r="D909" s="0" t="n">
        <v>1</v>
      </c>
    </row>
    <row r="910" customFormat="false" ht="15" hidden="false" customHeight="false" outlineLevel="0" collapsed="false">
      <c r="A910" s="0" t="n">
        <v>909</v>
      </c>
      <c r="B910" s="18" t="n">
        <v>2270512.05476693</v>
      </c>
      <c r="C910" s="18" t="n">
        <v>17071853.4998338</v>
      </c>
      <c r="D910" s="0" t="n">
        <v>1</v>
      </c>
    </row>
    <row r="911" customFormat="false" ht="15" hidden="false" customHeight="false" outlineLevel="0" collapsed="false">
      <c r="A911" s="0" t="n">
        <v>910</v>
      </c>
      <c r="B911" s="18" t="n">
        <v>500756.072163584</v>
      </c>
      <c r="C911" s="18" t="n">
        <v>0</v>
      </c>
      <c r="D911" s="0" t="n">
        <v>0</v>
      </c>
      <c r="E911" s="19" t="n">
        <v>32.1666666666667</v>
      </c>
    </row>
    <row r="912" customFormat="false" ht="15" hidden="false" customHeight="false" outlineLevel="0" collapsed="false">
      <c r="A912" s="0" t="n">
        <v>911</v>
      </c>
      <c r="B912" s="18" t="n">
        <v>1969397.63146393</v>
      </c>
      <c r="C912" s="18" t="n">
        <v>9329883.33507056</v>
      </c>
      <c r="D912" s="0" t="n">
        <v>1</v>
      </c>
    </row>
    <row r="913" customFormat="false" ht="15" hidden="false" customHeight="false" outlineLevel="0" collapsed="false">
      <c r="A913" s="0" t="n">
        <v>912</v>
      </c>
      <c r="B913" s="18" t="n">
        <v>722534.724206938</v>
      </c>
      <c r="C913" s="18" t="n">
        <v>0</v>
      </c>
      <c r="D913" s="0" t="n">
        <v>0</v>
      </c>
      <c r="E913" s="19" t="n">
        <v>36.5</v>
      </c>
    </row>
    <row r="914" customFormat="false" ht="15" hidden="false" customHeight="false" outlineLevel="0" collapsed="false">
      <c r="A914" s="0" t="n">
        <v>913</v>
      </c>
      <c r="B914" s="18" t="n">
        <v>847499.905413491</v>
      </c>
      <c r="C914" s="18" t="n">
        <v>0</v>
      </c>
      <c r="D914" s="0" t="n">
        <v>0</v>
      </c>
      <c r="E914" s="19" t="n">
        <v>38.4166666666667</v>
      </c>
    </row>
    <row r="915" customFormat="false" ht="15" hidden="false" customHeight="false" outlineLevel="0" collapsed="false">
      <c r="A915" s="0" t="n">
        <v>914</v>
      </c>
      <c r="B915" s="18" t="n">
        <v>1066231.8117263</v>
      </c>
      <c r="C915" s="18" t="n">
        <v>4720522.85521137</v>
      </c>
      <c r="D915" s="0" t="n">
        <v>1</v>
      </c>
    </row>
    <row r="916" customFormat="false" ht="15" hidden="false" customHeight="false" outlineLevel="0" collapsed="false">
      <c r="A916" s="0" t="n">
        <v>915</v>
      </c>
      <c r="B916" s="18" t="n">
        <v>1483450.20041296</v>
      </c>
      <c r="C916" s="18" t="n">
        <v>17898364.583616</v>
      </c>
      <c r="D916" s="0" t="n">
        <v>1</v>
      </c>
    </row>
    <row r="917" customFormat="false" ht="15" hidden="false" customHeight="false" outlineLevel="0" collapsed="false">
      <c r="A917" s="0" t="n">
        <v>916</v>
      </c>
      <c r="B917" s="18" t="n">
        <v>549548.009908661</v>
      </c>
      <c r="C917" s="18" t="n">
        <v>0</v>
      </c>
      <c r="D917" s="0" t="n">
        <v>0</v>
      </c>
      <c r="E917" s="19" t="n">
        <v>33.6666666666667</v>
      </c>
    </row>
    <row r="918" customFormat="false" ht="15" hidden="false" customHeight="false" outlineLevel="0" collapsed="false">
      <c r="A918" s="0" t="n">
        <v>917</v>
      </c>
      <c r="B918" s="18" t="n">
        <v>1999303.28378092</v>
      </c>
      <c r="C918" s="18" t="n">
        <v>0</v>
      </c>
      <c r="D918" s="0" t="n">
        <v>0</v>
      </c>
      <c r="E918" s="19" t="n">
        <v>44.4166666666667</v>
      </c>
    </row>
    <row r="919" customFormat="false" ht="15" hidden="false" customHeight="false" outlineLevel="0" collapsed="false">
      <c r="A919" s="0" t="n">
        <v>918</v>
      </c>
      <c r="B919" s="18" t="n">
        <v>451634.478720576</v>
      </c>
      <c r="C919" s="18" t="n">
        <v>0</v>
      </c>
      <c r="D919" s="0" t="n">
        <v>0</v>
      </c>
      <c r="E919" s="19" t="n">
        <v>34.1666666666667</v>
      </c>
    </row>
    <row r="920" customFormat="false" ht="15" hidden="false" customHeight="false" outlineLevel="0" collapsed="false">
      <c r="A920" s="0" t="n">
        <v>919</v>
      </c>
      <c r="B920" s="18" t="n">
        <v>1352983.62759871</v>
      </c>
      <c r="C920" s="18" t="n">
        <v>1684750.81334887</v>
      </c>
      <c r="D920" s="0" t="n">
        <v>1</v>
      </c>
    </row>
    <row r="921" customFormat="false" ht="15" hidden="false" customHeight="false" outlineLevel="0" collapsed="false">
      <c r="A921" s="0" t="n">
        <v>920</v>
      </c>
      <c r="B921" s="18" t="n">
        <v>794843.147013387</v>
      </c>
      <c r="C921" s="18" t="n">
        <v>1062011.32358765</v>
      </c>
      <c r="D921" s="0" t="n">
        <v>1</v>
      </c>
    </row>
    <row r="922" customFormat="false" ht="15" hidden="false" customHeight="false" outlineLevel="0" collapsed="false">
      <c r="A922" s="0" t="n">
        <v>921</v>
      </c>
      <c r="B922" s="18" t="n">
        <v>761152.797098419</v>
      </c>
      <c r="C922" s="18" t="n">
        <v>0</v>
      </c>
      <c r="D922" s="0" t="n">
        <v>0</v>
      </c>
      <c r="E922" s="19" t="n">
        <v>53.4166666666667</v>
      </c>
    </row>
    <row r="923" customFormat="false" ht="15" hidden="false" customHeight="false" outlineLevel="0" collapsed="false">
      <c r="A923" s="0" t="n">
        <v>922</v>
      </c>
      <c r="B923" s="18" t="n">
        <v>1040150.87066179</v>
      </c>
      <c r="C923" s="18" t="n">
        <v>3268593.22975018</v>
      </c>
      <c r="D923" s="0" t="n">
        <v>1</v>
      </c>
    </row>
    <row r="924" customFormat="false" ht="15" hidden="false" customHeight="false" outlineLevel="0" collapsed="false">
      <c r="A924" s="0" t="n">
        <v>923</v>
      </c>
      <c r="B924" s="18" t="n">
        <v>845473.490513119</v>
      </c>
      <c r="C924" s="18" t="n">
        <v>0</v>
      </c>
      <c r="D924" s="0" t="n">
        <v>0</v>
      </c>
      <c r="E924" s="19" t="n">
        <v>50.4166666666667</v>
      </c>
    </row>
    <row r="925" customFormat="false" ht="15" hidden="false" customHeight="false" outlineLevel="0" collapsed="false">
      <c r="A925" s="0" t="n">
        <v>924</v>
      </c>
      <c r="B925" s="18" t="n">
        <v>860964.807807278</v>
      </c>
      <c r="C925" s="18" t="n">
        <v>846060.512378393</v>
      </c>
      <c r="D925" s="0" t="n">
        <v>1</v>
      </c>
    </row>
    <row r="926" customFormat="false" ht="15" hidden="false" customHeight="false" outlineLevel="0" collapsed="false">
      <c r="A926" s="0" t="n">
        <v>925</v>
      </c>
      <c r="B926" s="18" t="n">
        <v>822432.865298576</v>
      </c>
      <c r="C926" s="18" t="n">
        <v>1192227.33191325</v>
      </c>
      <c r="D926" s="0" t="n">
        <v>1</v>
      </c>
    </row>
    <row r="927" customFormat="false" ht="15" hidden="false" customHeight="false" outlineLevel="0" collapsed="false">
      <c r="A927" s="0" t="n">
        <v>926</v>
      </c>
      <c r="B927" s="18" t="n">
        <v>1433920.16736277</v>
      </c>
      <c r="C927" s="18" t="n">
        <v>2351443.75438063</v>
      </c>
      <c r="D927" s="0" t="n">
        <v>1</v>
      </c>
    </row>
    <row r="928" customFormat="false" ht="15" hidden="false" customHeight="false" outlineLevel="0" collapsed="false">
      <c r="A928" s="0" t="n">
        <v>927</v>
      </c>
      <c r="B928" s="18" t="n">
        <v>788718.829276034</v>
      </c>
      <c r="C928" s="18" t="n">
        <v>0</v>
      </c>
      <c r="D928" s="0" t="n">
        <v>0</v>
      </c>
      <c r="E928" s="19" t="n">
        <v>43.5833333333333</v>
      </c>
    </row>
    <row r="929" customFormat="false" ht="15" hidden="false" customHeight="false" outlineLevel="0" collapsed="false">
      <c r="A929" s="0" t="n">
        <v>928</v>
      </c>
      <c r="B929" s="18" t="n">
        <v>663978.889102462</v>
      </c>
      <c r="C929" s="18" t="n">
        <v>0</v>
      </c>
      <c r="D929" s="0" t="n">
        <v>0</v>
      </c>
      <c r="E929" s="19" t="n">
        <v>36.5833333333333</v>
      </c>
    </row>
    <row r="930" customFormat="false" ht="15" hidden="false" customHeight="false" outlineLevel="0" collapsed="false">
      <c r="A930" s="0" t="n">
        <v>929</v>
      </c>
      <c r="B930" s="18" t="n">
        <v>874750.496036185</v>
      </c>
      <c r="C930" s="18" t="n">
        <v>0</v>
      </c>
      <c r="D930" s="0" t="n">
        <v>0</v>
      </c>
      <c r="E930" s="19" t="n">
        <v>36.1666666666667</v>
      </c>
    </row>
    <row r="931" customFormat="false" ht="15" hidden="false" customHeight="false" outlineLevel="0" collapsed="false">
      <c r="A931" s="0" t="n">
        <v>930</v>
      </c>
      <c r="B931" s="18" t="n">
        <v>805959.818173792</v>
      </c>
      <c r="C931" s="18" t="n">
        <v>0</v>
      </c>
      <c r="D931" s="0" t="n">
        <v>0</v>
      </c>
      <c r="E931" s="19" t="n">
        <v>45.3333333333333</v>
      </c>
    </row>
    <row r="932" customFormat="false" ht="15" hidden="false" customHeight="false" outlineLevel="0" collapsed="false">
      <c r="A932" s="0" t="n">
        <v>931</v>
      </c>
      <c r="B932" s="18" t="n">
        <v>1834813.92394127</v>
      </c>
      <c r="C932" s="18" t="n">
        <v>3790201.19351808</v>
      </c>
      <c r="D932" s="0" t="n">
        <v>1</v>
      </c>
    </row>
    <row r="933" customFormat="false" ht="15" hidden="false" customHeight="false" outlineLevel="0" collapsed="false">
      <c r="A933" s="0" t="n">
        <v>932</v>
      </c>
      <c r="B933" s="18" t="n">
        <v>575757.236993727</v>
      </c>
      <c r="C933" s="18" t="n">
        <v>0</v>
      </c>
      <c r="D933" s="0" t="n">
        <v>0</v>
      </c>
      <c r="E933" s="19" t="n">
        <v>33.3333333333333</v>
      </c>
    </row>
    <row r="934" customFormat="false" ht="15" hidden="false" customHeight="false" outlineLevel="0" collapsed="false">
      <c r="A934" s="0" t="n">
        <v>933</v>
      </c>
      <c r="B934" s="18" t="n">
        <v>1229984.08422807</v>
      </c>
      <c r="C934" s="18" t="n">
        <v>425737.578219003</v>
      </c>
      <c r="D934" s="0" t="n">
        <v>1</v>
      </c>
    </row>
    <row r="935" customFormat="false" ht="15" hidden="false" customHeight="false" outlineLevel="0" collapsed="false">
      <c r="A935" s="0" t="n">
        <v>934</v>
      </c>
      <c r="B935" s="18" t="n">
        <v>658008.297644859</v>
      </c>
      <c r="C935" s="18" t="n">
        <v>0</v>
      </c>
      <c r="D935" s="0" t="n">
        <v>0</v>
      </c>
      <c r="E935" s="19" t="n">
        <v>37.5833333333333</v>
      </c>
    </row>
    <row r="936" customFormat="false" ht="15" hidden="false" customHeight="false" outlineLevel="0" collapsed="false">
      <c r="A936" s="0" t="n">
        <v>935</v>
      </c>
      <c r="B936" s="18" t="n">
        <v>542374.633719517</v>
      </c>
      <c r="C936" s="18" t="n">
        <v>0</v>
      </c>
      <c r="D936" s="0" t="n">
        <v>0</v>
      </c>
      <c r="E936" s="19" t="n">
        <v>36.8333333333333</v>
      </c>
    </row>
    <row r="937" customFormat="false" ht="15" hidden="false" customHeight="false" outlineLevel="0" collapsed="false">
      <c r="A937" s="0" t="n">
        <v>936</v>
      </c>
      <c r="B937" s="18" t="n">
        <v>542397.817745354</v>
      </c>
      <c r="C937" s="18" t="n">
        <v>0</v>
      </c>
      <c r="D937" s="0" t="n">
        <v>0</v>
      </c>
      <c r="E937" s="19" t="n">
        <v>36.3333333333333</v>
      </c>
    </row>
    <row r="938" customFormat="false" ht="15" hidden="false" customHeight="false" outlineLevel="0" collapsed="false">
      <c r="A938" s="0" t="n">
        <v>937</v>
      </c>
      <c r="B938" s="18" t="n">
        <v>1927636.36937618</v>
      </c>
      <c r="C938" s="18" t="n">
        <v>0</v>
      </c>
      <c r="D938" s="0" t="n">
        <v>0</v>
      </c>
      <c r="E938" s="19" t="n">
        <v>51.5833333333333</v>
      </c>
    </row>
    <row r="939" customFormat="false" ht="15" hidden="false" customHeight="false" outlineLevel="0" collapsed="false">
      <c r="A939" s="0" t="n">
        <v>938</v>
      </c>
      <c r="B939" s="18" t="n">
        <v>1120890.87675091</v>
      </c>
      <c r="C939" s="18" t="n">
        <v>359386.144995865</v>
      </c>
      <c r="D939" s="0" t="n">
        <v>1</v>
      </c>
    </row>
    <row r="940" customFormat="false" ht="15" hidden="false" customHeight="false" outlineLevel="0" collapsed="false">
      <c r="A940" s="0" t="n">
        <v>939</v>
      </c>
      <c r="B940" s="18" t="n">
        <v>702838.235342934</v>
      </c>
      <c r="C940" s="18" t="n">
        <v>0</v>
      </c>
      <c r="D940" s="0" t="n">
        <v>0</v>
      </c>
      <c r="E940" s="19" t="n">
        <v>38.25</v>
      </c>
    </row>
    <row r="941" customFormat="false" ht="15" hidden="false" customHeight="false" outlineLevel="0" collapsed="false">
      <c r="A941" s="0" t="n">
        <v>940</v>
      </c>
      <c r="B941" s="18" t="n">
        <v>458177.002637858</v>
      </c>
      <c r="C941" s="18" t="n">
        <v>0</v>
      </c>
      <c r="D941" s="0" t="n">
        <v>0</v>
      </c>
      <c r="E941" s="19" t="n">
        <v>34.5</v>
      </c>
    </row>
    <row r="942" customFormat="false" ht="15" hidden="false" customHeight="false" outlineLevel="0" collapsed="false">
      <c r="A942" s="0" t="n">
        <v>941</v>
      </c>
      <c r="B942" s="18" t="n">
        <v>1731506.52977696</v>
      </c>
      <c r="C942" s="18" t="n">
        <v>2779530.13655118</v>
      </c>
      <c r="D942" s="0" t="n">
        <v>1</v>
      </c>
    </row>
    <row r="943" customFormat="false" ht="15" hidden="false" customHeight="false" outlineLevel="0" collapsed="false">
      <c r="A943" s="0" t="n">
        <v>942</v>
      </c>
      <c r="B943" s="18" t="n">
        <v>576565.501751991</v>
      </c>
      <c r="C943" s="18" t="n">
        <v>0</v>
      </c>
      <c r="D943" s="0" t="n">
        <v>0</v>
      </c>
      <c r="E943" s="19" t="n">
        <v>39</v>
      </c>
    </row>
    <row r="944" customFormat="false" ht="15" hidden="false" customHeight="false" outlineLevel="0" collapsed="false">
      <c r="A944" s="0" t="n">
        <v>943</v>
      </c>
      <c r="B944" s="18" t="n">
        <v>611222.446962075</v>
      </c>
      <c r="C944" s="18" t="n">
        <v>0</v>
      </c>
      <c r="D944" s="0" t="n">
        <v>0</v>
      </c>
      <c r="E944" s="19" t="n">
        <v>35</v>
      </c>
    </row>
    <row r="945" customFormat="false" ht="15" hidden="false" customHeight="false" outlineLevel="0" collapsed="false">
      <c r="A945" s="0" t="n">
        <v>944</v>
      </c>
      <c r="B945" s="18" t="n">
        <v>569339.929633803</v>
      </c>
      <c r="C945" s="18" t="n">
        <v>0</v>
      </c>
      <c r="D945" s="0" t="n">
        <v>0</v>
      </c>
      <c r="E945" s="19" t="n">
        <v>41.6666666666667</v>
      </c>
    </row>
    <row r="946" customFormat="false" ht="15" hidden="false" customHeight="false" outlineLevel="0" collapsed="false">
      <c r="A946" s="0" t="n">
        <v>945</v>
      </c>
      <c r="B946" s="18" t="n">
        <v>1874911.16831948</v>
      </c>
      <c r="C946" s="18" t="n">
        <v>1519637.0217364</v>
      </c>
      <c r="D946" s="0" t="n">
        <v>1</v>
      </c>
    </row>
    <row r="947" customFormat="false" ht="15" hidden="false" customHeight="false" outlineLevel="0" collapsed="false">
      <c r="A947" s="0" t="n">
        <v>946</v>
      </c>
      <c r="B947" s="18" t="n">
        <v>923904.576957763</v>
      </c>
      <c r="C947" s="18" t="n">
        <v>8303980.90722979</v>
      </c>
      <c r="D947" s="0" t="n">
        <v>1</v>
      </c>
    </row>
    <row r="948" customFormat="false" ht="15" hidden="false" customHeight="false" outlineLevel="0" collapsed="false">
      <c r="A948" s="0" t="n">
        <v>947</v>
      </c>
      <c r="B948" s="18" t="n">
        <v>1697616.61302846</v>
      </c>
      <c r="C948" s="18" t="n">
        <v>236647.556189913</v>
      </c>
      <c r="D948" s="0" t="n">
        <v>1</v>
      </c>
    </row>
    <row r="949" customFormat="false" ht="15" hidden="false" customHeight="false" outlineLevel="0" collapsed="false">
      <c r="A949" s="0" t="n">
        <v>948</v>
      </c>
      <c r="B949" s="18" t="n">
        <v>1674136.37604546</v>
      </c>
      <c r="C949" s="18" t="n">
        <v>3988585.15176618</v>
      </c>
      <c r="D949" s="0" t="n">
        <v>1</v>
      </c>
    </row>
    <row r="950" customFormat="false" ht="15" hidden="false" customHeight="false" outlineLevel="0" collapsed="false">
      <c r="A950" s="0" t="n">
        <v>949</v>
      </c>
      <c r="B950" s="18" t="n">
        <v>1275591.28138785</v>
      </c>
      <c r="C950" s="18" t="n">
        <v>0</v>
      </c>
      <c r="D950" s="0" t="n">
        <v>0</v>
      </c>
      <c r="E950" s="19" t="n">
        <v>46.4166666666667</v>
      </c>
    </row>
    <row r="951" customFormat="false" ht="15" hidden="false" customHeight="false" outlineLevel="0" collapsed="false">
      <c r="A951" s="0" t="n">
        <v>950</v>
      </c>
      <c r="B951" s="18" t="n">
        <v>1360724.49098346</v>
      </c>
      <c r="C951" s="18" t="n">
        <v>4951143.69681482</v>
      </c>
      <c r="D951" s="0" t="n">
        <v>1</v>
      </c>
    </row>
    <row r="952" customFormat="false" ht="15" hidden="false" customHeight="false" outlineLevel="0" collapsed="false">
      <c r="A952" s="0" t="n">
        <v>951</v>
      </c>
      <c r="B952" s="18" t="n">
        <v>427689.371073668</v>
      </c>
      <c r="C952" s="18" t="n">
        <v>0</v>
      </c>
      <c r="D952" s="0" t="n">
        <v>0</v>
      </c>
      <c r="E952" s="19" t="n">
        <v>32.8333333333333</v>
      </c>
    </row>
    <row r="953" customFormat="false" ht="15" hidden="false" customHeight="false" outlineLevel="0" collapsed="false">
      <c r="A953" s="0" t="n">
        <v>952</v>
      </c>
      <c r="B953" s="18" t="n">
        <v>1148824.72773991</v>
      </c>
      <c r="C953" s="18" t="n">
        <v>1801260.37664825</v>
      </c>
      <c r="D953" s="0" t="n">
        <v>1</v>
      </c>
    </row>
    <row r="954" customFormat="false" ht="15" hidden="false" customHeight="false" outlineLevel="0" collapsed="false">
      <c r="A954" s="0" t="n">
        <v>953</v>
      </c>
      <c r="B954" s="18" t="n">
        <v>3331501.5747188</v>
      </c>
      <c r="C954" s="18" t="n">
        <v>4206444.39159577</v>
      </c>
      <c r="D954" s="0" t="n">
        <v>1</v>
      </c>
    </row>
    <row r="955" customFormat="false" ht="15" hidden="false" customHeight="false" outlineLevel="0" collapsed="false">
      <c r="A955" s="0" t="n">
        <v>954</v>
      </c>
      <c r="B955" s="18" t="n">
        <v>1566850.54257226</v>
      </c>
      <c r="C955" s="18" t="n">
        <v>345648.053302967</v>
      </c>
      <c r="D955" s="0" t="n">
        <v>1</v>
      </c>
    </row>
    <row r="956" customFormat="false" ht="15" hidden="false" customHeight="false" outlineLevel="0" collapsed="false">
      <c r="A956" s="0" t="n">
        <v>955</v>
      </c>
      <c r="B956" s="18" t="n">
        <v>1180977.42438779</v>
      </c>
      <c r="C956" s="18" t="n">
        <v>0</v>
      </c>
      <c r="D956" s="0" t="n">
        <v>0</v>
      </c>
      <c r="E956" s="19" t="n">
        <v>50.3333333333333</v>
      </c>
    </row>
    <row r="957" customFormat="false" ht="15" hidden="false" customHeight="false" outlineLevel="0" collapsed="false">
      <c r="A957" s="0" t="n">
        <v>956</v>
      </c>
      <c r="B957" s="18" t="n">
        <v>853070.669493404</v>
      </c>
      <c r="C957" s="18" t="n">
        <v>0</v>
      </c>
      <c r="D957" s="0" t="n">
        <v>0</v>
      </c>
      <c r="E957" s="19" t="n">
        <v>35.75</v>
      </c>
    </row>
    <row r="958" customFormat="false" ht="15" hidden="false" customHeight="false" outlineLevel="0" collapsed="false">
      <c r="A958" s="0" t="n">
        <v>957</v>
      </c>
      <c r="B958" s="18" t="n">
        <v>460645.256462055</v>
      </c>
      <c r="C958" s="18" t="n">
        <v>0</v>
      </c>
      <c r="D958" s="0" t="n">
        <v>0</v>
      </c>
      <c r="E958" s="19" t="n">
        <v>33.1666666666667</v>
      </c>
    </row>
    <row r="959" customFormat="false" ht="15" hidden="false" customHeight="false" outlineLevel="0" collapsed="false">
      <c r="A959" s="0" t="n">
        <v>958</v>
      </c>
      <c r="B959" s="18" t="n">
        <v>594362.911423748</v>
      </c>
      <c r="C959" s="18" t="n">
        <v>1528911.34239758</v>
      </c>
      <c r="D959" s="0" t="n">
        <v>1</v>
      </c>
    </row>
    <row r="960" customFormat="false" ht="15" hidden="false" customHeight="false" outlineLevel="0" collapsed="false">
      <c r="A960" s="0" t="n">
        <v>959</v>
      </c>
      <c r="B960" s="18" t="n">
        <v>393343.532440862</v>
      </c>
      <c r="C960" s="18" t="n">
        <v>0</v>
      </c>
      <c r="D960" s="0" t="n">
        <v>0</v>
      </c>
      <c r="E960" s="19" t="n">
        <v>32</v>
      </c>
    </row>
    <row r="961" customFormat="false" ht="15" hidden="false" customHeight="false" outlineLevel="0" collapsed="false">
      <c r="A961" s="0" t="n">
        <v>960</v>
      </c>
      <c r="B961" s="18" t="n">
        <v>1282314.83228068</v>
      </c>
      <c r="C961" s="18" t="n">
        <v>482580.56502065</v>
      </c>
      <c r="D961" s="0" t="n">
        <v>1</v>
      </c>
    </row>
    <row r="962" customFormat="false" ht="15" hidden="false" customHeight="false" outlineLevel="0" collapsed="false">
      <c r="A962" s="0" t="n">
        <v>961</v>
      </c>
      <c r="B962" s="18" t="n">
        <v>3032586.94435722</v>
      </c>
      <c r="C962" s="18" t="n">
        <v>11533305.7239352</v>
      </c>
      <c r="D962" s="0" t="n">
        <v>1</v>
      </c>
    </row>
    <row r="963" customFormat="false" ht="15" hidden="false" customHeight="false" outlineLevel="0" collapsed="false">
      <c r="A963" s="0" t="n">
        <v>962</v>
      </c>
      <c r="B963" s="18" t="n">
        <v>986775.271498205</v>
      </c>
      <c r="C963" s="18" t="n">
        <v>0</v>
      </c>
      <c r="D963" s="0" t="n">
        <v>0</v>
      </c>
      <c r="E963" s="19" t="n">
        <v>52.0833333333333</v>
      </c>
    </row>
    <row r="964" customFormat="false" ht="15" hidden="false" customHeight="false" outlineLevel="0" collapsed="false">
      <c r="A964" s="0" t="n">
        <v>963</v>
      </c>
      <c r="B964" s="18" t="n">
        <v>1535092.76507718</v>
      </c>
      <c r="C964" s="18" t="n">
        <v>0</v>
      </c>
      <c r="D964" s="0" t="n">
        <v>0</v>
      </c>
      <c r="E964" s="19" t="n">
        <v>40.5</v>
      </c>
    </row>
    <row r="965" customFormat="false" ht="15" hidden="false" customHeight="false" outlineLevel="0" collapsed="false">
      <c r="A965" s="0" t="n">
        <v>964</v>
      </c>
      <c r="B965" s="18" t="n">
        <v>621377.358295018</v>
      </c>
      <c r="C965" s="18" t="n">
        <v>0</v>
      </c>
      <c r="D965" s="0" t="n">
        <v>0</v>
      </c>
      <c r="E965" s="19" t="n">
        <v>37.1666666666667</v>
      </c>
    </row>
    <row r="966" customFormat="false" ht="15" hidden="false" customHeight="false" outlineLevel="0" collapsed="false">
      <c r="A966" s="0" t="n">
        <v>965</v>
      </c>
      <c r="B966" s="18" t="n">
        <v>891917.306434098</v>
      </c>
      <c r="C966" s="18" t="n">
        <v>12286623.9627691</v>
      </c>
      <c r="D966" s="0" t="n">
        <v>1</v>
      </c>
    </row>
    <row r="967" customFormat="false" ht="15" hidden="false" customHeight="false" outlineLevel="0" collapsed="false">
      <c r="A967" s="0" t="n">
        <v>966</v>
      </c>
      <c r="B967" s="18" t="n">
        <v>441685.959918114</v>
      </c>
      <c r="C967" s="18" t="n">
        <v>0</v>
      </c>
      <c r="D967" s="0" t="n">
        <v>0</v>
      </c>
      <c r="E967" s="19" t="n">
        <v>32.5833333333333</v>
      </c>
    </row>
    <row r="968" customFormat="false" ht="15" hidden="false" customHeight="false" outlineLevel="0" collapsed="false">
      <c r="A968" s="0" t="n">
        <v>967</v>
      </c>
      <c r="B968" s="18" t="n">
        <v>1188245.43810127</v>
      </c>
      <c r="C968" s="18" t="n">
        <v>0</v>
      </c>
      <c r="D968" s="0" t="n">
        <v>0</v>
      </c>
      <c r="E968" s="19" t="n">
        <v>50.0833333333333</v>
      </c>
    </row>
    <row r="969" customFormat="false" ht="15" hidden="false" customHeight="false" outlineLevel="0" collapsed="false">
      <c r="A969" s="0" t="n">
        <v>968</v>
      </c>
      <c r="B969" s="18" t="n">
        <v>1561076.71956418</v>
      </c>
      <c r="C969" s="18" t="n">
        <v>0</v>
      </c>
      <c r="D969" s="0" t="n">
        <v>0</v>
      </c>
      <c r="E969" s="19" t="n">
        <v>51.8333333333333</v>
      </c>
    </row>
    <row r="970" customFormat="false" ht="15" hidden="false" customHeight="false" outlineLevel="0" collapsed="false">
      <c r="A970" s="0" t="n">
        <v>969</v>
      </c>
      <c r="B970" s="18" t="n">
        <v>1146322.58382328</v>
      </c>
      <c r="C970" s="18" t="n">
        <v>0</v>
      </c>
      <c r="D970" s="0" t="n">
        <v>0</v>
      </c>
      <c r="E970" s="19" t="n">
        <v>49.75</v>
      </c>
    </row>
    <row r="971" customFormat="false" ht="15" hidden="false" customHeight="false" outlineLevel="0" collapsed="false">
      <c r="A971" s="0" t="n">
        <v>970</v>
      </c>
      <c r="B971" s="18" t="n">
        <v>971389.204605941</v>
      </c>
      <c r="C971" s="18" t="n">
        <v>0</v>
      </c>
      <c r="D971" s="0" t="n">
        <v>0</v>
      </c>
      <c r="E971" s="19" t="n">
        <v>49.4166666666667</v>
      </c>
    </row>
    <row r="972" customFormat="false" ht="15" hidden="false" customHeight="false" outlineLevel="0" collapsed="false">
      <c r="A972" s="0" t="n">
        <v>971</v>
      </c>
      <c r="B972" s="18" t="n">
        <v>504155.010759293</v>
      </c>
      <c r="C972" s="18" t="n">
        <v>0</v>
      </c>
      <c r="D972" s="0" t="n">
        <v>0</v>
      </c>
      <c r="E972" s="19" t="n">
        <v>32.4166666666667</v>
      </c>
    </row>
    <row r="973" customFormat="false" ht="15" hidden="false" customHeight="false" outlineLevel="0" collapsed="false">
      <c r="A973" s="0" t="n">
        <v>972</v>
      </c>
      <c r="B973" s="18" t="n">
        <v>362717.085725599</v>
      </c>
      <c r="C973" s="18" t="n">
        <v>0</v>
      </c>
      <c r="D973" s="0" t="n">
        <v>0</v>
      </c>
      <c r="E973" s="19" t="n">
        <v>31.5</v>
      </c>
    </row>
    <row r="974" customFormat="false" ht="15" hidden="false" customHeight="false" outlineLevel="0" collapsed="false">
      <c r="A974" s="0" t="n">
        <v>973</v>
      </c>
      <c r="B974" s="18" t="n">
        <v>862100.437177222</v>
      </c>
      <c r="C974" s="18" t="n">
        <v>2736943.4842688</v>
      </c>
      <c r="D974" s="0" t="n">
        <v>1</v>
      </c>
    </row>
    <row r="975" customFormat="false" ht="15" hidden="false" customHeight="false" outlineLevel="0" collapsed="false">
      <c r="A975" s="0" t="n">
        <v>974</v>
      </c>
      <c r="B975" s="18" t="n">
        <v>580923.477527179</v>
      </c>
      <c r="C975" s="18" t="n">
        <v>0</v>
      </c>
      <c r="D975" s="0" t="n">
        <v>0</v>
      </c>
      <c r="E975" s="19" t="n">
        <v>40.6666666666667</v>
      </c>
    </row>
    <row r="976" customFormat="false" ht="15" hidden="false" customHeight="false" outlineLevel="0" collapsed="false">
      <c r="A976" s="0" t="n">
        <v>975</v>
      </c>
      <c r="B976" s="18" t="n">
        <v>529665.404058591</v>
      </c>
      <c r="C976" s="18" t="n">
        <v>0</v>
      </c>
      <c r="D976" s="0" t="n">
        <v>0</v>
      </c>
      <c r="E976" s="19" t="n">
        <v>32.25</v>
      </c>
    </row>
    <row r="977" customFormat="false" ht="15" hidden="false" customHeight="false" outlineLevel="0" collapsed="false">
      <c r="A977" s="0" t="n">
        <v>976</v>
      </c>
      <c r="B977" s="18" t="n">
        <v>955057.485720711</v>
      </c>
      <c r="C977" s="18" t="n">
        <v>0</v>
      </c>
      <c r="D977" s="0" t="n">
        <v>0</v>
      </c>
      <c r="E977" s="19" t="n">
        <v>40.1666666666667</v>
      </c>
    </row>
    <row r="978" customFormat="false" ht="15" hidden="false" customHeight="false" outlineLevel="0" collapsed="false">
      <c r="A978" s="0" t="n">
        <v>977</v>
      </c>
      <c r="B978" s="18" t="n">
        <v>1288303.4286676</v>
      </c>
      <c r="C978" s="18" t="n">
        <v>2970587.09503445</v>
      </c>
      <c r="D978" s="0" t="n">
        <v>1</v>
      </c>
    </row>
    <row r="979" customFormat="false" ht="15" hidden="false" customHeight="false" outlineLevel="0" collapsed="false">
      <c r="A979" s="0" t="n">
        <v>978</v>
      </c>
      <c r="B979" s="18" t="n">
        <v>714608.228895952</v>
      </c>
      <c r="C979" s="18" t="n">
        <v>0</v>
      </c>
      <c r="D979" s="0" t="n">
        <v>0</v>
      </c>
      <c r="E979" s="19" t="n">
        <v>51.25</v>
      </c>
    </row>
    <row r="980" customFormat="false" ht="15" hidden="false" customHeight="false" outlineLevel="0" collapsed="false">
      <c r="A980" s="0" t="n">
        <v>979</v>
      </c>
      <c r="B980" s="18" t="n">
        <v>1314186.61131243</v>
      </c>
      <c r="C980" s="18" t="n">
        <v>1278008.90428315</v>
      </c>
      <c r="D980" s="0" t="n">
        <v>1</v>
      </c>
    </row>
    <row r="981" customFormat="false" ht="15" hidden="false" customHeight="false" outlineLevel="0" collapsed="false">
      <c r="A981" s="0" t="n">
        <v>980</v>
      </c>
      <c r="B981" s="18" t="n">
        <v>467855.64574131</v>
      </c>
      <c r="C981" s="18" t="n">
        <v>0</v>
      </c>
      <c r="D981" s="0" t="n">
        <v>0</v>
      </c>
      <c r="E981" s="19" t="n">
        <v>33.4166666666667</v>
      </c>
    </row>
    <row r="982" customFormat="false" ht="15" hidden="false" customHeight="false" outlineLevel="0" collapsed="false">
      <c r="A982" s="0" t="n">
        <v>981</v>
      </c>
      <c r="B982" s="18" t="n">
        <v>345315.954445608</v>
      </c>
      <c r="C982" s="18" t="n">
        <v>0</v>
      </c>
      <c r="D982" s="0" t="n">
        <v>0</v>
      </c>
      <c r="E982" s="19" t="n">
        <v>29.3333333333333</v>
      </c>
    </row>
    <row r="983" customFormat="false" ht="15" hidden="false" customHeight="false" outlineLevel="0" collapsed="false">
      <c r="A983" s="0" t="n">
        <v>982</v>
      </c>
      <c r="B983" s="18" t="n">
        <v>800573.94383007</v>
      </c>
      <c r="C983" s="18" t="n">
        <v>0</v>
      </c>
      <c r="D983" s="0" t="n">
        <v>0</v>
      </c>
      <c r="E983" s="19" t="n">
        <v>46.9166666666667</v>
      </c>
    </row>
    <row r="984" customFormat="false" ht="15" hidden="false" customHeight="false" outlineLevel="0" collapsed="false">
      <c r="A984" s="0" t="n">
        <v>983</v>
      </c>
      <c r="B984" s="18" t="n">
        <v>815347.350060883</v>
      </c>
      <c r="C984" s="18" t="n">
        <v>0</v>
      </c>
      <c r="D984" s="0" t="n">
        <v>0</v>
      </c>
      <c r="E984" s="19" t="n">
        <v>36.25</v>
      </c>
    </row>
    <row r="985" customFormat="false" ht="15" hidden="false" customHeight="false" outlineLevel="0" collapsed="false">
      <c r="A985" s="0" t="n">
        <v>984</v>
      </c>
      <c r="B985" s="18" t="n">
        <v>851097.768631395</v>
      </c>
      <c r="C985" s="18" t="n">
        <v>0</v>
      </c>
      <c r="D985" s="0" t="n">
        <v>0</v>
      </c>
      <c r="E985" s="19" t="n">
        <v>42.0833333333333</v>
      </c>
    </row>
    <row r="986" customFormat="false" ht="15" hidden="false" customHeight="false" outlineLevel="0" collapsed="false">
      <c r="A986" s="0" t="n">
        <v>985</v>
      </c>
      <c r="B986" s="18" t="n">
        <v>1504424.72689611</v>
      </c>
      <c r="C986" s="18" t="n">
        <v>2327790.71223876</v>
      </c>
      <c r="D986" s="0" t="n">
        <v>1</v>
      </c>
    </row>
    <row r="987" customFormat="false" ht="15" hidden="false" customHeight="false" outlineLevel="0" collapsed="false">
      <c r="A987" s="0" t="n">
        <v>986</v>
      </c>
      <c r="B987" s="18" t="n">
        <v>1532403.53966396</v>
      </c>
      <c r="C987" s="18" t="n">
        <v>0</v>
      </c>
      <c r="D987" s="0" t="n">
        <v>0</v>
      </c>
      <c r="E987" s="19" t="n">
        <v>49.6666666666667</v>
      </c>
    </row>
    <row r="988" customFormat="false" ht="15" hidden="false" customHeight="false" outlineLevel="0" collapsed="false">
      <c r="A988" s="0" t="n">
        <v>987</v>
      </c>
      <c r="B988" s="18" t="n">
        <v>861985.584601793</v>
      </c>
      <c r="C988" s="18" t="n">
        <v>6664232.317533</v>
      </c>
      <c r="D988" s="0" t="n">
        <v>1</v>
      </c>
    </row>
    <row r="989" customFormat="false" ht="15" hidden="false" customHeight="false" outlineLevel="0" collapsed="false">
      <c r="A989" s="0" t="n">
        <v>988</v>
      </c>
      <c r="B989" s="18" t="n">
        <v>901674.451943689</v>
      </c>
      <c r="C989" s="18" t="n">
        <v>0</v>
      </c>
      <c r="D989" s="0" t="n">
        <v>0</v>
      </c>
      <c r="E989" s="19" t="n">
        <v>48.5</v>
      </c>
    </row>
    <row r="990" customFormat="false" ht="15" hidden="false" customHeight="false" outlineLevel="0" collapsed="false">
      <c r="A990" s="0" t="n">
        <v>989</v>
      </c>
      <c r="B990" s="18" t="n">
        <v>1681165.79035011</v>
      </c>
      <c r="C990" s="18" t="n">
        <v>822929.564574042</v>
      </c>
      <c r="D990" s="0" t="n">
        <v>1</v>
      </c>
    </row>
    <row r="991" customFormat="false" ht="15" hidden="false" customHeight="false" outlineLevel="0" collapsed="false">
      <c r="A991" s="0" t="n">
        <v>990</v>
      </c>
      <c r="B991" s="18" t="n">
        <v>1061625.50124639</v>
      </c>
      <c r="C991" s="18" t="n">
        <v>0</v>
      </c>
      <c r="D991" s="0" t="n">
        <v>0</v>
      </c>
      <c r="E991" s="19" t="n">
        <v>44.5833333333333</v>
      </c>
    </row>
    <row r="992" customFormat="false" ht="15" hidden="false" customHeight="false" outlineLevel="0" collapsed="false">
      <c r="A992" s="0" t="n">
        <v>991</v>
      </c>
      <c r="B992" s="18" t="n">
        <v>375251.809033792</v>
      </c>
      <c r="C992" s="18" t="n">
        <v>0</v>
      </c>
      <c r="D992" s="0" t="n">
        <v>0</v>
      </c>
      <c r="E992" s="19" t="n">
        <v>31.1666666666667</v>
      </c>
    </row>
    <row r="993" customFormat="false" ht="15" hidden="false" customHeight="false" outlineLevel="0" collapsed="false">
      <c r="A993" s="0" t="n">
        <v>992</v>
      </c>
      <c r="B993" s="18" t="n">
        <v>1414072.61756454</v>
      </c>
      <c r="C993" s="18" t="n">
        <v>3069290.30346094</v>
      </c>
      <c r="D993" s="0" t="n">
        <v>1</v>
      </c>
    </row>
    <row r="994" customFormat="false" ht="15" hidden="false" customHeight="false" outlineLevel="0" collapsed="false">
      <c r="A994" s="0" t="n">
        <v>993</v>
      </c>
      <c r="B994" s="18" t="n">
        <v>1887986.07876424</v>
      </c>
      <c r="C994" s="18" t="n">
        <v>977339.927731101</v>
      </c>
      <c r="D994" s="0" t="n">
        <v>1</v>
      </c>
    </row>
    <row r="995" customFormat="false" ht="15" hidden="false" customHeight="false" outlineLevel="0" collapsed="false">
      <c r="A995" s="0" t="n">
        <v>994</v>
      </c>
      <c r="B995" s="18" t="n">
        <v>882820.077658454</v>
      </c>
      <c r="C995" s="18" t="n">
        <v>1449995.39765098</v>
      </c>
      <c r="D995" s="0" t="n">
        <v>1</v>
      </c>
    </row>
    <row r="996" customFormat="false" ht="15" hidden="false" customHeight="false" outlineLevel="0" collapsed="false">
      <c r="A996" s="0" t="n">
        <v>995</v>
      </c>
      <c r="B996" s="18" t="n">
        <v>1791142.5394866</v>
      </c>
      <c r="C996" s="18" t="n">
        <v>0</v>
      </c>
      <c r="D996" s="0" t="n">
        <v>0</v>
      </c>
      <c r="E996" s="19" t="n">
        <v>46.25</v>
      </c>
    </row>
    <row r="997" customFormat="false" ht="15" hidden="false" customHeight="false" outlineLevel="0" collapsed="false">
      <c r="A997" s="0" t="n">
        <v>996</v>
      </c>
      <c r="B997" s="18" t="n">
        <v>1195112.56564794</v>
      </c>
      <c r="C997" s="18" t="n">
        <v>0</v>
      </c>
      <c r="D997" s="0" t="n">
        <v>0</v>
      </c>
      <c r="E997" s="19" t="n">
        <v>54.9166666666667</v>
      </c>
    </row>
    <row r="998" customFormat="false" ht="15" hidden="false" customHeight="false" outlineLevel="0" collapsed="false">
      <c r="A998" s="0" t="n">
        <v>997</v>
      </c>
      <c r="B998" s="18" t="n">
        <v>655785.793146826</v>
      </c>
      <c r="C998" s="18" t="n">
        <v>0</v>
      </c>
      <c r="D998" s="0" t="n">
        <v>0</v>
      </c>
      <c r="E998" s="19" t="n">
        <v>38.0833333333333</v>
      </c>
    </row>
    <row r="999" customFormat="false" ht="15" hidden="false" customHeight="false" outlineLevel="0" collapsed="false">
      <c r="A999" s="0" t="n">
        <v>998</v>
      </c>
      <c r="B999" s="18" t="n">
        <v>2122481.79519439</v>
      </c>
      <c r="C999" s="18" t="n">
        <v>6400940.53269267</v>
      </c>
      <c r="D999" s="0" t="n">
        <v>1</v>
      </c>
    </row>
    <row r="1000" customFormat="false" ht="15" hidden="false" customHeight="false" outlineLevel="0" collapsed="false">
      <c r="A1000" s="0" t="n">
        <v>999</v>
      </c>
      <c r="B1000" s="18" t="n">
        <v>1171245.29784321</v>
      </c>
      <c r="C1000" s="18" t="n">
        <v>0</v>
      </c>
      <c r="D1000" s="0" t="n">
        <v>0</v>
      </c>
      <c r="E1000" s="19" t="n">
        <v>45.1666666666667</v>
      </c>
    </row>
    <row r="1001" customFormat="false" ht="15" hidden="false" customHeight="false" outlineLevel="0" collapsed="false">
      <c r="A1001" s="0" t="n">
        <v>1000</v>
      </c>
      <c r="B1001" s="18" t="n">
        <v>484045.810105793</v>
      </c>
      <c r="C1001" s="18" t="n">
        <v>0</v>
      </c>
      <c r="D1001" s="0" t="n">
        <v>0</v>
      </c>
      <c r="E1001" s="19" t="n">
        <v>31.25</v>
      </c>
    </row>
    <row r="1002" customFormat="false" ht="15" hidden="false" customHeight="false" outlineLevel="0" collapsed="false">
      <c r="A1002" s="0" t="n">
        <v>1001</v>
      </c>
      <c r="B1002" s="18" t="n">
        <v>1661199.49543744</v>
      </c>
      <c r="C1002" s="18" t="n">
        <v>4750283.47665283</v>
      </c>
      <c r="D1002" s="0" t="n">
        <v>1</v>
      </c>
    </row>
    <row r="1003" customFormat="false" ht="15" hidden="false" customHeight="false" outlineLevel="0" collapsed="false">
      <c r="A1003" s="0" t="n">
        <v>1002</v>
      </c>
      <c r="B1003" s="18" t="n">
        <v>1145923.81632695</v>
      </c>
      <c r="C1003" s="18" t="n">
        <v>497555.30954019</v>
      </c>
      <c r="D1003" s="0" t="n">
        <v>1</v>
      </c>
    </row>
    <row r="1004" customFormat="false" ht="15" hidden="false" customHeight="false" outlineLevel="0" collapsed="false">
      <c r="A1004" s="0" t="n">
        <v>1003</v>
      </c>
      <c r="B1004" s="18" t="n">
        <v>427487.254433295</v>
      </c>
      <c r="C1004" s="18" t="n">
        <v>0</v>
      </c>
      <c r="D1004" s="0" t="n">
        <v>0</v>
      </c>
      <c r="E1004" s="19" t="n">
        <v>31.75</v>
      </c>
    </row>
    <row r="1005" customFormat="false" ht="15" hidden="false" customHeight="false" outlineLevel="0" collapsed="false">
      <c r="A1005" s="0" t="n">
        <v>1004</v>
      </c>
      <c r="B1005" s="18" t="n">
        <v>2253455.97921211</v>
      </c>
      <c r="C1005" s="18" t="n">
        <v>2039115.9045244</v>
      </c>
      <c r="D1005" s="0" t="n">
        <v>1</v>
      </c>
    </row>
    <row r="1006" customFormat="false" ht="15" hidden="false" customHeight="false" outlineLevel="0" collapsed="false">
      <c r="A1006" s="0" t="n">
        <v>1005</v>
      </c>
      <c r="B1006" s="18" t="n">
        <v>449448.615498389</v>
      </c>
      <c r="C1006" s="18" t="n">
        <v>0</v>
      </c>
      <c r="D1006" s="0" t="n">
        <v>0</v>
      </c>
      <c r="E1006" s="19" t="n">
        <v>37.6666666666667</v>
      </c>
    </row>
    <row r="1007" customFormat="false" ht="15" hidden="false" customHeight="false" outlineLevel="0" collapsed="false">
      <c r="A1007" s="0" t="n">
        <v>1006</v>
      </c>
      <c r="B1007" s="18" t="n">
        <v>837189.811675491</v>
      </c>
      <c r="C1007" s="18" t="n">
        <v>0</v>
      </c>
      <c r="D1007" s="0" t="n">
        <v>0</v>
      </c>
      <c r="E1007" s="19" t="n">
        <v>43.0833333333333</v>
      </c>
    </row>
    <row r="1008" customFormat="false" ht="15" hidden="false" customHeight="false" outlineLevel="0" collapsed="false">
      <c r="A1008" s="0" t="n">
        <v>1007</v>
      </c>
      <c r="B1008" s="18" t="n">
        <v>573205.491211182</v>
      </c>
      <c r="C1008" s="18" t="n">
        <v>0</v>
      </c>
      <c r="D1008" s="0" t="n">
        <v>0</v>
      </c>
      <c r="E1008" s="19" t="n">
        <v>38</v>
      </c>
    </row>
    <row r="1009" customFormat="false" ht="15" hidden="false" customHeight="false" outlineLevel="0" collapsed="false">
      <c r="A1009" s="0" t="n">
        <v>1008</v>
      </c>
      <c r="B1009" s="18" t="n">
        <v>446404.864572097</v>
      </c>
      <c r="C1009" s="18" t="n">
        <v>0</v>
      </c>
      <c r="D1009" s="0" t="n">
        <v>0</v>
      </c>
      <c r="E1009" s="19" t="n">
        <v>34.8333333333333</v>
      </c>
    </row>
    <row r="1010" customFormat="false" ht="15" hidden="false" customHeight="false" outlineLevel="0" collapsed="false">
      <c r="A1010" s="0" t="n">
        <v>1009</v>
      </c>
      <c r="B1010" s="18" t="n">
        <v>1916278.30912526</v>
      </c>
      <c r="C1010" s="18" t="n">
        <v>19712847.5752959</v>
      </c>
      <c r="D1010" s="0" t="n">
        <v>1</v>
      </c>
    </row>
    <row r="1011" customFormat="false" ht="15" hidden="false" customHeight="false" outlineLevel="0" collapsed="false">
      <c r="A1011" s="0" t="n">
        <v>1010</v>
      </c>
      <c r="B1011" s="18" t="n">
        <v>752622.200615651</v>
      </c>
      <c r="C1011" s="18" t="n">
        <v>1286925.79631536</v>
      </c>
      <c r="D1011" s="0" t="n">
        <v>1</v>
      </c>
    </row>
    <row r="1012" customFormat="false" ht="15" hidden="false" customHeight="false" outlineLevel="0" collapsed="false">
      <c r="A1012" s="0" t="n">
        <v>1011</v>
      </c>
      <c r="B1012" s="18" t="n">
        <v>1569508.13430887</v>
      </c>
      <c r="C1012" s="18" t="n">
        <v>1606328.36020391</v>
      </c>
      <c r="D1012" s="0" t="n">
        <v>1</v>
      </c>
    </row>
    <row r="1013" customFormat="false" ht="15" hidden="false" customHeight="false" outlineLevel="0" collapsed="false">
      <c r="A1013" s="0" t="n">
        <v>1012</v>
      </c>
      <c r="B1013" s="18" t="n">
        <v>2832682.89310945</v>
      </c>
      <c r="C1013" s="18" t="n">
        <v>894785.695629477</v>
      </c>
      <c r="D1013" s="0" t="n">
        <v>1</v>
      </c>
    </row>
    <row r="1014" customFormat="false" ht="15" hidden="false" customHeight="false" outlineLevel="0" collapsed="false">
      <c r="A1014" s="0" t="n">
        <v>1013</v>
      </c>
      <c r="B1014" s="18" t="n">
        <v>263111.655546245</v>
      </c>
      <c r="C1014" s="18" t="n">
        <v>0</v>
      </c>
      <c r="D1014" s="0" t="n">
        <v>0</v>
      </c>
      <c r="E1014" s="19" t="n">
        <v>29.5</v>
      </c>
    </row>
    <row r="1015" customFormat="false" ht="15" hidden="false" customHeight="false" outlineLevel="0" collapsed="false">
      <c r="A1015" s="0" t="n">
        <v>1014</v>
      </c>
      <c r="B1015" s="18" t="n">
        <v>869633.441053926</v>
      </c>
      <c r="C1015" s="18" t="n">
        <v>0</v>
      </c>
      <c r="D1015" s="0" t="n">
        <v>0</v>
      </c>
      <c r="E1015" s="19" t="n">
        <v>39.0833333333333</v>
      </c>
    </row>
    <row r="1016" customFormat="false" ht="15" hidden="false" customHeight="false" outlineLevel="0" collapsed="false">
      <c r="A1016" s="0" t="n">
        <v>1015</v>
      </c>
      <c r="B1016" s="18" t="n">
        <v>506304.87142973</v>
      </c>
      <c r="C1016" s="18" t="n">
        <v>0</v>
      </c>
      <c r="D1016" s="0" t="n">
        <v>0</v>
      </c>
      <c r="E1016" s="19" t="n">
        <v>36.3333333333333</v>
      </c>
    </row>
    <row r="1017" customFormat="false" ht="15" hidden="false" customHeight="false" outlineLevel="0" collapsed="false">
      <c r="A1017" s="0" t="n">
        <v>1016</v>
      </c>
      <c r="B1017" s="18" t="n">
        <v>371323.346618788</v>
      </c>
      <c r="C1017" s="18" t="n">
        <v>0</v>
      </c>
      <c r="D1017" s="0" t="n">
        <v>0</v>
      </c>
      <c r="E1017" s="19" t="n">
        <v>29.9166666666667</v>
      </c>
    </row>
    <row r="1018" customFormat="false" ht="15" hidden="false" customHeight="false" outlineLevel="0" collapsed="false">
      <c r="A1018" s="0" t="n">
        <v>1017</v>
      </c>
      <c r="B1018" s="18" t="n">
        <v>1491629.39656857</v>
      </c>
      <c r="C1018" s="18" t="n">
        <v>4621915.14002382</v>
      </c>
      <c r="D1018" s="0" t="n">
        <v>1</v>
      </c>
    </row>
    <row r="1019" customFormat="false" ht="15" hidden="false" customHeight="false" outlineLevel="0" collapsed="false">
      <c r="A1019" s="0" t="n">
        <v>1018</v>
      </c>
      <c r="B1019" s="18" t="n">
        <v>1097559.93358203</v>
      </c>
      <c r="C1019" s="18" t="n">
        <v>244022.57922842</v>
      </c>
      <c r="D1019" s="0" t="n">
        <v>1</v>
      </c>
    </row>
    <row r="1020" customFormat="false" ht="15" hidden="false" customHeight="false" outlineLevel="0" collapsed="false">
      <c r="A1020" s="0" t="n">
        <v>1019</v>
      </c>
      <c r="B1020" s="18" t="n">
        <v>613724.28154293</v>
      </c>
      <c r="C1020" s="18" t="n">
        <v>0</v>
      </c>
      <c r="D1020" s="0" t="n">
        <v>0</v>
      </c>
      <c r="E1020" s="19" t="n">
        <v>36.5</v>
      </c>
    </row>
    <row r="1021" customFormat="false" ht="15" hidden="false" customHeight="false" outlineLevel="0" collapsed="false">
      <c r="A1021" s="0" t="n">
        <v>1020</v>
      </c>
      <c r="B1021" s="18" t="n">
        <v>881598.332412979</v>
      </c>
      <c r="C1021" s="18" t="n">
        <v>907098.119626111</v>
      </c>
      <c r="D1021" s="0" t="n">
        <v>1</v>
      </c>
    </row>
    <row r="1022" customFormat="false" ht="15" hidden="false" customHeight="false" outlineLevel="0" collapsed="false">
      <c r="A1022" s="0" t="n">
        <v>1021</v>
      </c>
      <c r="B1022" s="18" t="n">
        <v>628935.538643417</v>
      </c>
      <c r="C1022" s="18" t="n">
        <v>0</v>
      </c>
      <c r="D1022" s="0" t="n">
        <v>0</v>
      </c>
      <c r="E1022" s="19" t="n">
        <v>40.3333333333333</v>
      </c>
    </row>
    <row r="1023" customFormat="false" ht="15" hidden="false" customHeight="false" outlineLevel="0" collapsed="false">
      <c r="A1023" s="0" t="n">
        <v>1022</v>
      </c>
      <c r="B1023" s="18" t="n">
        <v>1088550.49576324</v>
      </c>
      <c r="C1023" s="18" t="n">
        <v>0</v>
      </c>
      <c r="D1023" s="0" t="n">
        <v>0</v>
      </c>
      <c r="E1023" s="19" t="n">
        <v>43.75</v>
      </c>
    </row>
    <row r="1024" customFormat="false" ht="15" hidden="false" customHeight="false" outlineLevel="0" collapsed="false">
      <c r="A1024" s="0" t="n">
        <v>1023</v>
      </c>
      <c r="B1024" s="18" t="n">
        <v>1438970.51843403</v>
      </c>
      <c r="C1024" s="18" t="n">
        <v>8194518.8968022</v>
      </c>
      <c r="D1024" s="0" t="n">
        <v>1</v>
      </c>
    </row>
    <row r="1025" customFormat="false" ht="15" hidden="false" customHeight="false" outlineLevel="0" collapsed="false">
      <c r="A1025" s="0" t="n">
        <v>1024</v>
      </c>
      <c r="B1025" s="18" t="n">
        <v>814585.866373192</v>
      </c>
      <c r="C1025" s="18" t="n">
        <v>0</v>
      </c>
      <c r="D1025" s="0" t="n">
        <v>0</v>
      </c>
      <c r="E1025" s="19" t="n">
        <v>38.3333333333333</v>
      </c>
    </row>
    <row r="1026" customFormat="false" ht="15" hidden="false" customHeight="false" outlineLevel="0" collapsed="false">
      <c r="A1026" s="0" t="n">
        <v>1025</v>
      </c>
      <c r="B1026" s="18" t="n">
        <v>1231435.22197197</v>
      </c>
      <c r="C1026" s="18" t="n">
        <v>1291406.67766357</v>
      </c>
      <c r="D1026" s="0" t="n">
        <v>1</v>
      </c>
    </row>
    <row r="1027" customFormat="false" ht="15" hidden="false" customHeight="false" outlineLevel="0" collapsed="false">
      <c r="A1027" s="0" t="n">
        <v>1026</v>
      </c>
      <c r="B1027" s="18" t="n">
        <v>1171941.89011715</v>
      </c>
      <c r="C1027" s="18" t="n">
        <v>0</v>
      </c>
      <c r="D1027" s="0" t="n">
        <v>0</v>
      </c>
      <c r="E1027" s="19" t="n">
        <v>53.6666666666667</v>
      </c>
    </row>
    <row r="1028" customFormat="false" ht="15" hidden="false" customHeight="false" outlineLevel="0" collapsed="false">
      <c r="A1028" s="0" t="n">
        <v>1027</v>
      </c>
      <c r="B1028" s="18" t="n">
        <v>725536.7521601</v>
      </c>
      <c r="C1028" s="18" t="n">
        <v>0</v>
      </c>
      <c r="D1028" s="0" t="n">
        <v>0</v>
      </c>
      <c r="E1028" s="19" t="n">
        <v>41.4166666666667</v>
      </c>
    </row>
    <row r="1029" customFormat="false" ht="15" hidden="false" customHeight="false" outlineLevel="0" collapsed="false">
      <c r="A1029" s="0" t="n">
        <v>1028</v>
      </c>
      <c r="B1029" s="18" t="n">
        <v>761796.513561876</v>
      </c>
      <c r="C1029" s="18" t="n">
        <v>0</v>
      </c>
      <c r="D1029" s="0" t="n">
        <v>0</v>
      </c>
      <c r="E1029" s="19" t="n">
        <v>43.9166666666667</v>
      </c>
    </row>
    <row r="1030" customFormat="false" ht="15" hidden="false" customHeight="false" outlineLevel="0" collapsed="false">
      <c r="A1030" s="0" t="n">
        <v>1029</v>
      </c>
      <c r="B1030" s="18" t="n">
        <v>1332300.81061385</v>
      </c>
      <c r="C1030" s="18" t="n">
        <v>8647039.9649965</v>
      </c>
      <c r="D1030" s="0" t="n">
        <v>1</v>
      </c>
    </row>
    <row r="1031" customFormat="false" ht="15" hidden="false" customHeight="false" outlineLevel="0" collapsed="false">
      <c r="A1031" s="0" t="n">
        <v>1030</v>
      </c>
      <c r="B1031" s="18" t="n">
        <v>1006362.98592946</v>
      </c>
      <c r="C1031" s="18" t="n">
        <v>0</v>
      </c>
      <c r="D1031" s="0" t="n">
        <v>0</v>
      </c>
      <c r="E1031" s="19" t="n">
        <v>45.3333333333333</v>
      </c>
    </row>
    <row r="1032" customFormat="false" ht="15" hidden="false" customHeight="false" outlineLevel="0" collapsed="false">
      <c r="A1032" s="0" t="n">
        <v>1031</v>
      </c>
      <c r="B1032" s="18" t="n">
        <v>798182.136447302</v>
      </c>
      <c r="C1032" s="18" t="n">
        <v>92843.3770457534</v>
      </c>
      <c r="D1032" s="0" t="n">
        <v>1</v>
      </c>
    </row>
    <row r="1033" customFormat="false" ht="15" hidden="false" customHeight="false" outlineLevel="0" collapsed="false">
      <c r="A1033" s="0" t="n">
        <v>1032</v>
      </c>
      <c r="B1033" s="18" t="n">
        <v>996910.464743319</v>
      </c>
      <c r="C1033" s="18" t="n">
        <v>0</v>
      </c>
      <c r="D1033" s="0" t="n">
        <v>0</v>
      </c>
      <c r="E1033" s="19" t="n">
        <v>45.9166666666667</v>
      </c>
    </row>
    <row r="1034" customFormat="false" ht="15" hidden="false" customHeight="false" outlineLevel="0" collapsed="false">
      <c r="A1034" s="0" t="n">
        <v>1033</v>
      </c>
      <c r="B1034" s="18" t="n">
        <v>399274.561326459</v>
      </c>
      <c r="C1034" s="18" t="n">
        <v>0</v>
      </c>
      <c r="D1034" s="0" t="n">
        <v>0</v>
      </c>
      <c r="E1034" s="19" t="n">
        <v>29.6666666666667</v>
      </c>
    </row>
    <row r="1035" customFormat="false" ht="15" hidden="false" customHeight="false" outlineLevel="0" collapsed="false">
      <c r="A1035" s="0" t="n">
        <v>1034</v>
      </c>
      <c r="B1035" s="18" t="n">
        <v>346012.963038672</v>
      </c>
      <c r="C1035" s="18" t="n">
        <v>0</v>
      </c>
      <c r="D1035" s="0" t="n">
        <v>0</v>
      </c>
      <c r="E1035" s="19" t="n">
        <v>33.25</v>
      </c>
    </row>
    <row r="1036" customFormat="false" ht="15" hidden="false" customHeight="false" outlineLevel="0" collapsed="false">
      <c r="A1036" s="0" t="n">
        <v>1035</v>
      </c>
      <c r="B1036" s="18" t="n">
        <v>369439.781380258</v>
      </c>
      <c r="C1036" s="18" t="n">
        <v>0</v>
      </c>
      <c r="D1036" s="0" t="n">
        <v>0</v>
      </c>
      <c r="E1036" s="19" t="n">
        <v>34</v>
      </c>
    </row>
    <row r="1037" customFormat="false" ht="15" hidden="false" customHeight="false" outlineLevel="0" collapsed="false">
      <c r="A1037" s="0" t="n">
        <v>1036</v>
      </c>
      <c r="B1037" s="18" t="n">
        <v>1522306.2083965</v>
      </c>
      <c r="C1037" s="18" t="n">
        <v>64775.072330259</v>
      </c>
      <c r="D1037" s="0" t="n">
        <v>1</v>
      </c>
    </row>
    <row r="1038" customFormat="false" ht="15" hidden="false" customHeight="false" outlineLevel="0" collapsed="false">
      <c r="A1038" s="0" t="n">
        <v>1037</v>
      </c>
      <c r="B1038" s="18" t="n">
        <v>1751064.05899252</v>
      </c>
      <c r="C1038" s="18" t="n">
        <v>6214967.10895367</v>
      </c>
      <c r="D1038" s="0" t="n">
        <v>1</v>
      </c>
    </row>
    <row r="1039" customFormat="false" ht="15" hidden="false" customHeight="false" outlineLevel="0" collapsed="false">
      <c r="A1039" s="0" t="n">
        <v>1038</v>
      </c>
      <c r="B1039" s="18" t="n">
        <v>882111.378867848</v>
      </c>
      <c r="C1039" s="18" t="n">
        <v>0</v>
      </c>
      <c r="D1039" s="0" t="n">
        <v>0</v>
      </c>
      <c r="E1039" s="19" t="n">
        <v>41.75</v>
      </c>
    </row>
    <row r="1040" customFormat="false" ht="15" hidden="false" customHeight="false" outlineLevel="0" collapsed="false">
      <c r="A1040" s="0" t="n">
        <v>1039</v>
      </c>
      <c r="B1040" s="18" t="n">
        <v>818394.334128263</v>
      </c>
      <c r="C1040" s="18" t="n">
        <v>0</v>
      </c>
      <c r="D1040" s="0" t="n">
        <v>0</v>
      </c>
      <c r="E1040" s="19" t="n">
        <v>50.75</v>
      </c>
    </row>
    <row r="1041" customFormat="false" ht="15" hidden="false" customHeight="false" outlineLevel="0" collapsed="false">
      <c r="A1041" s="0" t="n">
        <v>1040</v>
      </c>
      <c r="B1041" s="18" t="n">
        <v>565137.995826503</v>
      </c>
      <c r="C1041" s="18" t="n">
        <v>0</v>
      </c>
      <c r="D1041" s="0" t="n">
        <v>0</v>
      </c>
      <c r="E1041" s="19" t="n">
        <v>39.5833333333333</v>
      </c>
    </row>
    <row r="1042" customFormat="false" ht="15" hidden="false" customHeight="false" outlineLevel="0" collapsed="false">
      <c r="A1042" s="0" t="n">
        <v>1041</v>
      </c>
      <c r="B1042" s="18" t="n">
        <v>543463.247314266</v>
      </c>
      <c r="C1042" s="18" t="n">
        <v>0</v>
      </c>
      <c r="D1042" s="0" t="n">
        <v>0</v>
      </c>
      <c r="E1042" s="19" t="n">
        <v>36.3333333333333</v>
      </c>
    </row>
    <row r="1043" customFormat="false" ht="15" hidden="false" customHeight="false" outlineLevel="0" collapsed="false">
      <c r="A1043" s="0" t="n">
        <v>1042</v>
      </c>
      <c r="B1043" s="18" t="n">
        <v>416156.547696288</v>
      </c>
      <c r="C1043" s="18" t="n">
        <v>0</v>
      </c>
      <c r="D1043" s="0" t="n">
        <v>0</v>
      </c>
      <c r="E1043" s="19" t="n">
        <v>33.3333333333333</v>
      </c>
    </row>
    <row r="1044" customFormat="false" ht="15" hidden="false" customHeight="false" outlineLevel="0" collapsed="false">
      <c r="A1044" s="0" t="n">
        <v>1043</v>
      </c>
      <c r="B1044" s="18" t="n">
        <v>1415321.72783219</v>
      </c>
      <c r="C1044" s="18" t="n">
        <v>31559553.2847731</v>
      </c>
      <c r="D1044" s="0" t="n">
        <v>1</v>
      </c>
    </row>
    <row r="1045" customFormat="false" ht="15" hidden="false" customHeight="false" outlineLevel="0" collapsed="false">
      <c r="A1045" s="0" t="n">
        <v>1044</v>
      </c>
      <c r="B1045" s="18" t="n">
        <v>260204.916240273</v>
      </c>
      <c r="C1045" s="18" t="n">
        <v>0</v>
      </c>
      <c r="D1045" s="0" t="n">
        <v>0</v>
      </c>
      <c r="E1045" s="19" t="n">
        <v>30.5833333333333</v>
      </c>
    </row>
    <row r="1046" customFormat="false" ht="15" hidden="false" customHeight="false" outlineLevel="0" collapsed="false">
      <c r="A1046" s="0" t="n">
        <v>1045</v>
      </c>
      <c r="B1046" s="18" t="n">
        <v>1247479.1645112</v>
      </c>
      <c r="C1046" s="18" t="n">
        <v>0</v>
      </c>
      <c r="D1046" s="0" t="n">
        <v>0</v>
      </c>
      <c r="E1046" s="19" t="n">
        <v>49.25</v>
      </c>
    </row>
    <row r="1047" customFormat="false" ht="15" hidden="false" customHeight="false" outlineLevel="0" collapsed="false">
      <c r="A1047" s="0" t="n">
        <v>1046</v>
      </c>
      <c r="B1047" s="18" t="n">
        <v>606738.673141766</v>
      </c>
      <c r="C1047" s="18" t="n">
        <v>0</v>
      </c>
      <c r="D1047" s="0" t="n">
        <v>0</v>
      </c>
      <c r="E1047" s="19" t="n">
        <v>37</v>
      </c>
    </row>
    <row r="1048" customFormat="false" ht="15" hidden="false" customHeight="false" outlineLevel="0" collapsed="false">
      <c r="A1048" s="0" t="n">
        <v>1047</v>
      </c>
      <c r="B1048" s="18" t="n">
        <v>1392237.32956709</v>
      </c>
      <c r="C1048" s="18" t="n">
        <v>1590326.7264921</v>
      </c>
      <c r="D1048" s="0" t="n">
        <v>1</v>
      </c>
    </row>
    <row r="1049" customFormat="false" ht="15" hidden="false" customHeight="false" outlineLevel="0" collapsed="false">
      <c r="A1049" s="0" t="n">
        <v>1048</v>
      </c>
      <c r="B1049" s="18" t="n">
        <v>989243.654147769</v>
      </c>
      <c r="C1049" s="18" t="n">
        <v>2974998.99327686</v>
      </c>
      <c r="D1049" s="0" t="n">
        <v>1</v>
      </c>
    </row>
    <row r="1050" customFormat="false" ht="15" hidden="false" customHeight="false" outlineLevel="0" collapsed="false">
      <c r="A1050" s="0" t="n">
        <v>1049</v>
      </c>
      <c r="B1050" s="18" t="n">
        <v>583758.967429682</v>
      </c>
      <c r="C1050" s="18" t="n">
        <v>0</v>
      </c>
      <c r="D1050" s="0" t="n">
        <v>0</v>
      </c>
      <c r="E1050" s="19" t="n">
        <v>32.0833333333333</v>
      </c>
    </row>
    <row r="1051" customFormat="false" ht="15" hidden="false" customHeight="false" outlineLevel="0" collapsed="false">
      <c r="A1051" s="0" t="n">
        <v>1050</v>
      </c>
      <c r="B1051" s="18" t="n">
        <v>490727.505059088</v>
      </c>
      <c r="C1051" s="18" t="n">
        <v>0</v>
      </c>
      <c r="D1051" s="0" t="n">
        <v>0</v>
      </c>
      <c r="E1051" s="19" t="n">
        <v>33.4166666666667</v>
      </c>
    </row>
    <row r="1052" customFormat="false" ht="15" hidden="false" customHeight="false" outlineLevel="0" collapsed="false">
      <c r="A1052" s="0" t="n">
        <v>1051</v>
      </c>
      <c r="B1052" s="18" t="n">
        <v>1226467.71672311</v>
      </c>
      <c r="C1052" s="18" t="n">
        <v>0</v>
      </c>
      <c r="D1052" s="0" t="n">
        <v>0</v>
      </c>
      <c r="E1052" s="19" t="n">
        <v>39.9166666666667</v>
      </c>
    </row>
    <row r="1053" customFormat="false" ht="15" hidden="false" customHeight="false" outlineLevel="0" collapsed="false">
      <c r="A1053" s="0" t="n">
        <v>1052</v>
      </c>
      <c r="B1053" s="18" t="n">
        <v>480147.70183883</v>
      </c>
      <c r="C1053" s="18" t="n">
        <v>0</v>
      </c>
      <c r="D1053" s="0" t="n">
        <v>0</v>
      </c>
      <c r="E1053" s="19" t="n">
        <v>37.6666666666667</v>
      </c>
    </row>
    <row r="1054" customFormat="false" ht="15" hidden="false" customHeight="false" outlineLevel="0" collapsed="false">
      <c r="A1054" s="0" t="n">
        <v>1053</v>
      </c>
      <c r="B1054" s="18" t="n">
        <v>476235.42648835</v>
      </c>
      <c r="C1054" s="18" t="n">
        <v>0</v>
      </c>
      <c r="D1054" s="0" t="n">
        <v>0</v>
      </c>
      <c r="E1054" s="19" t="n">
        <v>31.9166666666667</v>
      </c>
    </row>
    <row r="1055" customFormat="false" ht="15" hidden="false" customHeight="false" outlineLevel="0" collapsed="false">
      <c r="A1055" s="0" t="n">
        <v>1054</v>
      </c>
      <c r="B1055" s="18" t="n">
        <v>1036857.73173132</v>
      </c>
      <c r="C1055" s="18" t="n">
        <v>1785117.14747078</v>
      </c>
      <c r="D1055" s="0" t="n">
        <v>1</v>
      </c>
    </row>
    <row r="1056" customFormat="false" ht="15" hidden="false" customHeight="false" outlineLevel="0" collapsed="false">
      <c r="A1056" s="0" t="n">
        <v>1055</v>
      </c>
      <c r="B1056" s="18" t="n">
        <v>1907456.32526801</v>
      </c>
      <c r="C1056" s="18" t="n">
        <v>3305237.8417091</v>
      </c>
      <c r="D1056" s="0" t="n">
        <v>1</v>
      </c>
    </row>
    <row r="1057" customFormat="false" ht="15" hidden="false" customHeight="false" outlineLevel="0" collapsed="false">
      <c r="A1057" s="0" t="n">
        <v>1056</v>
      </c>
      <c r="B1057" s="18" t="n">
        <v>1433220.77618561</v>
      </c>
      <c r="C1057" s="18" t="n">
        <v>2192061.16780866</v>
      </c>
      <c r="D1057" s="0" t="n">
        <v>1</v>
      </c>
    </row>
    <row r="1058" customFormat="false" ht="15" hidden="false" customHeight="false" outlineLevel="0" collapsed="false">
      <c r="A1058" s="0" t="n">
        <v>1057</v>
      </c>
      <c r="B1058" s="18" t="n">
        <v>1252355.37784516</v>
      </c>
      <c r="C1058" s="18" t="n">
        <v>792554.493652056</v>
      </c>
      <c r="D1058" s="0" t="n">
        <v>1</v>
      </c>
    </row>
    <row r="1059" customFormat="false" ht="15" hidden="false" customHeight="false" outlineLevel="0" collapsed="false">
      <c r="A1059" s="0" t="n">
        <v>1058</v>
      </c>
      <c r="B1059" s="18" t="n">
        <v>1448412.18064643</v>
      </c>
      <c r="C1059" s="18" t="n">
        <v>11112937.9717066</v>
      </c>
      <c r="D1059" s="0" t="n">
        <v>1</v>
      </c>
    </row>
    <row r="1060" customFormat="false" ht="15" hidden="false" customHeight="false" outlineLevel="0" collapsed="false">
      <c r="A1060" s="0" t="n">
        <v>1059</v>
      </c>
      <c r="B1060" s="18" t="n">
        <v>897915.303600609</v>
      </c>
      <c r="C1060" s="18" t="n">
        <v>0</v>
      </c>
      <c r="D1060" s="0" t="n">
        <v>0</v>
      </c>
      <c r="E1060" s="19" t="n">
        <v>52.4166666666667</v>
      </c>
    </row>
    <row r="1061" customFormat="false" ht="15" hidden="false" customHeight="false" outlineLevel="0" collapsed="false">
      <c r="A1061" s="0" t="n">
        <v>1060</v>
      </c>
      <c r="B1061" s="18" t="n">
        <v>912518.994253329</v>
      </c>
      <c r="C1061" s="18" t="n">
        <v>0</v>
      </c>
      <c r="D1061" s="0" t="n">
        <v>0</v>
      </c>
      <c r="E1061" s="19" t="n">
        <v>46</v>
      </c>
    </row>
    <row r="1062" customFormat="false" ht="15" hidden="false" customHeight="false" outlineLevel="0" collapsed="false">
      <c r="A1062" s="0" t="n">
        <v>1061</v>
      </c>
      <c r="B1062" s="18" t="n">
        <v>1177866.75413621</v>
      </c>
      <c r="C1062" s="18" t="n">
        <v>1758322.16765332</v>
      </c>
      <c r="D1062" s="0" t="n">
        <v>1</v>
      </c>
    </row>
    <row r="1063" customFormat="false" ht="15" hidden="false" customHeight="false" outlineLevel="0" collapsed="false">
      <c r="A1063" s="0" t="n">
        <v>1062</v>
      </c>
      <c r="B1063" s="18" t="n">
        <v>6758758.93937974</v>
      </c>
      <c r="C1063" s="18" t="n">
        <v>63042842.5386151</v>
      </c>
      <c r="D1063" s="0" t="n">
        <v>1</v>
      </c>
    </row>
    <row r="1064" customFormat="false" ht="15" hidden="false" customHeight="false" outlineLevel="0" collapsed="false">
      <c r="A1064" s="0" t="n">
        <v>1063</v>
      </c>
      <c r="B1064" s="18" t="n">
        <v>560529.669989446</v>
      </c>
      <c r="C1064" s="18" t="n">
        <v>0</v>
      </c>
      <c r="D1064" s="0" t="n">
        <v>0</v>
      </c>
      <c r="E1064" s="19" t="n">
        <v>33</v>
      </c>
    </row>
    <row r="1065" customFormat="false" ht="15" hidden="false" customHeight="false" outlineLevel="0" collapsed="false">
      <c r="A1065" s="0" t="n">
        <v>1064</v>
      </c>
      <c r="B1065" s="18" t="n">
        <v>738633.086328397</v>
      </c>
      <c r="C1065" s="18" t="n">
        <v>0</v>
      </c>
      <c r="D1065" s="0" t="n">
        <v>0</v>
      </c>
      <c r="E1065" s="19" t="n">
        <v>42.5</v>
      </c>
    </row>
    <row r="1066" customFormat="false" ht="15" hidden="false" customHeight="false" outlineLevel="0" collapsed="false">
      <c r="A1066" s="0" t="n">
        <v>1065</v>
      </c>
      <c r="B1066" s="18" t="n">
        <v>970964.920749063</v>
      </c>
      <c r="C1066" s="18" t="n">
        <v>4590144.55707935</v>
      </c>
      <c r="D1066" s="0" t="n">
        <v>1</v>
      </c>
    </row>
    <row r="1067" customFormat="false" ht="15" hidden="false" customHeight="false" outlineLevel="0" collapsed="false">
      <c r="A1067" s="0" t="n">
        <v>1066</v>
      </c>
      <c r="B1067" s="18" t="n">
        <v>910001.67703306</v>
      </c>
      <c r="C1067" s="18" t="n">
        <v>0</v>
      </c>
      <c r="D1067" s="0" t="n">
        <v>0</v>
      </c>
      <c r="E1067" s="19" t="n">
        <v>38.25</v>
      </c>
    </row>
    <row r="1068" customFormat="false" ht="15" hidden="false" customHeight="false" outlineLevel="0" collapsed="false">
      <c r="A1068" s="0" t="n">
        <v>1067</v>
      </c>
      <c r="B1068" s="18" t="n">
        <v>736030.679853237</v>
      </c>
      <c r="C1068" s="18" t="n">
        <v>0</v>
      </c>
      <c r="D1068" s="0" t="n">
        <v>0</v>
      </c>
      <c r="E1068" s="19" t="n">
        <v>35.1666666666667</v>
      </c>
    </row>
    <row r="1069" customFormat="false" ht="15" hidden="false" customHeight="false" outlineLevel="0" collapsed="false">
      <c r="A1069" s="0" t="n">
        <v>1068</v>
      </c>
      <c r="B1069" s="18" t="n">
        <v>695832.637247774</v>
      </c>
      <c r="C1069" s="18" t="n">
        <v>0</v>
      </c>
      <c r="D1069" s="0" t="n">
        <v>0</v>
      </c>
      <c r="E1069" s="19" t="n">
        <v>42.5833333333333</v>
      </c>
    </row>
    <row r="1070" customFormat="false" ht="15" hidden="false" customHeight="false" outlineLevel="0" collapsed="false">
      <c r="A1070" s="0" t="n">
        <v>1069</v>
      </c>
      <c r="B1070" s="18" t="n">
        <v>1563580.59060489</v>
      </c>
      <c r="C1070" s="18" t="n">
        <v>12935414.3112541</v>
      </c>
      <c r="D1070" s="0" t="n">
        <v>1</v>
      </c>
    </row>
    <row r="1071" customFormat="false" ht="15" hidden="false" customHeight="false" outlineLevel="0" collapsed="false">
      <c r="A1071" s="0" t="n">
        <v>1070</v>
      </c>
      <c r="B1071" s="18" t="n">
        <v>1580318.6507685</v>
      </c>
      <c r="C1071" s="18" t="n">
        <v>11274439.5873737</v>
      </c>
      <c r="D1071" s="0" t="n">
        <v>1</v>
      </c>
    </row>
    <row r="1072" customFormat="false" ht="15" hidden="false" customHeight="false" outlineLevel="0" collapsed="false">
      <c r="A1072" s="0" t="n">
        <v>1071</v>
      </c>
      <c r="B1072" s="18" t="n">
        <v>3622740.23955564</v>
      </c>
      <c r="C1072" s="18" t="n">
        <v>12301420.9523467</v>
      </c>
      <c r="D1072" s="0" t="n">
        <v>1</v>
      </c>
    </row>
    <row r="1073" customFormat="false" ht="15" hidden="false" customHeight="false" outlineLevel="0" collapsed="false">
      <c r="A1073" s="0" t="n">
        <v>1072</v>
      </c>
      <c r="B1073" s="18" t="n">
        <v>332502.395531098</v>
      </c>
      <c r="C1073" s="18" t="n">
        <v>0</v>
      </c>
      <c r="D1073" s="0" t="n">
        <v>0</v>
      </c>
      <c r="E1073" s="19" t="n">
        <v>32.4166666666667</v>
      </c>
    </row>
    <row r="1074" customFormat="false" ht="15" hidden="false" customHeight="false" outlineLevel="0" collapsed="false">
      <c r="A1074" s="0" t="n">
        <v>1073</v>
      </c>
      <c r="B1074" s="18" t="n">
        <v>1256405.83066341</v>
      </c>
      <c r="C1074" s="18" t="n">
        <v>0</v>
      </c>
      <c r="D1074" s="0" t="n">
        <v>0</v>
      </c>
      <c r="E1074" s="19" t="n">
        <v>46.5</v>
      </c>
    </row>
    <row r="1075" customFormat="false" ht="15" hidden="false" customHeight="false" outlineLevel="0" collapsed="false">
      <c r="A1075" s="0" t="n">
        <v>1074</v>
      </c>
      <c r="B1075" s="18" t="n">
        <v>644311.68511256</v>
      </c>
      <c r="C1075" s="18" t="n">
        <v>0</v>
      </c>
      <c r="D1075" s="0" t="n">
        <v>0</v>
      </c>
      <c r="E1075" s="19" t="n">
        <v>36.75</v>
      </c>
    </row>
    <row r="1076" customFormat="false" ht="15" hidden="false" customHeight="false" outlineLevel="0" collapsed="false">
      <c r="A1076" s="0" t="n">
        <v>1075</v>
      </c>
      <c r="B1076" s="18" t="n">
        <v>1990482.53115571</v>
      </c>
      <c r="C1076" s="18" t="n">
        <v>2063798.65134339</v>
      </c>
      <c r="D1076" s="0" t="n">
        <v>1</v>
      </c>
    </row>
    <row r="1077" customFormat="false" ht="15" hidden="false" customHeight="false" outlineLevel="0" collapsed="false">
      <c r="A1077" s="0" t="n">
        <v>1076</v>
      </c>
      <c r="B1077" s="18" t="n">
        <v>572900.378055638</v>
      </c>
      <c r="C1077" s="18" t="n">
        <v>0</v>
      </c>
      <c r="D1077" s="0" t="n">
        <v>0</v>
      </c>
      <c r="E1077" s="19" t="n">
        <v>35.75</v>
      </c>
    </row>
    <row r="1078" customFormat="false" ht="15" hidden="false" customHeight="false" outlineLevel="0" collapsed="false">
      <c r="A1078" s="0" t="n">
        <v>1077</v>
      </c>
      <c r="B1078" s="18" t="n">
        <v>586098.244856679</v>
      </c>
      <c r="C1078" s="18" t="n">
        <v>0</v>
      </c>
      <c r="D1078" s="0" t="n">
        <v>0</v>
      </c>
      <c r="E1078" s="19" t="n">
        <v>36.1666666666667</v>
      </c>
    </row>
    <row r="1079" customFormat="false" ht="15" hidden="false" customHeight="false" outlineLevel="0" collapsed="false">
      <c r="A1079" s="0" t="n">
        <v>1078</v>
      </c>
      <c r="B1079" s="18" t="n">
        <v>589799.646693337</v>
      </c>
      <c r="C1079" s="18" t="n">
        <v>0</v>
      </c>
      <c r="D1079" s="0" t="n">
        <v>0</v>
      </c>
      <c r="E1079" s="19" t="n">
        <v>34</v>
      </c>
    </row>
    <row r="1080" customFormat="false" ht="15" hidden="false" customHeight="false" outlineLevel="0" collapsed="false">
      <c r="A1080" s="0" t="n">
        <v>1079</v>
      </c>
      <c r="B1080" s="18" t="n">
        <v>372585.905645495</v>
      </c>
      <c r="C1080" s="18" t="n">
        <v>0</v>
      </c>
      <c r="D1080" s="0" t="n">
        <v>0</v>
      </c>
      <c r="E1080" s="19" t="n">
        <v>31.8333333333333</v>
      </c>
    </row>
    <row r="1081" customFormat="false" ht="15" hidden="false" customHeight="false" outlineLevel="0" collapsed="false">
      <c r="A1081" s="0" t="n">
        <v>1080</v>
      </c>
      <c r="B1081" s="18" t="n">
        <v>539453.778949824</v>
      </c>
      <c r="C1081" s="18" t="n">
        <v>0</v>
      </c>
      <c r="D1081" s="0" t="n">
        <v>0</v>
      </c>
      <c r="E1081" s="19" t="n">
        <v>35.0833333333333</v>
      </c>
    </row>
    <row r="1082" customFormat="false" ht="15" hidden="false" customHeight="false" outlineLevel="0" collapsed="false">
      <c r="A1082" s="0" t="n">
        <v>1081</v>
      </c>
      <c r="B1082" s="18" t="n">
        <v>1071815.51710221</v>
      </c>
      <c r="C1082" s="18" t="n">
        <v>12869007.8672199</v>
      </c>
      <c r="D1082" s="0" t="n">
        <v>1</v>
      </c>
    </row>
    <row r="1083" customFormat="false" ht="15" hidden="false" customHeight="false" outlineLevel="0" collapsed="false">
      <c r="A1083" s="0" t="n">
        <v>1082</v>
      </c>
      <c r="B1083" s="18" t="n">
        <v>1771681.36996072</v>
      </c>
      <c r="C1083" s="18" t="n">
        <v>2554761.32418465</v>
      </c>
      <c r="D1083" s="0" t="n">
        <v>1</v>
      </c>
    </row>
    <row r="1084" customFormat="false" ht="15" hidden="false" customHeight="false" outlineLevel="0" collapsed="false">
      <c r="A1084" s="0" t="n">
        <v>1083</v>
      </c>
      <c r="B1084" s="18" t="n">
        <v>940332.236217947</v>
      </c>
      <c r="C1084" s="18" t="n">
        <v>0</v>
      </c>
      <c r="D1084" s="0" t="n">
        <v>0</v>
      </c>
      <c r="E1084" s="19" t="n">
        <v>44.1666666666667</v>
      </c>
    </row>
    <row r="1085" customFormat="false" ht="15" hidden="false" customHeight="false" outlineLevel="0" collapsed="false">
      <c r="A1085" s="0" t="n">
        <v>1084</v>
      </c>
      <c r="B1085" s="18" t="n">
        <v>348000.486690725</v>
      </c>
      <c r="C1085" s="18" t="n">
        <v>0</v>
      </c>
      <c r="D1085" s="0" t="n">
        <v>0</v>
      </c>
      <c r="E1085" s="19" t="n">
        <v>31.5</v>
      </c>
    </row>
    <row r="1086" customFormat="false" ht="15" hidden="false" customHeight="false" outlineLevel="0" collapsed="false">
      <c r="A1086" s="0" t="n">
        <v>1085</v>
      </c>
      <c r="B1086" s="18" t="n">
        <v>1687569.23813373</v>
      </c>
      <c r="C1086" s="18" t="n">
        <v>66263.8566090183</v>
      </c>
      <c r="D1086" s="0" t="n">
        <v>1</v>
      </c>
    </row>
    <row r="1087" customFormat="false" ht="15" hidden="false" customHeight="false" outlineLevel="0" collapsed="false">
      <c r="A1087" s="0" t="n">
        <v>1086</v>
      </c>
      <c r="B1087" s="18" t="n">
        <v>1658426.19234459</v>
      </c>
      <c r="C1087" s="18" t="n">
        <v>11904987.7149328</v>
      </c>
      <c r="D1087" s="0" t="n">
        <v>1</v>
      </c>
    </row>
    <row r="1088" customFormat="false" ht="15" hidden="false" customHeight="false" outlineLevel="0" collapsed="false">
      <c r="A1088" s="0" t="n">
        <v>1087</v>
      </c>
      <c r="B1088" s="18" t="n">
        <v>499929.265040141</v>
      </c>
      <c r="C1088" s="18" t="n">
        <v>0</v>
      </c>
      <c r="D1088" s="0" t="n">
        <v>0</v>
      </c>
      <c r="E1088" s="19" t="n">
        <v>42.75</v>
      </c>
    </row>
    <row r="1089" customFormat="false" ht="15" hidden="false" customHeight="false" outlineLevel="0" collapsed="false">
      <c r="A1089" s="0" t="n">
        <v>1088</v>
      </c>
      <c r="B1089" s="18" t="n">
        <v>416410.07967517</v>
      </c>
      <c r="C1089" s="18" t="n">
        <v>0</v>
      </c>
      <c r="D1089" s="0" t="n">
        <v>0</v>
      </c>
      <c r="E1089" s="19" t="n">
        <v>37.5833333333333</v>
      </c>
    </row>
    <row r="1090" customFormat="false" ht="15" hidden="false" customHeight="false" outlineLevel="0" collapsed="false">
      <c r="A1090" s="0" t="n">
        <v>1089</v>
      </c>
      <c r="B1090" s="18" t="n">
        <v>347621.409197228</v>
      </c>
      <c r="C1090" s="18" t="n">
        <v>0</v>
      </c>
      <c r="D1090" s="0" t="n">
        <v>0</v>
      </c>
      <c r="E1090" s="19" t="n">
        <v>34</v>
      </c>
    </row>
    <row r="1091" customFormat="false" ht="15" hidden="false" customHeight="false" outlineLevel="0" collapsed="false">
      <c r="A1091" s="0" t="n">
        <v>1090</v>
      </c>
      <c r="B1091" s="18" t="n">
        <v>870439.411396564</v>
      </c>
      <c r="C1091" s="18" t="n">
        <v>0</v>
      </c>
      <c r="D1091" s="0" t="n">
        <v>0</v>
      </c>
      <c r="E1091" s="19" t="n">
        <v>41.6666666666667</v>
      </c>
    </row>
    <row r="1092" customFormat="false" ht="15" hidden="false" customHeight="false" outlineLevel="0" collapsed="false">
      <c r="A1092" s="0" t="n">
        <v>1091</v>
      </c>
      <c r="B1092" s="18" t="n">
        <v>496915.8359283</v>
      </c>
      <c r="C1092" s="18" t="n">
        <v>0</v>
      </c>
      <c r="D1092" s="0" t="n">
        <v>0</v>
      </c>
      <c r="E1092" s="19" t="n">
        <v>37</v>
      </c>
    </row>
    <row r="1093" customFormat="false" ht="15" hidden="false" customHeight="false" outlineLevel="0" collapsed="false">
      <c r="A1093" s="0" t="n">
        <v>1092</v>
      </c>
      <c r="B1093" s="18" t="n">
        <v>1276680.36886353</v>
      </c>
      <c r="C1093" s="18" t="n">
        <v>583353.62745004</v>
      </c>
      <c r="D1093" s="0" t="n">
        <v>1</v>
      </c>
    </row>
    <row r="1094" customFormat="false" ht="15" hidden="false" customHeight="false" outlineLevel="0" collapsed="false">
      <c r="A1094" s="0" t="n">
        <v>1093</v>
      </c>
      <c r="B1094" s="18" t="n">
        <v>996290.69130275</v>
      </c>
      <c r="C1094" s="18" t="n">
        <v>0</v>
      </c>
      <c r="D1094" s="0" t="n">
        <v>0</v>
      </c>
      <c r="E1094" s="19" t="n">
        <v>38.4166666666667</v>
      </c>
    </row>
    <row r="1095" customFormat="false" ht="15" hidden="false" customHeight="false" outlineLevel="0" collapsed="false">
      <c r="A1095" s="0" t="n">
        <v>1094</v>
      </c>
      <c r="B1095" s="18" t="n">
        <v>1384177.21903131</v>
      </c>
      <c r="C1095" s="18" t="n">
        <v>0</v>
      </c>
      <c r="D1095" s="0" t="n">
        <v>0</v>
      </c>
      <c r="E1095" s="19" t="n">
        <v>39</v>
      </c>
    </row>
    <row r="1096" customFormat="false" ht="15" hidden="false" customHeight="false" outlineLevel="0" collapsed="false">
      <c r="A1096" s="0" t="n">
        <v>1095</v>
      </c>
      <c r="B1096" s="18" t="n">
        <v>783749.701225156</v>
      </c>
      <c r="C1096" s="18" t="n">
        <v>0</v>
      </c>
      <c r="D1096" s="0" t="n">
        <v>0</v>
      </c>
      <c r="E1096" s="19" t="n">
        <v>35.75</v>
      </c>
    </row>
    <row r="1097" customFormat="false" ht="15" hidden="false" customHeight="false" outlineLevel="0" collapsed="false">
      <c r="A1097" s="0" t="n">
        <v>1096</v>
      </c>
      <c r="B1097" s="18" t="n">
        <v>1229458.45927657</v>
      </c>
      <c r="C1097" s="18" t="n">
        <v>706840.319142406</v>
      </c>
      <c r="D1097" s="0" t="n">
        <v>1</v>
      </c>
    </row>
    <row r="1098" customFormat="false" ht="15" hidden="false" customHeight="false" outlineLevel="0" collapsed="false">
      <c r="A1098" s="0" t="n">
        <v>1097</v>
      </c>
      <c r="B1098" s="18" t="n">
        <v>851177.53958353</v>
      </c>
      <c r="C1098" s="18" t="n">
        <v>173617.656560763</v>
      </c>
      <c r="D1098" s="0" t="n">
        <v>1</v>
      </c>
    </row>
    <row r="1099" customFormat="false" ht="15" hidden="false" customHeight="false" outlineLevel="0" collapsed="false">
      <c r="A1099" s="0" t="n">
        <v>1098</v>
      </c>
      <c r="B1099" s="18" t="n">
        <v>1619848.69438818</v>
      </c>
      <c r="C1099" s="18" t="n">
        <v>11870313.0887297</v>
      </c>
      <c r="D1099" s="0" t="n">
        <v>1</v>
      </c>
    </row>
    <row r="1100" customFormat="false" ht="15" hidden="false" customHeight="false" outlineLevel="0" collapsed="false">
      <c r="A1100" s="0" t="n">
        <v>1099</v>
      </c>
      <c r="B1100" s="18" t="n">
        <v>3140296.63569736</v>
      </c>
      <c r="C1100" s="18" t="n">
        <v>10694959.6543506</v>
      </c>
      <c r="D1100" s="0" t="n">
        <v>1</v>
      </c>
    </row>
    <row r="1101" customFormat="false" ht="15" hidden="false" customHeight="false" outlineLevel="0" collapsed="false">
      <c r="A1101" s="0" t="n">
        <v>1100</v>
      </c>
      <c r="B1101" s="18" t="n">
        <v>3927086.73253489</v>
      </c>
      <c r="C1101" s="18" t="n">
        <v>39666421.2042111</v>
      </c>
      <c r="D1101" s="0" t="n">
        <v>1</v>
      </c>
    </row>
    <row r="1102" customFormat="false" ht="15" hidden="false" customHeight="false" outlineLevel="0" collapsed="false">
      <c r="A1102" s="0" t="n">
        <v>1101</v>
      </c>
      <c r="B1102" s="18" t="n">
        <v>1047290.90727599</v>
      </c>
      <c r="C1102" s="18" t="n">
        <v>0</v>
      </c>
      <c r="D1102" s="0" t="n">
        <v>0</v>
      </c>
      <c r="E1102" s="19" t="n">
        <v>43.4166666666667</v>
      </c>
    </row>
    <row r="1103" customFormat="false" ht="15" hidden="false" customHeight="false" outlineLevel="0" collapsed="false">
      <c r="A1103" s="0" t="n">
        <v>1102</v>
      </c>
      <c r="B1103" s="18" t="n">
        <v>740624.79139768</v>
      </c>
      <c r="C1103" s="18" t="n">
        <v>0</v>
      </c>
      <c r="D1103" s="0" t="n">
        <v>0</v>
      </c>
      <c r="E1103" s="19" t="n">
        <v>44.0833333333333</v>
      </c>
    </row>
    <row r="1104" customFormat="false" ht="15" hidden="false" customHeight="false" outlineLevel="0" collapsed="false">
      <c r="A1104" s="0" t="n">
        <v>1103</v>
      </c>
      <c r="B1104" s="18" t="n">
        <v>1224684.05347459</v>
      </c>
      <c r="C1104" s="18" t="n">
        <v>1061002.20397283</v>
      </c>
      <c r="D1104" s="0" t="n">
        <v>1</v>
      </c>
    </row>
    <row r="1105" customFormat="false" ht="15" hidden="false" customHeight="false" outlineLevel="0" collapsed="false">
      <c r="A1105" s="0" t="n">
        <v>1104</v>
      </c>
      <c r="B1105" s="18" t="n">
        <v>974762.289807542</v>
      </c>
      <c r="C1105" s="18" t="n">
        <v>0</v>
      </c>
      <c r="D1105" s="0" t="n">
        <v>0</v>
      </c>
      <c r="E1105" s="19" t="n">
        <v>40.0833333333333</v>
      </c>
    </row>
    <row r="1106" customFormat="false" ht="15" hidden="false" customHeight="false" outlineLevel="0" collapsed="false">
      <c r="A1106" s="0" t="n">
        <v>1105</v>
      </c>
      <c r="B1106" s="18" t="n">
        <v>972098.945198219</v>
      </c>
      <c r="C1106" s="18" t="n">
        <v>2587504.21154699</v>
      </c>
      <c r="D1106" s="0" t="n">
        <v>1</v>
      </c>
    </row>
    <row r="1107" customFormat="false" ht="15" hidden="false" customHeight="false" outlineLevel="0" collapsed="false">
      <c r="A1107" s="0" t="n">
        <v>1106</v>
      </c>
      <c r="B1107" s="18" t="n">
        <v>472982.777600102</v>
      </c>
      <c r="C1107" s="18" t="n">
        <v>0</v>
      </c>
      <c r="D1107" s="0" t="n">
        <v>0</v>
      </c>
      <c r="E1107" s="19" t="n">
        <v>33.3333333333333</v>
      </c>
    </row>
    <row r="1108" customFormat="false" ht="15" hidden="false" customHeight="false" outlineLevel="0" collapsed="false">
      <c r="A1108" s="0" t="n">
        <v>1107</v>
      </c>
      <c r="B1108" s="18" t="n">
        <v>511113.191540712</v>
      </c>
      <c r="C1108" s="18" t="n">
        <v>0</v>
      </c>
      <c r="D1108" s="0" t="n">
        <v>0</v>
      </c>
      <c r="E1108" s="19" t="n">
        <v>36.75</v>
      </c>
    </row>
    <row r="1109" customFormat="false" ht="15" hidden="false" customHeight="false" outlineLevel="0" collapsed="false">
      <c r="A1109" s="0" t="n">
        <v>1108</v>
      </c>
      <c r="B1109" s="18" t="n">
        <v>383895.193975413</v>
      </c>
      <c r="C1109" s="18" t="n">
        <v>0</v>
      </c>
      <c r="D1109" s="0" t="n">
        <v>0</v>
      </c>
      <c r="E1109" s="19" t="n">
        <v>30.5833333333333</v>
      </c>
    </row>
    <row r="1110" customFormat="false" ht="15" hidden="false" customHeight="false" outlineLevel="0" collapsed="false">
      <c r="A1110" s="0" t="n">
        <v>1109</v>
      </c>
      <c r="B1110" s="18" t="n">
        <v>4787139.95728989</v>
      </c>
      <c r="C1110" s="18" t="n">
        <v>40850224.6987572</v>
      </c>
      <c r="D1110" s="0" t="n">
        <v>1</v>
      </c>
    </row>
    <row r="1111" customFormat="false" ht="15" hidden="false" customHeight="false" outlineLevel="0" collapsed="false">
      <c r="A1111" s="0" t="n">
        <v>1110</v>
      </c>
      <c r="B1111" s="18" t="n">
        <v>1974717.70941671</v>
      </c>
      <c r="C1111" s="18" t="n">
        <v>10414139.5559293</v>
      </c>
      <c r="D1111" s="0" t="n">
        <v>1</v>
      </c>
    </row>
    <row r="1112" customFormat="false" ht="15" hidden="false" customHeight="false" outlineLevel="0" collapsed="false">
      <c r="A1112" s="0" t="n">
        <v>1111</v>
      </c>
      <c r="B1112" s="18" t="n">
        <v>897001.401637246</v>
      </c>
      <c r="C1112" s="18" t="n">
        <v>0</v>
      </c>
      <c r="D1112" s="0" t="n">
        <v>0</v>
      </c>
      <c r="E1112" s="19" t="n">
        <v>39.5</v>
      </c>
    </row>
    <row r="1113" customFormat="false" ht="15" hidden="false" customHeight="false" outlineLevel="0" collapsed="false">
      <c r="A1113" s="0" t="n">
        <v>1112</v>
      </c>
      <c r="B1113" s="18" t="n">
        <v>571810.894961889</v>
      </c>
      <c r="C1113" s="18" t="n">
        <v>0</v>
      </c>
      <c r="D1113" s="0" t="n">
        <v>0</v>
      </c>
      <c r="E1113" s="19" t="n">
        <v>32.0833333333333</v>
      </c>
    </row>
    <row r="1114" customFormat="false" ht="15" hidden="false" customHeight="false" outlineLevel="0" collapsed="false">
      <c r="A1114" s="0" t="n">
        <v>1113</v>
      </c>
      <c r="B1114" s="18" t="n">
        <v>666422.505082</v>
      </c>
      <c r="C1114" s="18" t="n">
        <v>0</v>
      </c>
      <c r="D1114" s="0" t="n">
        <v>0</v>
      </c>
      <c r="E1114" s="19" t="n">
        <v>37.75</v>
      </c>
    </row>
    <row r="1115" customFormat="false" ht="15" hidden="false" customHeight="false" outlineLevel="0" collapsed="false">
      <c r="A1115" s="0" t="n">
        <v>1114</v>
      </c>
      <c r="B1115" s="18" t="n">
        <v>568535.342170755</v>
      </c>
      <c r="C1115" s="18" t="n">
        <v>0</v>
      </c>
      <c r="D1115" s="0" t="n">
        <v>0</v>
      </c>
      <c r="E1115" s="19" t="n">
        <v>33.6666666666667</v>
      </c>
    </row>
    <row r="1116" customFormat="false" ht="15" hidden="false" customHeight="false" outlineLevel="0" collapsed="false">
      <c r="A1116" s="0" t="n">
        <v>1115</v>
      </c>
      <c r="B1116" s="18" t="n">
        <v>894432.532288274</v>
      </c>
      <c r="C1116" s="18" t="n">
        <v>0</v>
      </c>
      <c r="D1116" s="0" t="n">
        <v>0</v>
      </c>
      <c r="E1116" s="19" t="n">
        <v>36.6666666666667</v>
      </c>
    </row>
    <row r="1117" customFormat="false" ht="15" hidden="false" customHeight="false" outlineLevel="0" collapsed="false">
      <c r="A1117" s="0" t="n">
        <v>1116</v>
      </c>
      <c r="B1117" s="18" t="n">
        <v>743280.098746603</v>
      </c>
      <c r="C1117" s="18" t="n">
        <v>0</v>
      </c>
      <c r="D1117" s="0" t="n">
        <v>0</v>
      </c>
      <c r="E1117" s="19" t="n">
        <v>41.1666666666667</v>
      </c>
    </row>
    <row r="1118" customFormat="false" ht="15" hidden="false" customHeight="false" outlineLevel="0" collapsed="false">
      <c r="A1118" s="0" t="n">
        <v>1117</v>
      </c>
      <c r="B1118" s="18" t="n">
        <v>645675.591335627</v>
      </c>
      <c r="C1118" s="18" t="n">
        <v>0</v>
      </c>
      <c r="D1118" s="0" t="n">
        <v>0</v>
      </c>
      <c r="E1118" s="19" t="n">
        <v>38.8333333333333</v>
      </c>
    </row>
    <row r="1119" customFormat="false" ht="15" hidden="false" customHeight="false" outlineLevel="0" collapsed="false">
      <c r="A1119" s="0" t="n">
        <v>1118</v>
      </c>
      <c r="B1119" s="18" t="n">
        <v>4509565.48829946</v>
      </c>
      <c r="C1119" s="18" t="n">
        <v>8022584.9325491</v>
      </c>
      <c r="D1119" s="0" t="n">
        <v>1</v>
      </c>
    </row>
    <row r="1120" customFormat="false" ht="15" hidden="false" customHeight="false" outlineLevel="0" collapsed="false">
      <c r="A1120" s="0" t="n">
        <v>1119</v>
      </c>
      <c r="B1120" s="18" t="n">
        <v>566940.634148534</v>
      </c>
      <c r="C1120" s="18" t="n">
        <v>0</v>
      </c>
      <c r="D1120" s="0" t="n">
        <v>0</v>
      </c>
      <c r="E1120" s="19" t="n">
        <v>42.9166666666667</v>
      </c>
    </row>
    <row r="1121" customFormat="false" ht="15" hidden="false" customHeight="false" outlineLevel="0" collapsed="false">
      <c r="A1121" s="0" t="n">
        <v>1120</v>
      </c>
      <c r="B1121" s="18" t="n">
        <v>1331567.29347566</v>
      </c>
      <c r="C1121" s="18" t="n">
        <v>912971.843287492</v>
      </c>
      <c r="D1121" s="0" t="n">
        <v>1</v>
      </c>
    </row>
    <row r="1122" customFormat="false" ht="15" hidden="false" customHeight="false" outlineLevel="0" collapsed="false">
      <c r="A1122" s="0" t="n">
        <v>1121</v>
      </c>
      <c r="B1122" s="18" t="n">
        <v>770733.009077094</v>
      </c>
      <c r="C1122" s="18" t="n">
        <v>4209559.66755664</v>
      </c>
      <c r="D1122" s="0" t="n">
        <v>1</v>
      </c>
    </row>
    <row r="1123" customFormat="false" ht="15" hidden="false" customHeight="false" outlineLevel="0" collapsed="false">
      <c r="A1123" s="0" t="n">
        <v>1122</v>
      </c>
      <c r="B1123" s="18" t="n">
        <v>766689.31666438</v>
      </c>
      <c r="C1123" s="18" t="n">
        <v>0</v>
      </c>
      <c r="D1123" s="0" t="n">
        <v>0</v>
      </c>
      <c r="E1123" s="19" t="n">
        <v>37.5</v>
      </c>
    </row>
    <row r="1124" customFormat="false" ht="15" hidden="false" customHeight="false" outlineLevel="0" collapsed="false">
      <c r="A1124" s="0" t="n">
        <v>1123</v>
      </c>
      <c r="B1124" s="18" t="n">
        <v>1066968.58376634</v>
      </c>
      <c r="C1124" s="18" t="n">
        <v>0</v>
      </c>
      <c r="D1124" s="0" t="n">
        <v>0</v>
      </c>
      <c r="E1124" s="19" t="n">
        <v>44.1666666666667</v>
      </c>
    </row>
    <row r="1125" customFormat="false" ht="15" hidden="false" customHeight="false" outlineLevel="0" collapsed="false">
      <c r="A1125" s="0" t="n">
        <v>1124</v>
      </c>
      <c r="B1125" s="18" t="n">
        <v>701176.373058917</v>
      </c>
      <c r="C1125" s="18" t="n">
        <v>0</v>
      </c>
      <c r="D1125" s="0" t="n">
        <v>0</v>
      </c>
      <c r="E1125" s="19" t="n">
        <v>33.9166666666667</v>
      </c>
    </row>
    <row r="1126" customFormat="false" ht="15" hidden="false" customHeight="false" outlineLevel="0" collapsed="false">
      <c r="A1126" s="0" t="n">
        <v>1125</v>
      </c>
      <c r="B1126" s="18" t="n">
        <v>506661.408813978</v>
      </c>
      <c r="C1126" s="18" t="n">
        <v>0</v>
      </c>
      <c r="D1126" s="0" t="n">
        <v>0</v>
      </c>
      <c r="E1126" s="19" t="n">
        <v>36.9166666666667</v>
      </c>
    </row>
    <row r="1127" customFormat="false" ht="15" hidden="false" customHeight="false" outlineLevel="0" collapsed="false">
      <c r="A1127" s="0" t="n">
        <v>1126</v>
      </c>
      <c r="B1127" s="18" t="n">
        <v>1618184.57651823</v>
      </c>
      <c r="C1127" s="18" t="n">
        <v>23183056.6048642</v>
      </c>
      <c r="D1127" s="0" t="n">
        <v>1</v>
      </c>
    </row>
    <row r="1128" customFormat="false" ht="15" hidden="false" customHeight="false" outlineLevel="0" collapsed="false">
      <c r="A1128" s="0" t="n">
        <v>1127</v>
      </c>
      <c r="B1128" s="18" t="n">
        <v>428202.323816944</v>
      </c>
      <c r="C1128" s="18" t="n">
        <v>0</v>
      </c>
      <c r="D1128" s="0" t="n">
        <v>0</v>
      </c>
      <c r="E1128" s="19" t="n">
        <v>36.75</v>
      </c>
    </row>
    <row r="1129" customFormat="false" ht="15" hidden="false" customHeight="false" outlineLevel="0" collapsed="false">
      <c r="A1129" s="0" t="n">
        <v>1128</v>
      </c>
      <c r="B1129" s="18" t="n">
        <v>1177096.55874917</v>
      </c>
      <c r="C1129" s="18" t="n">
        <v>0</v>
      </c>
      <c r="D1129" s="0" t="n">
        <v>0</v>
      </c>
      <c r="E1129" s="19" t="n">
        <v>54.3333333333333</v>
      </c>
    </row>
    <row r="1130" customFormat="false" ht="15" hidden="false" customHeight="false" outlineLevel="0" collapsed="false">
      <c r="A1130" s="0" t="n">
        <v>1129</v>
      </c>
      <c r="B1130" s="18" t="n">
        <v>271812.769498682</v>
      </c>
      <c r="C1130" s="18" t="n">
        <v>0</v>
      </c>
      <c r="D1130" s="0" t="n">
        <v>0</v>
      </c>
      <c r="E1130" s="19" t="n">
        <v>32.4166666666667</v>
      </c>
    </row>
    <row r="1131" customFormat="false" ht="15" hidden="false" customHeight="false" outlineLevel="0" collapsed="false">
      <c r="A1131" s="0" t="n">
        <v>1130</v>
      </c>
      <c r="B1131" s="18" t="n">
        <v>2322985.3003787</v>
      </c>
      <c r="C1131" s="18" t="n">
        <v>5320542.23592561</v>
      </c>
      <c r="D1131" s="0" t="n">
        <v>1</v>
      </c>
    </row>
    <row r="1132" customFormat="false" ht="15" hidden="false" customHeight="false" outlineLevel="0" collapsed="false">
      <c r="A1132" s="0" t="n">
        <v>1131</v>
      </c>
      <c r="B1132" s="18" t="n">
        <v>842050.671975294</v>
      </c>
      <c r="C1132" s="18" t="n">
        <v>1567473.77972162</v>
      </c>
      <c r="D1132" s="0" t="n">
        <v>1</v>
      </c>
    </row>
    <row r="1133" customFormat="false" ht="15" hidden="false" customHeight="false" outlineLevel="0" collapsed="false">
      <c r="A1133" s="0" t="n">
        <v>1132</v>
      </c>
      <c r="B1133" s="18" t="n">
        <v>423063.432615186</v>
      </c>
      <c r="C1133" s="18" t="n">
        <v>0</v>
      </c>
      <c r="D1133" s="0" t="n">
        <v>0</v>
      </c>
      <c r="E1133" s="19" t="n">
        <v>34.6666666666667</v>
      </c>
    </row>
    <row r="1134" customFormat="false" ht="15" hidden="false" customHeight="false" outlineLevel="0" collapsed="false">
      <c r="A1134" s="0" t="n">
        <v>1133</v>
      </c>
      <c r="B1134" s="18" t="n">
        <v>1633416.05713861</v>
      </c>
      <c r="C1134" s="18" t="n">
        <v>385333.426068472</v>
      </c>
      <c r="D1134" s="0" t="n">
        <v>1</v>
      </c>
    </row>
    <row r="1135" customFormat="false" ht="15" hidden="false" customHeight="false" outlineLevel="0" collapsed="false">
      <c r="A1135" s="0" t="n">
        <v>1134</v>
      </c>
      <c r="B1135" s="18" t="n">
        <v>896145.337089718</v>
      </c>
      <c r="C1135" s="18" t="n">
        <v>0</v>
      </c>
      <c r="D1135" s="0" t="n">
        <v>0</v>
      </c>
      <c r="E1135" s="19" t="n">
        <v>52.9166666666667</v>
      </c>
    </row>
    <row r="1136" customFormat="false" ht="15" hidden="false" customHeight="false" outlineLevel="0" collapsed="false">
      <c r="A1136" s="0" t="n">
        <v>1135</v>
      </c>
      <c r="B1136" s="18" t="n">
        <v>593979.589837959</v>
      </c>
      <c r="C1136" s="18" t="n">
        <v>0</v>
      </c>
      <c r="D1136" s="0" t="n">
        <v>0</v>
      </c>
      <c r="E1136" s="19" t="n">
        <v>41.5833333333333</v>
      </c>
    </row>
    <row r="1137" customFormat="false" ht="15" hidden="false" customHeight="false" outlineLevel="0" collapsed="false">
      <c r="A1137" s="0" t="n">
        <v>1136</v>
      </c>
      <c r="B1137" s="18" t="n">
        <v>1785138.80817669</v>
      </c>
      <c r="C1137" s="18" t="n">
        <v>6930571.35489842</v>
      </c>
      <c r="D1137" s="0" t="n">
        <v>1</v>
      </c>
    </row>
    <row r="1138" customFormat="false" ht="15" hidden="false" customHeight="false" outlineLevel="0" collapsed="false">
      <c r="A1138" s="0" t="n">
        <v>1137</v>
      </c>
      <c r="B1138" s="18" t="n">
        <v>1347816.79848447</v>
      </c>
      <c r="C1138" s="18" t="n">
        <v>0</v>
      </c>
      <c r="D1138" s="0" t="n">
        <v>0</v>
      </c>
      <c r="E1138" s="19" t="n">
        <v>40.5</v>
      </c>
    </row>
    <row r="1139" customFormat="false" ht="15" hidden="false" customHeight="false" outlineLevel="0" collapsed="false">
      <c r="A1139" s="0" t="n">
        <v>1138</v>
      </c>
      <c r="B1139" s="18" t="n">
        <v>539972.798148978</v>
      </c>
      <c r="C1139" s="18" t="n">
        <v>0</v>
      </c>
      <c r="D1139" s="0" t="n">
        <v>0</v>
      </c>
      <c r="E1139" s="19" t="n">
        <v>38.1666666666667</v>
      </c>
    </row>
    <row r="1140" customFormat="false" ht="15" hidden="false" customHeight="false" outlineLevel="0" collapsed="false">
      <c r="A1140" s="0" t="n">
        <v>1139</v>
      </c>
      <c r="B1140" s="18" t="n">
        <v>893181.186401793</v>
      </c>
      <c r="C1140" s="18" t="n">
        <v>0</v>
      </c>
      <c r="D1140" s="0" t="n">
        <v>0</v>
      </c>
      <c r="E1140" s="19" t="n">
        <v>45.25</v>
      </c>
    </row>
    <row r="1141" customFormat="false" ht="15" hidden="false" customHeight="false" outlineLevel="0" collapsed="false">
      <c r="A1141" s="0" t="n">
        <v>1140</v>
      </c>
      <c r="B1141" s="18" t="n">
        <v>555959.957590054</v>
      </c>
      <c r="C1141" s="18" t="n">
        <v>0</v>
      </c>
      <c r="D1141" s="0" t="n">
        <v>0</v>
      </c>
      <c r="E1141" s="19" t="n">
        <v>35.3333333333333</v>
      </c>
    </row>
    <row r="1142" customFormat="false" ht="15" hidden="false" customHeight="false" outlineLevel="0" collapsed="false">
      <c r="A1142" s="0" t="n">
        <v>1141</v>
      </c>
      <c r="B1142" s="18" t="n">
        <v>916431.056877146</v>
      </c>
      <c r="C1142" s="18" t="n">
        <v>0</v>
      </c>
      <c r="D1142" s="0" t="n">
        <v>0</v>
      </c>
      <c r="E1142" s="19" t="n">
        <v>40.9166666666667</v>
      </c>
    </row>
    <row r="1143" customFormat="false" ht="15" hidden="false" customHeight="false" outlineLevel="0" collapsed="false">
      <c r="A1143" s="0" t="n">
        <v>1142</v>
      </c>
      <c r="B1143" s="18" t="n">
        <v>452447.603539776</v>
      </c>
      <c r="C1143" s="18" t="n">
        <v>0</v>
      </c>
      <c r="D1143" s="0" t="n">
        <v>0</v>
      </c>
      <c r="E1143" s="19" t="n">
        <v>35.25</v>
      </c>
    </row>
    <row r="1144" customFormat="false" ht="15" hidden="false" customHeight="false" outlineLevel="0" collapsed="false">
      <c r="A1144" s="0" t="n">
        <v>1143</v>
      </c>
      <c r="B1144" s="18" t="n">
        <v>949042.962913567</v>
      </c>
      <c r="C1144" s="18" t="n">
        <v>0</v>
      </c>
      <c r="D1144" s="0" t="n">
        <v>0</v>
      </c>
      <c r="E1144" s="19" t="n">
        <v>46.6666666666667</v>
      </c>
    </row>
    <row r="1145" customFormat="false" ht="15" hidden="false" customHeight="false" outlineLevel="0" collapsed="false">
      <c r="A1145" s="0" t="n">
        <v>1144</v>
      </c>
      <c r="B1145" s="18" t="n">
        <v>1458137.0347729</v>
      </c>
      <c r="C1145" s="18" t="n">
        <v>0</v>
      </c>
      <c r="D1145" s="0" t="n">
        <v>0</v>
      </c>
      <c r="E1145" s="19" t="n">
        <v>51.5</v>
      </c>
    </row>
    <row r="1146" customFormat="false" ht="15" hidden="false" customHeight="false" outlineLevel="0" collapsed="false">
      <c r="A1146" s="0" t="n">
        <v>1145</v>
      </c>
      <c r="B1146" s="18" t="n">
        <v>1479861.87289866</v>
      </c>
      <c r="C1146" s="18" t="n">
        <v>2700201.24305479</v>
      </c>
      <c r="D1146" s="0" t="n">
        <v>1</v>
      </c>
    </row>
    <row r="1147" customFormat="false" ht="15" hidden="false" customHeight="false" outlineLevel="0" collapsed="false">
      <c r="A1147" s="0" t="n">
        <v>1146</v>
      </c>
      <c r="B1147" s="18" t="n">
        <v>846623.999448858</v>
      </c>
      <c r="C1147" s="18" t="n">
        <v>0</v>
      </c>
      <c r="D1147" s="0" t="n">
        <v>0</v>
      </c>
      <c r="E1147" s="19" t="n">
        <v>40.4166666666667</v>
      </c>
    </row>
    <row r="1148" customFormat="false" ht="15" hidden="false" customHeight="false" outlineLevel="0" collapsed="false">
      <c r="A1148" s="0" t="n">
        <v>1147</v>
      </c>
      <c r="B1148" s="18" t="n">
        <v>1480197.14520262</v>
      </c>
      <c r="C1148" s="18" t="n">
        <v>0</v>
      </c>
      <c r="D1148" s="0" t="n">
        <v>0</v>
      </c>
      <c r="E1148" s="19" t="n">
        <v>44.4166666666667</v>
      </c>
    </row>
    <row r="1149" customFormat="false" ht="15" hidden="false" customHeight="false" outlineLevel="0" collapsed="false">
      <c r="A1149" s="0" t="n">
        <v>1148</v>
      </c>
      <c r="B1149" s="18" t="n">
        <v>690016.571437803</v>
      </c>
      <c r="C1149" s="18" t="n">
        <v>0</v>
      </c>
      <c r="D1149" s="0" t="n">
        <v>0</v>
      </c>
      <c r="E1149" s="19" t="n">
        <v>34.0833333333333</v>
      </c>
    </row>
    <row r="1150" customFormat="false" ht="15" hidden="false" customHeight="false" outlineLevel="0" collapsed="false">
      <c r="A1150" s="0" t="n">
        <v>1149</v>
      </c>
      <c r="B1150" s="18" t="n">
        <v>1980382.93164843</v>
      </c>
      <c r="C1150" s="18" t="n">
        <v>2945346.73613868</v>
      </c>
      <c r="D1150" s="0" t="n">
        <v>1</v>
      </c>
    </row>
    <row r="1151" customFormat="false" ht="15" hidden="false" customHeight="false" outlineLevel="0" collapsed="false">
      <c r="A1151" s="0" t="n">
        <v>1150</v>
      </c>
      <c r="B1151" s="18" t="n">
        <v>2264607.00465183</v>
      </c>
      <c r="C1151" s="18" t="n">
        <v>1943365.22201174</v>
      </c>
      <c r="D1151" s="0" t="n">
        <v>1</v>
      </c>
    </row>
    <row r="1152" customFormat="false" ht="15" hidden="false" customHeight="false" outlineLevel="0" collapsed="false">
      <c r="A1152" s="0" t="n">
        <v>1151</v>
      </c>
      <c r="B1152" s="18" t="n">
        <v>1522211.84227208</v>
      </c>
      <c r="C1152" s="18" t="n">
        <v>0</v>
      </c>
      <c r="D1152" s="0" t="n">
        <v>0</v>
      </c>
      <c r="E1152" s="19" t="n">
        <v>44.25</v>
      </c>
    </row>
    <row r="1153" customFormat="false" ht="15" hidden="false" customHeight="false" outlineLevel="0" collapsed="false">
      <c r="A1153" s="0" t="n">
        <v>1152</v>
      </c>
      <c r="B1153" s="18" t="n">
        <v>902591.355288276</v>
      </c>
      <c r="C1153" s="18" t="n">
        <v>0</v>
      </c>
      <c r="D1153" s="0" t="n">
        <v>0</v>
      </c>
      <c r="E1153" s="19" t="n">
        <v>53.0833333333333</v>
      </c>
    </row>
    <row r="1154" customFormat="false" ht="15" hidden="false" customHeight="false" outlineLevel="0" collapsed="false">
      <c r="A1154" s="0" t="n">
        <v>1153</v>
      </c>
      <c r="B1154" s="18" t="n">
        <v>3569220.97268725</v>
      </c>
      <c r="C1154" s="18" t="n">
        <v>41625343.6259065</v>
      </c>
      <c r="D1154" s="0" t="n">
        <v>1</v>
      </c>
    </row>
    <row r="1155" customFormat="false" ht="15" hidden="false" customHeight="false" outlineLevel="0" collapsed="false">
      <c r="A1155" s="0" t="n">
        <v>1154</v>
      </c>
      <c r="B1155" s="18" t="n">
        <v>503746.042294298</v>
      </c>
      <c r="C1155" s="18" t="n">
        <v>0</v>
      </c>
      <c r="D1155" s="0" t="n">
        <v>0</v>
      </c>
      <c r="E1155" s="19" t="n">
        <v>36.25</v>
      </c>
    </row>
    <row r="1156" customFormat="false" ht="15" hidden="false" customHeight="false" outlineLevel="0" collapsed="false">
      <c r="A1156" s="0" t="n">
        <v>1155</v>
      </c>
      <c r="B1156" s="18" t="n">
        <v>1251515.27818513</v>
      </c>
      <c r="C1156" s="18" t="n">
        <v>0</v>
      </c>
      <c r="D1156" s="0" t="n">
        <v>0</v>
      </c>
      <c r="E1156" s="19" t="n">
        <v>38.8333333333333</v>
      </c>
    </row>
    <row r="1157" customFormat="false" ht="15" hidden="false" customHeight="false" outlineLevel="0" collapsed="false">
      <c r="A1157" s="0" t="n">
        <v>1156</v>
      </c>
      <c r="B1157" s="18" t="n">
        <v>3205316.95448172</v>
      </c>
      <c r="C1157" s="18" t="n">
        <v>9887739.49647626</v>
      </c>
      <c r="D1157" s="0" t="n">
        <v>1</v>
      </c>
    </row>
    <row r="1158" customFormat="false" ht="15" hidden="false" customHeight="false" outlineLevel="0" collapsed="false">
      <c r="A1158" s="0" t="n">
        <v>1157</v>
      </c>
      <c r="B1158" s="18" t="n">
        <v>1160620.10488195</v>
      </c>
      <c r="C1158" s="18" t="n">
        <v>0</v>
      </c>
      <c r="D1158" s="0" t="n">
        <v>0</v>
      </c>
      <c r="E1158" s="19" t="n">
        <v>43.1666666666667</v>
      </c>
    </row>
    <row r="1159" customFormat="false" ht="15" hidden="false" customHeight="false" outlineLevel="0" collapsed="false">
      <c r="A1159" s="0" t="n">
        <v>1158</v>
      </c>
      <c r="B1159" s="18" t="n">
        <v>613647.238338785</v>
      </c>
      <c r="C1159" s="18" t="n">
        <v>0</v>
      </c>
      <c r="D1159" s="0" t="n">
        <v>0</v>
      </c>
      <c r="E1159" s="19" t="n">
        <v>51.6666666666667</v>
      </c>
    </row>
    <row r="1160" customFormat="false" ht="15" hidden="false" customHeight="false" outlineLevel="0" collapsed="false">
      <c r="A1160" s="0" t="n">
        <v>1159</v>
      </c>
      <c r="B1160" s="18" t="n">
        <v>992183.49992236</v>
      </c>
      <c r="C1160" s="18" t="n">
        <v>0</v>
      </c>
      <c r="D1160" s="0" t="n">
        <v>0</v>
      </c>
      <c r="E1160" s="19" t="n">
        <v>53.3333333333333</v>
      </c>
    </row>
    <row r="1161" customFormat="false" ht="15" hidden="false" customHeight="false" outlineLevel="0" collapsed="false">
      <c r="A1161" s="0" t="n">
        <v>1160</v>
      </c>
      <c r="B1161" s="18" t="n">
        <v>3581686.65433362</v>
      </c>
      <c r="C1161" s="18" t="n">
        <v>20773093.6896829</v>
      </c>
      <c r="D1161" s="0" t="n">
        <v>1</v>
      </c>
    </row>
    <row r="1162" customFormat="false" ht="15" hidden="false" customHeight="false" outlineLevel="0" collapsed="false">
      <c r="A1162" s="0" t="n">
        <v>1161</v>
      </c>
      <c r="B1162" s="18" t="n">
        <v>451859.470571785</v>
      </c>
      <c r="C1162" s="18" t="n">
        <v>0</v>
      </c>
      <c r="D1162" s="0" t="n">
        <v>0</v>
      </c>
      <c r="E1162" s="19" t="n">
        <v>34.6666666666667</v>
      </c>
    </row>
    <row r="1163" customFormat="false" ht="15" hidden="false" customHeight="false" outlineLevel="0" collapsed="false">
      <c r="A1163" s="0" t="n">
        <v>1162</v>
      </c>
      <c r="B1163" s="18" t="n">
        <v>865689.967862797</v>
      </c>
      <c r="C1163" s="18" t="n">
        <v>629079.623443233</v>
      </c>
      <c r="D1163" s="0" t="n">
        <v>1</v>
      </c>
    </row>
    <row r="1164" customFormat="false" ht="15" hidden="false" customHeight="false" outlineLevel="0" collapsed="false">
      <c r="A1164" s="0" t="n">
        <v>1163</v>
      </c>
      <c r="B1164" s="18" t="n">
        <v>416008.188378217</v>
      </c>
      <c r="C1164" s="18" t="n">
        <v>0</v>
      </c>
      <c r="D1164" s="0" t="n">
        <v>0</v>
      </c>
      <c r="E1164" s="19" t="n">
        <v>46.8333333333333</v>
      </c>
    </row>
    <row r="1165" customFormat="false" ht="15" hidden="false" customHeight="false" outlineLevel="0" collapsed="false">
      <c r="A1165" s="0" t="n">
        <v>1164</v>
      </c>
      <c r="B1165" s="18" t="n">
        <v>2029769.72826927</v>
      </c>
      <c r="C1165" s="18" t="n">
        <v>7354613.44648936</v>
      </c>
      <c r="D1165" s="0" t="n">
        <v>1</v>
      </c>
    </row>
    <row r="1166" customFormat="false" ht="15" hidden="false" customHeight="false" outlineLevel="0" collapsed="false">
      <c r="A1166" s="0" t="n">
        <v>1165</v>
      </c>
      <c r="B1166" s="18" t="n">
        <v>2475908.40311363</v>
      </c>
      <c r="C1166" s="18" t="n">
        <v>26311195.7636772</v>
      </c>
      <c r="D1166" s="0" t="n">
        <v>1</v>
      </c>
    </row>
    <row r="1167" customFormat="false" ht="15" hidden="false" customHeight="false" outlineLevel="0" collapsed="false">
      <c r="A1167" s="0" t="n">
        <v>1166</v>
      </c>
      <c r="B1167" s="18" t="n">
        <v>349889.126459116</v>
      </c>
      <c r="C1167" s="18" t="n">
        <v>0</v>
      </c>
      <c r="D1167" s="0" t="n">
        <v>0</v>
      </c>
      <c r="E1167" s="19" t="n">
        <v>30.0833333333333</v>
      </c>
    </row>
    <row r="1168" customFormat="false" ht="15" hidden="false" customHeight="false" outlineLevel="0" collapsed="false">
      <c r="A1168" s="0" t="n">
        <v>1167</v>
      </c>
      <c r="B1168" s="18" t="n">
        <v>1215979.62899075</v>
      </c>
      <c r="C1168" s="18" t="n">
        <v>0</v>
      </c>
      <c r="D1168" s="0" t="n">
        <v>0</v>
      </c>
      <c r="E1168" s="19" t="n">
        <v>54.6666666666667</v>
      </c>
    </row>
    <row r="1169" customFormat="false" ht="15" hidden="false" customHeight="false" outlineLevel="0" collapsed="false">
      <c r="A1169" s="0" t="n">
        <v>1168</v>
      </c>
      <c r="B1169" s="18" t="n">
        <v>452467.124649072</v>
      </c>
      <c r="C1169" s="18" t="n">
        <v>0</v>
      </c>
      <c r="D1169" s="0" t="n">
        <v>0</v>
      </c>
      <c r="E1169" s="19" t="n">
        <v>32.0833333333333</v>
      </c>
    </row>
    <row r="1170" customFormat="false" ht="15" hidden="false" customHeight="false" outlineLevel="0" collapsed="false">
      <c r="A1170" s="0" t="n">
        <v>1169</v>
      </c>
      <c r="B1170" s="18" t="n">
        <v>422328.41949061</v>
      </c>
      <c r="C1170" s="18" t="n">
        <v>0</v>
      </c>
      <c r="D1170" s="0" t="n">
        <v>0</v>
      </c>
      <c r="E1170" s="19" t="n">
        <v>32.6666666666667</v>
      </c>
    </row>
    <row r="1171" customFormat="false" ht="15" hidden="false" customHeight="false" outlineLevel="0" collapsed="false">
      <c r="A1171" s="0" t="n">
        <v>1170</v>
      </c>
      <c r="B1171" s="18" t="n">
        <v>621852.268132521</v>
      </c>
      <c r="C1171" s="18" t="n">
        <v>0</v>
      </c>
      <c r="D1171" s="0" t="n">
        <v>0</v>
      </c>
      <c r="E1171" s="19" t="n">
        <v>38.5833333333333</v>
      </c>
    </row>
    <row r="1172" customFormat="false" ht="15" hidden="false" customHeight="false" outlineLevel="0" collapsed="false">
      <c r="A1172" s="0" t="n">
        <v>1171</v>
      </c>
      <c r="B1172" s="18" t="n">
        <v>526714.709673474</v>
      </c>
      <c r="C1172" s="18" t="n">
        <v>0</v>
      </c>
      <c r="D1172" s="0" t="n">
        <v>0</v>
      </c>
      <c r="E1172" s="19" t="n">
        <v>36.5833333333333</v>
      </c>
    </row>
    <row r="1173" customFormat="false" ht="15" hidden="false" customHeight="false" outlineLevel="0" collapsed="false">
      <c r="A1173" s="0" t="n">
        <v>1172</v>
      </c>
      <c r="B1173" s="18" t="n">
        <v>1247787.22749348</v>
      </c>
      <c r="C1173" s="18" t="n">
        <v>2426532.5828841</v>
      </c>
      <c r="D1173" s="0" t="n">
        <v>1</v>
      </c>
    </row>
    <row r="1174" customFormat="false" ht="15" hidden="false" customHeight="false" outlineLevel="0" collapsed="false">
      <c r="A1174" s="0" t="n">
        <v>1173</v>
      </c>
      <c r="B1174" s="18" t="n">
        <v>1508225.17315722</v>
      </c>
      <c r="C1174" s="18" t="n">
        <v>21637851.2296479</v>
      </c>
      <c r="D1174" s="0" t="n">
        <v>1</v>
      </c>
    </row>
    <row r="1175" customFormat="false" ht="15" hidden="false" customHeight="false" outlineLevel="0" collapsed="false">
      <c r="A1175" s="0" t="n">
        <v>1174</v>
      </c>
      <c r="B1175" s="18" t="n">
        <v>739643.601590633</v>
      </c>
      <c r="C1175" s="18" t="n">
        <v>0</v>
      </c>
      <c r="D1175" s="0" t="n">
        <v>0</v>
      </c>
      <c r="E1175" s="19" t="n">
        <v>40.0833333333333</v>
      </c>
    </row>
    <row r="1176" customFormat="false" ht="15" hidden="false" customHeight="false" outlineLevel="0" collapsed="false">
      <c r="A1176" s="0" t="n">
        <v>1175</v>
      </c>
      <c r="B1176" s="18" t="n">
        <v>2124215.96939724</v>
      </c>
      <c r="C1176" s="18" t="n">
        <v>11014574.8616625</v>
      </c>
      <c r="D1176" s="0" t="n">
        <v>1</v>
      </c>
    </row>
    <row r="1177" customFormat="false" ht="15" hidden="false" customHeight="false" outlineLevel="0" collapsed="false">
      <c r="A1177" s="0" t="n">
        <v>1176</v>
      </c>
      <c r="B1177" s="18" t="n">
        <v>1142770.59717637</v>
      </c>
      <c r="C1177" s="18" t="n">
        <v>0</v>
      </c>
      <c r="D1177" s="0" t="n">
        <v>0</v>
      </c>
      <c r="E1177" s="19" t="n">
        <v>44.5833333333333</v>
      </c>
    </row>
    <row r="1178" customFormat="false" ht="15" hidden="false" customHeight="false" outlineLevel="0" collapsed="false">
      <c r="A1178" s="0" t="n">
        <v>1177</v>
      </c>
      <c r="B1178" s="18" t="n">
        <v>2802304.18676171</v>
      </c>
      <c r="C1178" s="18" t="n">
        <v>1199497.8002765</v>
      </c>
      <c r="D1178" s="0" t="n">
        <v>1</v>
      </c>
    </row>
    <row r="1179" customFormat="false" ht="15" hidden="false" customHeight="false" outlineLevel="0" collapsed="false">
      <c r="A1179" s="0" t="n">
        <v>1178</v>
      </c>
      <c r="B1179" s="18" t="n">
        <v>588696.354220725</v>
      </c>
      <c r="C1179" s="18" t="n">
        <v>0</v>
      </c>
      <c r="D1179" s="0" t="n">
        <v>0</v>
      </c>
      <c r="E1179" s="19" t="n">
        <v>41.25</v>
      </c>
    </row>
    <row r="1180" customFormat="false" ht="15" hidden="false" customHeight="false" outlineLevel="0" collapsed="false">
      <c r="A1180" s="0" t="n">
        <v>1179</v>
      </c>
      <c r="B1180" s="18" t="n">
        <v>1042247.35465178</v>
      </c>
      <c r="C1180" s="18" t="n">
        <v>9229.0150600509</v>
      </c>
      <c r="D1180" s="0" t="n">
        <v>1</v>
      </c>
    </row>
    <row r="1181" customFormat="false" ht="15" hidden="false" customHeight="false" outlineLevel="0" collapsed="false">
      <c r="A1181" s="0" t="n">
        <v>1180</v>
      </c>
      <c r="B1181" s="18" t="n">
        <v>747857.266868948</v>
      </c>
      <c r="C1181" s="18" t="n">
        <v>0</v>
      </c>
      <c r="D1181" s="0" t="n">
        <v>0</v>
      </c>
      <c r="E1181" s="19" t="n">
        <v>36</v>
      </c>
    </row>
    <row r="1182" customFormat="false" ht="15" hidden="false" customHeight="false" outlineLevel="0" collapsed="false">
      <c r="A1182" s="0" t="n">
        <v>1181</v>
      </c>
      <c r="B1182" s="18" t="n">
        <v>1540236.56193381</v>
      </c>
      <c r="C1182" s="18" t="n">
        <v>0</v>
      </c>
      <c r="D1182" s="0" t="n">
        <v>0</v>
      </c>
      <c r="E1182" s="19" t="n">
        <v>46.5833333333333</v>
      </c>
    </row>
    <row r="1183" customFormat="false" ht="15" hidden="false" customHeight="false" outlineLevel="0" collapsed="false">
      <c r="A1183" s="0" t="n">
        <v>1182</v>
      </c>
      <c r="B1183" s="18" t="n">
        <v>1995845.81582648</v>
      </c>
      <c r="C1183" s="18" t="n">
        <v>8004652.83365761</v>
      </c>
      <c r="D1183" s="0" t="n">
        <v>1</v>
      </c>
    </row>
    <row r="1184" customFormat="false" ht="15" hidden="false" customHeight="false" outlineLevel="0" collapsed="false">
      <c r="A1184" s="0" t="n">
        <v>1183</v>
      </c>
      <c r="B1184" s="18" t="n">
        <v>1838648.89082414</v>
      </c>
      <c r="C1184" s="18" t="n">
        <v>0</v>
      </c>
      <c r="D1184" s="0" t="n">
        <v>0</v>
      </c>
      <c r="E1184" s="19" t="n">
        <v>48.8333333333333</v>
      </c>
    </row>
    <row r="1185" customFormat="false" ht="15" hidden="false" customHeight="false" outlineLevel="0" collapsed="false">
      <c r="A1185" s="0" t="n">
        <v>1184</v>
      </c>
      <c r="B1185" s="18" t="n">
        <v>1105025.60463765</v>
      </c>
      <c r="C1185" s="18" t="n">
        <v>23778484.8986059</v>
      </c>
      <c r="D1185" s="0" t="n">
        <v>1</v>
      </c>
    </row>
    <row r="1186" customFormat="false" ht="15" hidden="false" customHeight="false" outlineLevel="0" collapsed="false">
      <c r="A1186" s="0" t="n">
        <v>1185</v>
      </c>
      <c r="B1186" s="18" t="n">
        <v>483210.525398296</v>
      </c>
      <c r="C1186" s="18" t="n">
        <v>0</v>
      </c>
      <c r="D1186" s="0" t="n">
        <v>0</v>
      </c>
      <c r="E1186" s="19" t="n">
        <v>41</v>
      </c>
    </row>
    <row r="1187" customFormat="false" ht="15" hidden="false" customHeight="false" outlineLevel="0" collapsed="false">
      <c r="A1187" s="0" t="n">
        <v>1186</v>
      </c>
      <c r="B1187" s="18" t="n">
        <v>484980.195541933</v>
      </c>
      <c r="C1187" s="18" t="n">
        <v>0</v>
      </c>
      <c r="D1187" s="0" t="n">
        <v>0</v>
      </c>
      <c r="E1187" s="19" t="n">
        <v>32.0833333333333</v>
      </c>
    </row>
    <row r="1188" customFormat="false" ht="15" hidden="false" customHeight="false" outlineLevel="0" collapsed="false">
      <c r="A1188" s="0" t="n">
        <v>1187</v>
      </c>
      <c r="B1188" s="18" t="n">
        <v>1456554.00292949</v>
      </c>
      <c r="C1188" s="18" t="n">
        <v>1568501.89833122</v>
      </c>
      <c r="D1188" s="0" t="n">
        <v>1</v>
      </c>
    </row>
    <row r="1189" customFormat="false" ht="15" hidden="false" customHeight="false" outlineLevel="0" collapsed="false">
      <c r="A1189" s="0" t="n">
        <v>1188</v>
      </c>
      <c r="B1189" s="18" t="n">
        <v>796029.552217075</v>
      </c>
      <c r="C1189" s="18" t="n">
        <v>0</v>
      </c>
      <c r="D1189" s="0" t="n">
        <v>0</v>
      </c>
      <c r="E1189" s="19" t="n">
        <v>40.4166666666667</v>
      </c>
    </row>
    <row r="1190" customFormat="false" ht="15" hidden="false" customHeight="false" outlineLevel="0" collapsed="false">
      <c r="A1190" s="0" t="n">
        <v>1189</v>
      </c>
      <c r="B1190" s="18" t="n">
        <v>1839184.62570678</v>
      </c>
      <c r="C1190" s="18" t="n">
        <v>18140525.1083747</v>
      </c>
      <c r="D1190" s="0" t="n">
        <v>1</v>
      </c>
    </row>
    <row r="1191" customFormat="false" ht="15" hidden="false" customHeight="false" outlineLevel="0" collapsed="false">
      <c r="A1191" s="0" t="n">
        <v>1190</v>
      </c>
      <c r="B1191" s="18" t="n">
        <v>1297040.60798996</v>
      </c>
      <c r="C1191" s="18" t="n">
        <v>0</v>
      </c>
      <c r="D1191" s="0" t="n">
        <v>0</v>
      </c>
      <c r="E1191" s="19" t="n">
        <v>51.0833333333333</v>
      </c>
    </row>
    <row r="1192" customFormat="false" ht="15" hidden="false" customHeight="false" outlineLevel="0" collapsed="false">
      <c r="A1192" s="0" t="n">
        <v>1191</v>
      </c>
      <c r="B1192" s="18" t="n">
        <v>319224.35364603</v>
      </c>
      <c r="C1192" s="18" t="n">
        <v>0</v>
      </c>
      <c r="D1192" s="0" t="n">
        <v>0</v>
      </c>
      <c r="E1192" s="19" t="n">
        <v>30.1666666666667</v>
      </c>
    </row>
    <row r="1193" customFormat="false" ht="15" hidden="false" customHeight="false" outlineLevel="0" collapsed="false">
      <c r="A1193" s="0" t="n">
        <v>1192</v>
      </c>
      <c r="B1193" s="18" t="n">
        <v>1370625.54424781</v>
      </c>
      <c r="C1193" s="18" t="n">
        <v>0</v>
      </c>
      <c r="D1193" s="0" t="n">
        <v>0</v>
      </c>
      <c r="E1193" s="19" t="n">
        <v>46.0833333333333</v>
      </c>
    </row>
    <row r="1194" customFormat="false" ht="15" hidden="false" customHeight="false" outlineLevel="0" collapsed="false">
      <c r="A1194" s="0" t="n">
        <v>1193</v>
      </c>
      <c r="B1194" s="18" t="n">
        <v>731088.97749405</v>
      </c>
      <c r="C1194" s="18" t="n">
        <v>0</v>
      </c>
      <c r="D1194" s="0" t="n">
        <v>0</v>
      </c>
      <c r="E1194" s="19" t="n">
        <v>46.9166666666667</v>
      </c>
    </row>
    <row r="1195" customFormat="false" ht="15" hidden="false" customHeight="false" outlineLevel="0" collapsed="false">
      <c r="A1195" s="0" t="n">
        <v>1194</v>
      </c>
      <c r="B1195" s="18" t="n">
        <v>1466237.27361887</v>
      </c>
      <c r="C1195" s="18" t="n">
        <v>8904202.78145678</v>
      </c>
      <c r="D1195" s="0" t="n">
        <v>1</v>
      </c>
    </row>
    <row r="1196" customFormat="false" ht="15" hidden="false" customHeight="false" outlineLevel="0" collapsed="false">
      <c r="A1196" s="0" t="n">
        <v>1195</v>
      </c>
      <c r="B1196" s="18" t="n">
        <v>481764.738891517</v>
      </c>
      <c r="C1196" s="18" t="n">
        <v>0</v>
      </c>
      <c r="D1196" s="0" t="n">
        <v>0</v>
      </c>
      <c r="E1196" s="19" t="n">
        <v>33.1666666666667</v>
      </c>
    </row>
    <row r="1197" customFormat="false" ht="15" hidden="false" customHeight="false" outlineLevel="0" collapsed="false">
      <c r="A1197" s="0" t="n">
        <v>1196</v>
      </c>
      <c r="B1197" s="18" t="n">
        <v>833896.709888475</v>
      </c>
      <c r="C1197" s="18" t="n">
        <v>0</v>
      </c>
      <c r="D1197" s="0" t="n">
        <v>0</v>
      </c>
      <c r="E1197" s="19" t="n">
        <v>34.5</v>
      </c>
    </row>
    <row r="1198" customFormat="false" ht="15" hidden="false" customHeight="false" outlineLevel="0" collapsed="false">
      <c r="A1198" s="0" t="n">
        <v>1197</v>
      </c>
      <c r="B1198" s="18" t="n">
        <v>939159.084966439</v>
      </c>
      <c r="C1198" s="18" t="n">
        <v>0</v>
      </c>
      <c r="D1198" s="0" t="n">
        <v>0</v>
      </c>
      <c r="E1198" s="19" t="n">
        <v>39.6666666666667</v>
      </c>
    </row>
    <row r="1199" customFormat="false" ht="15" hidden="false" customHeight="false" outlineLevel="0" collapsed="false">
      <c r="A1199" s="0" t="n">
        <v>1198</v>
      </c>
      <c r="B1199" s="18" t="n">
        <v>1038554.20361452</v>
      </c>
      <c r="C1199" s="18" t="n">
        <v>16744699.5261558</v>
      </c>
      <c r="D1199" s="0" t="n">
        <v>1</v>
      </c>
    </row>
    <row r="1200" customFormat="false" ht="15" hidden="false" customHeight="false" outlineLevel="0" collapsed="false">
      <c r="A1200" s="0" t="n">
        <v>1199</v>
      </c>
      <c r="B1200" s="18" t="n">
        <v>1624186.00050957</v>
      </c>
      <c r="C1200" s="18" t="n">
        <v>6935204.72189645</v>
      </c>
      <c r="D1200" s="0" t="n">
        <v>1</v>
      </c>
    </row>
    <row r="1201" customFormat="false" ht="15" hidden="false" customHeight="false" outlineLevel="0" collapsed="false">
      <c r="A1201" s="0" t="n">
        <v>1200</v>
      </c>
      <c r="B1201" s="18" t="n">
        <v>503817.708969314</v>
      </c>
      <c r="C1201" s="18" t="n">
        <v>0</v>
      </c>
      <c r="D1201" s="0" t="n">
        <v>0</v>
      </c>
      <c r="E1201" s="19" t="n">
        <v>37.25</v>
      </c>
    </row>
    <row r="1202" customFormat="false" ht="15" hidden="false" customHeight="false" outlineLevel="0" collapsed="false">
      <c r="A1202" s="0" t="n">
        <v>1201</v>
      </c>
      <c r="B1202" s="18" t="n">
        <v>641066.061708804</v>
      </c>
      <c r="C1202" s="18" t="n">
        <v>0</v>
      </c>
      <c r="D1202" s="0" t="n">
        <v>0</v>
      </c>
      <c r="E1202" s="19" t="n">
        <v>40.4166666666667</v>
      </c>
    </row>
    <row r="1203" customFormat="false" ht="15" hidden="false" customHeight="false" outlineLevel="0" collapsed="false">
      <c r="A1203" s="0" t="n">
        <v>1202</v>
      </c>
      <c r="B1203" s="18" t="n">
        <v>1583657.08755623</v>
      </c>
      <c r="C1203" s="18" t="n">
        <v>0</v>
      </c>
      <c r="D1203" s="0" t="n">
        <v>0</v>
      </c>
      <c r="E1203" s="19" t="n">
        <v>53.6666666666667</v>
      </c>
    </row>
    <row r="1204" customFormat="false" ht="15" hidden="false" customHeight="false" outlineLevel="0" collapsed="false">
      <c r="A1204" s="0" t="n">
        <v>1203</v>
      </c>
      <c r="B1204" s="18" t="n">
        <v>359527.507213271</v>
      </c>
      <c r="C1204" s="18" t="n">
        <v>0</v>
      </c>
      <c r="D1204" s="0" t="n">
        <v>0</v>
      </c>
      <c r="E1204" s="19" t="n">
        <v>34.9166666666667</v>
      </c>
    </row>
    <row r="1205" customFormat="false" ht="15" hidden="false" customHeight="false" outlineLevel="0" collapsed="false">
      <c r="A1205" s="0" t="n">
        <v>1204</v>
      </c>
      <c r="B1205" s="18" t="n">
        <v>826781.047102641</v>
      </c>
      <c r="C1205" s="18" t="n">
        <v>0</v>
      </c>
      <c r="D1205" s="0" t="n">
        <v>0</v>
      </c>
      <c r="E1205" s="19" t="n">
        <v>33.9166666666667</v>
      </c>
    </row>
    <row r="1206" customFormat="false" ht="15" hidden="false" customHeight="false" outlineLevel="0" collapsed="false">
      <c r="A1206" s="0" t="n">
        <v>1205</v>
      </c>
      <c r="B1206" s="18" t="n">
        <v>814128.076463182</v>
      </c>
      <c r="C1206" s="18" t="n">
        <v>0</v>
      </c>
      <c r="D1206" s="0" t="n">
        <v>0</v>
      </c>
      <c r="E1206" s="19" t="n">
        <v>39.0833333333333</v>
      </c>
    </row>
    <row r="1207" customFormat="false" ht="15" hidden="false" customHeight="false" outlineLevel="0" collapsed="false">
      <c r="A1207" s="0" t="n">
        <v>1206</v>
      </c>
      <c r="B1207" s="18" t="n">
        <v>1052941.94437691</v>
      </c>
      <c r="C1207" s="18" t="n">
        <v>3520683.3065036</v>
      </c>
      <c r="D1207" s="0" t="n">
        <v>1</v>
      </c>
    </row>
    <row r="1208" customFormat="false" ht="15" hidden="false" customHeight="false" outlineLevel="0" collapsed="false">
      <c r="A1208" s="0" t="n">
        <v>1207</v>
      </c>
      <c r="B1208" s="18" t="n">
        <v>980801.995006536</v>
      </c>
      <c r="C1208" s="18" t="n">
        <v>11812570.5107917</v>
      </c>
      <c r="D1208" s="0" t="n">
        <v>1</v>
      </c>
    </row>
    <row r="1209" customFormat="false" ht="15" hidden="false" customHeight="false" outlineLevel="0" collapsed="false">
      <c r="A1209" s="0" t="n">
        <v>1208</v>
      </c>
      <c r="B1209" s="18" t="n">
        <v>2045705.9575746</v>
      </c>
      <c r="C1209" s="18" t="n">
        <v>0</v>
      </c>
      <c r="D1209" s="0" t="n">
        <v>0</v>
      </c>
      <c r="E1209" s="19" t="n">
        <v>54.5</v>
      </c>
    </row>
    <row r="1210" customFormat="false" ht="15" hidden="false" customHeight="false" outlineLevel="0" collapsed="false">
      <c r="A1210" s="0" t="n">
        <v>1209</v>
      </c>
      <c r="B1210" s="18" t="n">
        <v>852587.202542604</v>
      </c>
      <c r="C1210" s="18" t="n">
        <v>0</v>
      </c>
      <c r="D1210" s="0" t="n">
        <v>0</v>
      </c>
      <c r="E1210" s="19" t="n">
        <v>53.75</v>
      </c>
    </row>
    <row r="1211" customFormat="false" ht="15" hidden="false" customHeight="false" outlineLevel="0" collapsed="false">
      <c r="A1211" s="0" t="n">
        <v>1210</v>
      </c>
      <c r="B1211" s="18" t="n">
        <v>1282225.86827816</v>
      </c>
      <c r="C1211" s="18" t="n">
        <v>0</v>
      </c>
      <c r="D1211" s="0" t="n">
        <v>0</v>
      </c>
      <c r="E1211" s="19" t="n">
        <v>43.9166666666667</v>
      </c>
    </row>
    <row r="1212" customFormat="false" ht="15" hidden="false" customHeight="false" outlineLevel="0" collapsed="false">
      <c r="A1212" s="0" t="n">
        <v>1211</v>
      </c>
      <c r="B1212" s="18" t="n">
        <v>660798.942814799</v>
      </c>
      <c r="C1212" s="18" t="n">
        <v>0</v>
      </c>
      <c r="D1212" s="0" t="n">
        <v>0</v>
      </c>
      <c r="E1212" s="19" t="n">
        <v>33.1666666666667</v>
      </c>
    </row>
    <row r="1213" customFormat="false" ht="15" hidden="false" customHeight="false" outlineLevel="0" collapsed="false">
      <c r="A1213" s="0" t="n">
        <v>1212</v>
      </c>
      <c r="B1213" s="18" t="n">
        <v>540473.13512377</v>
      </c>
      <c r="C1213" s="18" t="n">
        <v>0</v>
      </c>
      <c r="D1213" s="0" t="n">
        <v>0</v>
      </c>
      <c r="E1213" s="19" t="n">
        <v>35.5833333333333</v>
      </c>
    </row>
    <row r="1214" customFormat="false" ht="15" hidden="false" customHeight="false" outlineLevel="0" collapsed="false">
      <c r="A1214" s="0" t="n">
        <v>1213</v>
      </c>
      <c r="B1214" s="18" t="n">
        <v>522825.360229882</v>
      </c>
      <c r="C1214" s="18" t="n">
        <v>0</v>
      </c>
      <c r="D1214" s="0" t="n">
        <v>0</v>
      </c>
      <c r="E1214" s="19" t="n">
        <v>32.4166666666667</v>
      </c>
    </row>
    <row r="1215" customFormat="false" ht="15" hidden="false" customHeight="false" outlineLevel="0" collapsed="false">
      <c r="A1215" s="0" t="n">
        <v>1214</v>
      </c>
      <c r="B1215" s="18" t="n">
        <v>1576957.3587753</v>
      </c>
      <c r="C1215" s="18" t="n">
        <v>12346872.744613</v>
      </c>
      <c r="D1215" s="0" t="n">
        <v>1</v>
      </c>
    </row>
    <row r="1216" customFormat="false" ht="15" hidden="false" customHeight="false" outlineLevel="0" collapsed="false">
      <c r="A1216" s="0" t="n">
        <v>1215</v>
      </c>
      <c r="B1216" s="18" t="n">
        <v>701160.610008603</v>
      </c>
      <c r="C1216" s="18" t="n">
        <v>0</v>
      </c>
      <c r="D1216" s="0" t="n">
        <v>0</v>
      </c>
      <c r="E1216" s="19" t="n">
        <v>37.25</v>
      </c>
    </row>
    <row r="1217" customFormat="false" ht="15" hidden="false" customHeight="false" outlineLevel="0" collapsed="false">
      <c r="A1217" s="0" t="n">
        <v>1216</v>
      </c>
      <c r="B1217" s="18" t="n">
        <v>517924.872109851</v>
      </c>
      <c r="C1217" s="18" t="n">
        <v>0</v>
      </c>
      <c r="D1217" s="0" t="n">
        <v>0</v>
      </c>
      <c r="E1217" s="19" t="n">
        <v>35.9166666666667</v>
      </c>
    </row>
    <row r="1218" customFormat="false" ht="15" hidden="false" customHeight="false" outlineLevel="0" collapsed="false">
      <c r="A1218" s="0" t="n">
        <v>1217</v>
      </c>
      <c r="B1218" s="18" t="n">
        <v>2780112.97026792</v>
      </c>
      <c r="C1218" s="18" t="n">
        <v>5052092.09583046</v>
      </c>
      <c r="D1218" s="0" t="n">
        <v>1</v>
      </c>
    </row>
    <row r="1219" customFormat="false" ht="15" hidden="false" customHeight="false" outlineLevel="0" collapsed="false">
      <c r="A1219" s="0" t="n">
        <v>1218</v>
      </c>
      <c r="B1219" s="18" t="n">
        <v>1121681.3331584</v>
      </c>
      <c r="C1219" s="18" t="n">
        <v>295493.363224103</v>
      </c>
      <c r="D1219" s="0" t="n">
        <v>1</v>
      </c>
    </row>
    <row r="1220" customFormat="false" ht="15" hidden="false" customHeight="false" outlineLevel="0" collapsed="false">
      <c r="A1220" s="0" t="n">
        <v>1219</v>
      </c>
      <c r="B1220" s="18" t="n">
        <v>1459340.43302748</v>
      </c>
      <c r="C1220" s="18" t="n">
        <v>6000251.06484356</v>
      </c>
      <c r="D1220" s="0" t="n">
        <v>1</v>
      </c>
    </row>
    <row r="1221" customFormat="false" ht="15" hidden="false" customHeight="false" outlineLevel="0" collapsed="false">
      <c r="A1221" s="0" t="n">
        <v>1220</v>
      </c>
      <c r="B1221" s="18" t="n">
        <v>469014.856495918</v>
      </c>
      <c r="C1221" s="18" t="n">
        <v>0</v>
      </c>
      <c r="D1221" s="0" t="n">
        <v>0</v>
      </c>
      <c r="E1221" s="19" t="n">
        <v>42.75</v>
      </c>
    </row>
    <row r="1222" customFormat="false" ht="15" hidden="false" customHeight="false" outlineLevel="0" collapsed="false">
      <c r="A1222" s="0" t="n">
        <v>1221</v>
      </c>
      <c r="B1222" s="18" t="n">
        <v>1249266.79023645</v>
      </c>
      <c r="C1222" s="18" t="n">
        <v>6122151.57882555</v>
      </c>
      <c r="D1222" s="0" t="n">
        <v>1</v>
      </c>
    </row>
    <row r="1223" customFormat="false" ht="15" hidden="false" customHeight="false" outlineLevel="0" collapsed="false">
      <c r="A1223" s="0" t="n">
        <v>1222</v>
      </c>
      <c r="B1223" s="18" t="n">
        <v>1335381.3074058</v>
      </c>
      <c r="C1223" s="18" t="n">
        <v>4757344.45324091</v>
      </c>
      <c r="D1223" s="0" t="n">
        <v>1</v>
      </c>
    </row>
    <row r="1224" customFormat="false" ht="15" hidden="false" customHeight="false" outlineLevel="0" collapsed="false">
      <c r="A1224" s="0" t="n">
        <v>1223</v>
      </c>
      <c r="B1224" s="18" t="n">
        <v>1319539.27098155</v>
      </c>
      <c r="C1224" s="18" t="n">
        <v>0</v>
      </c>
      <c r="D1224" s="0" t="n">
        <v>0</v>
      </c>
      <c r="E1224" s="19" t="n">
        <v>44.5833333333333</v>
      </c>
    </row>
    <row r="1225" customFormat="false" ht="15" hidden="false" customHeight="false" outlineLevel="0" collapsed="false">
      <c r="A1225" s="0" t="n">
        <v>1224</v>
      </c>
      <c r="B1225" s="18" t="n">
        <v>550805.950707984</v>
      </c>
      <c r="C1225" s="18" t="n">
        <v>0</v>
      </c>
      <c r="D1225" s="0" t="n">
        <v>0</v>
      </c>
      <c r="E1225" s="19" t="n">
        <v>34.25</v>
      </c>
    </row>
    <row r="1226" customFormat="false" ht="15" hidden="false" customHeight="false" outlineLevel="0" collapsed="false">
      <c r="A1226" s="0" t="n">
        <v>1225</v>
      </c>
      <c r="B1226" s="18" t="n">
        <v>675766.822460907</v>
      </c>
      <c r="C1226" s="18" t="n">
        <v>0</v>
      </c>
      <c r="D1226" s="0" t="n">
        <v>0</v>
      </c>
      <c r="E1226" s="19" t="n">
        <v>35.6666666666667</v>
      </c>
    </row>
    <row r="1227" customFormat="false" ht="15" hidden="false" customHeight="false" outlineLevel="0" collapsed="false">
      <c r="A1227" s="0" t="n">
        <v>1226</v>
      </c>
      <c r="B1227" s="18" t="n">
        <v>1251923.55378622</v>
      </c>
      <c r="C1227" s="18" t="n">
        <v>0</v>
      </c>
      <c r="D1227" s="0" t="n">
        <v>0</v>
      </c>
      <c r="E1227" s="19" t="n">
        <v>49.75</v>
      </c>
    </row>
    <row r="1228" customFormat="false" ht="15" hidden="false" customHeight="false" outlineLevel="0" collapsed="false">
      <c r="A1228" s="0" t="n">
        <v>1227</v>
      </c>
      <c r="B1228" s="18" t="n">
        <v>888509.846671865</v>
      </c>
      <c r="C1228" s="18" t="n">
        <v>0</v>
      </c>
      <c r="D1228" s="0" t="n">
        <v>0</v>
      </c>
      <c r="E1228" s="19" t="n">
        <v>38.25</v>
      </c>
    </row>
    <row r="1229" customFormat="false" ht="15" hidden="false" customHeight="false" outlineLevel="0" collapsed="false">
      <c r="A1229" s="0" t="n">
        <v>1228</v>
      </c>
      <c r="B1229" s="18" t="n">
        <v>675725.94283319</v>
      </c>
      <c r="C1229" s="18" t="n">
        <v>0</v>
      </c>
      <c r="D1229" s="0" t="n">
        <v>0</v>
      </c>
      <c r="E1229" s="19" t="n">
        <v>38.0833333333333</v>
      </c>
    </row>
    <row r="1230" customFormat="false" ht="15" hidden="false" customHeight="false" outlineLevel="0" collapsed="false">
      <c r="A1230" s="0" t="n">
        <v>1229</v>
      </c>
      <c r="B1230" s="18" t="n">
        <v>1316677.59066945</v>
      </c>
      <c r="C1230" s="18" t="n">
        <v>0</v>
      </c>
      <c r="D1230" s="0" t="n">
        <v>0</v>
      </c>
      <c r="E1230" s="19" t="n">
        <v>44.25</v>
      </c>
    </row>
    <row r="1231" customFormat="false" ht="15" hidden="false" customHeight="false" outlineLevel="0" collapsed="false">
      <c r="A1231" s="0" t="n">
        <v>1230</v>
      </c>
      <c r="B1231" s="18" t="n">
        <v>1181923.53911056</v>
      </c>
      <c r="C1231" s="18" t="n">
        <v>2101138.83100553</v>
      </c>
      <c r="D1231" s="0" t="n">
        <v>1</v>
      </c>
    </row>
    <row r="1232" customFormat="false" ht="15" hidden="false" customHeight="false" outlineLevel="0" collapsed="false">
      <c r="A1232" s="0" t="n">
        <v>1231</v>
      </c>
      <c r="B1232" s="18" t="n">
        <v>1406041.9338032</v>
      </c>
      <c r="C1232" s="18" t="n">
        <v>10735901.9333228</v>
      </c>
      <c r="D1232" s="0" t="n">
        <v>1</v>
      </c>
    </row>
    <row r="1233" customFormat="false" ht="15" hidden="false" customHeight="false" outlineLevel="0" collapsed="false">
      <c r="A1233" s="0" t="n">
        <v>1232</v>
      </c>
      <c r="B1233" s="18" t="n">
        <v>1344414.27159446</v>
      </c>
      <c r="C1233" s="18" t="n">
        <v>0</v>
      </c>
      <c r="D1233" s="0" t="n">
        <v>0</v>
      </c>
      <c r="E1233" s="19" t="n">
        <v>51.4166666666667</v>
      </c>
    </row>
    <row r="1234" customFormat="false" ht="15" hidden="false" customHeight="false" outlineLevel="0" collapsed="false">
      <c r="A1234" s="0" t="n">
        <v>1233</v>
      </c>
      <c r="B1234" s="18" t="n">
        <v>607152.545082482</v>
      </c>
      <c r="C1234" s="18" t="n">
        <v>0</v>
      </c>
      <c r="D1234" s="0" t="n">
        <v>0</v>
      </c>
      <c r="E1234" s="19" t="n">
        <v>37.8333333333333</v>
      </c>
    </row>
    <row r="1235" customFormat="false" ht="15" hidden="false" customHeight="false" outlineLevel="0" collapsed="false">
      <c r="A1235" s="0" t="n">
        <v>1234</v>
      </c>
      <c r="B1235" s="18" t="n">
        <v>227649.959732744</v>
      </c>
      <c r="C1235" s="18" t="n">
        <v>0</v>
      </c>
      <c r="D1235" s="0" t="n">
        <v>0</v>
      </c>
      <c r="E1235" s="19" t="n">
        <v>28.75</v>
      </c>
    </row>
    <row r="1236" customFormat="false" ht="15" hidden="false" customHeight="false" outlineLevel="0" collapsed="false">
      <c r="A1236" s="0" t="n">
        <v>1235</v>
      </c>
      <c r="B1236" s="18" t="n">
        <v>612612.891230004</v>
      </c>
      <c r="C1236" s="18" t="n">
        <v>0</v>
      </c>
      <c r="D1236" s="0" t="n">
        <v>0</v>
      </c>
      <c r="E1236" s="19" t="n">
        <v>36.25</v>
      </c>
    </row>
    <row r="1237" customFormat="false" ht="15" hidden="false" customHeight="false" outlineLevel="0" collapsed="false">
      <c r="A1237" s="0" t="n">
        <v>1236</v>
      </c>
      <c r="B1237" s="18" t="n">
        <v>522991.690464576</v>
      </c>
      <c r="C1237" s="18" t="n">
        <v>0</v>
      </c>
      <c r="D1237" s="0" t="n">
        <v>0</v>
      </c>
      <c r="E1237" s="19" t="n">
        <v>36.1666666666667</v>
      </c>
    </row>
    <row r="1238" customFormat="false" ht="15" hidden="false" customHeight="false" outlineLevel="0" collapsed="false">
      <c r="A1238" s="0" t="n">
        <v>1237</v>
      </c>
      <c r="B1238" s="18" t="n">
        <v>1146718.71430022</v>
      </c>
      <c r="C1238" s="18" t="n">
        <v>698378.91901761</v>
      </c>
      <c r="D1238" s="0" t="n">
        <v>1</v>
      </c>
    </row>
    <row r="1239" customFormat="false" ht="15" hidden="false" customHeight="false" outlineLevel="0" collapsed="false">
      <c r="A1239" s="0" t="n">
        <v>1238</v>
      </c>
      <c r="B1239" s="18" t="n">
        <v>1389981.3549241</v>
      </c>
      <c r="C1239" s="18" t="n">
        <v>2686758.22929219</v>
      </c>
      <c r="D1239" s="0" t="n">
        <v>1</v>
      </c>
    </row>
    <row r="1240" customFormat="false" ht="15" hidden="false" customHeight="false" outlineLevel="0" collapsed="false">
      <c r="A1240" s="0" t="n">
        <v>1239</v>
      </c>
      <c r="B1240" s="18" t="n">
        <v>817340.497529281</v>
      </c>
      <c r="C1240" s="18" t="n">
        <v>0</v>
      </c>
      <c r="D1240" s="0" t="n">
        <v>0</v>
      </c>
      <c r="E1240" s="19" t="n">
        <v>35.6666666666667</v>
      </c>
    </row>
    <row r="1241" customFormat="false" ht="15" hidden="false" customHeight="false" outlineLevel="0" collapsed="false">
      <c r="A1241" s="0" t="n">
        <v>1240</v>
      </c>
      <c r="B1241" s="18" t="n">
        <v>915635.07754576</v>
      </c>
      <c r="C1241" s="18" t="n">
        <v>0</v>
      </c>
      <c r="D1241" s="0" t="n">
        <v>0</v>
      </c>
      <c r="E1241" s="19" t="n">
        <v>37.75</v>
      </c>
    </row>
    <row r="1242" customFormat="false" ht="15" hidden="false" customHeight="false" outlineLevel="0" collapsed="false">
      <c r="A1242" s="0" t="n">
        <v>1241</v>
      </c>
      <c r="B1242" s="18" t="n">
        <v>1195435.68920857</v>
      </c>
      <c r="C1242" s="18" t="n">
        <v>3520915.60720268</v>
      </c>
      <c r="D1242" s="0" t="n">
        <v>1</v>
      </c>
    </row>
    <row r="1243" customFormat="false" ht="15" hidden="false" customHeight="false" outlineLevel="0" collapsed="false">
      <c r="A1243" s="0" t="n">
        <v>1242</v>
      </c>
      <c r="B1243" s="18" t="n">
        <v>1096887.55763917</v>
      </c>
      <c r="C1243" s="18" t="n">
        <v>0</v>
      </c>
      <c r="D1243" s="0" t="n">
        <v>0</v>
      </c>
      <c r="E1243" s="19" t="n">
        <v>40.1666666666667</v>
      </c>
    </row>
    <row r="1244" customFormat="false" ht="15" hidden="false" customHeight="false" outlineLevel="0" collapsed="false">
      <c r="A1244" s="0" t="n">
        <v>1243</v>
      </c>
      <c r="B1244" s="18" t="n">
        <v>451305.450989341</v>
      </c>
      <c r="C1244" s="18" t="n">
        <v>0</v>
      </c>
      <c r="D1244" s="0" t="n">
        <v>0</v>
      </c>
      <c r="E1244" s="19" t="n">
        <v>33.9166666666667</v>
      </c>
    </row>
    <row r="1245" customFormat="false" ht="15" hidden="false" customHeight="false" outlineLevel="0" collapsed="false">
      <c r="A1245" s="0" t="n">
        <v>1244</v>
      </c>
      <c r="B1245" s="18" t="n">
        <v>817057.784868188</v>
      </c>
      <c r="C1245" s="18" t="n">
        <v>0</v>
      </c>
      <c r="D1245" s="0" t="n">
        <v>0</v>
      </c>
      <c r="E1245" s="19" t="n">
        <v>36.75</v>
      </c>
    </row>
    <row r="1246" customFormat="false" ht="15" hidden="false" customHeight="false" outlineLevel="0" collapsed="false">
      <c r="A1246" s="0" t="n">
        <v>1245</v>
      </c>
      <c r="B1246" s="18" t="n">
        <v>510376.619172322</v>
      </c>
      <c r="C1246" s="18" t="n">
        <v>0</v>
      </c>
      <c r="D1246" s="0" t="n">
        <v>0</v>
      </c>
      <c r="E1246" s="19" t="n">
        <v>41</v>
      </c>
    </row>
    <row r="1247" customFormat="false" ht="15" hidden="false" customHeight="false" outlineLevel="0" collapsed="false">
      <c r="A1247" s="0" t="n">
        <v>1246</v>
      </c>
      <c r="B1247" s="18" t="n">
        <v>1560366.84424142</v>
      </c>
      <c r="C1247" s="18" t="n">
        <v>4000558.02907073</v>
      </c>
      <c r="D1247" s="0" t="n">
        <v>1</v>
      </c>
    </row>
    <row r="1248" customFormat="false" ht="15" hidden="false" customHeight="false" outlineLevel="0" collapsed="false">
      <c r="A1248" s="0" t="n">
        <v>1247</v>
      </c>
      <c r="B1248" s="18" t="n">
        <v>324772.034253237</v>
      </c>
      <c r="C1248" s="18" t="n">
        <v>0</v>
      </c>
      <c r="D1248" s="0" t="n">
        <v>0</v>
      </c>
      <c r="E1248" s="19" t="n">
        <v>29.8333333333333</v>
      </c>
    </row>
    <row r="1249" customFormat="false" ht="15" hidden="false" customHeight="false" outlineLevel="0" collapsed="false">
      <c r="A1249" s="0" t="n">
        <v>1248</v>
      </c>
      <c r="B1249" s="18" t="n">
        <v>1679210.62145513</v>
      </c>
      <c r="C1249" s="18" t="n">
        <v>1506046.18850816</v>
      </c>
      <c r="D1249" s="0" t="n">
        <v>1</v>
      </c>
    </row>
    <row r="1250" customFormat="false" ht="15" hidden="false" customHeight="false" outlineLevel="0" collapsed="false">
      <c r="A1250" s="0" t="n">
        <v>1249</v>
      </c>
      <c r="B1250" s="18" t="n">
        <v>1325433.59441806</v>
      </c>
      <c r="C1250" s="18" t="n">
        <v>1142759.00190029</v>
      </c>
      <c r="D1250" s="0" t="n">
        <v>1</v>
      </c>
    </row>
    <row r="1251" customFormat="false" ht="15" hidden="false" customHeight="false" outlineLevel="0" collapsed="false">
      <c r="A1251" s="0" t="n">
        <v>1250</v>
      </c>
      <c r="B1251" s="18" t="n">
        <v>249019.73009107</v>
      </c>
      <c r="C1251" s="18" t="n">
        <v>0</v>
      </c>
      <c r="D1251" s="0" t="n">
        <v>0</v>
      </c>
      <c r="E1251" s="19" t="n">
        <v>28.9166666666667</v>
      </c>
    </row>
    <row r="1252" customFormat="false" ht="15" hidden="false" customHeight="false" outlineLevel="0" collapsed="false">
      <c r="A1252" s="0" t="n">
        <v>1251</v>
      </c>
      <c r="B1252" s="18" t="n">
        <v>924079.000197332</v>
      </c>
      <c r="C1252" s="18" t="n">
        <v>0</v>
      </c>
      <c r="D1252" s="0" t="n">
        <v>0</v>
      </c>
      <c r="E1252" s="19" t="n">
        <v>43.5</v>
      </c>
    </row>
    <row r="1253" customFormat="false" ht="15" hidden="false" customHeight="false" outlineLevel="0" collapsed="false">
      <c r="A1253" s="0" t="n">
        <v>1252</v>
      </c>
      <c r="B1253" s="18" t="n">
        <v>1011894.56471371</v>
      </c>
      <c r="C1253" s="18" t="n">
        <v>0</v>
      </c>
      <c r="D1253" s="0" t="n">
        <v>0</v>
      </c>
      <c r="E1253" s="19" t="n">
        <v>39.9166666666667</v>
      </c>
    </row>
    <row r="1254" customFormat="false" ht="15" hidden="false" customHeight="false" outlineLevel="0" collapsed="false">
      <c r="A1254" s="0" t="n">
        <v>1253</v>
      </c>
      <c r="B1254" s="18" t="n">
        <v>1395027.53520076</v>
      </c>
      <c r="C1254" s="18" t="n">
        <v>219991.203678735</v>
      </c>
      <c r="D1254" s="0" t="n">
        <v>1</v>
      </c>
    </row>
    <row r="1255" customFormat="false" ht="15" hidden="false" customHeight="false" outlineLevel="0" collapsed="false">
      <c r="A1255" s="0" t="n">
        <v>1254</v>
      </c>
      <c r="B1255" s="18" t="n">
        <v>1962482.12707384</v>
      </c>
      <c r="C1255" s="18" t="n">
        <v>1622356.67705149</v>
      </c>
      <c r="D1255" s="0" t="n">
        <v>1</v>
      </c>
    </row>
    <row r="1256" customFormat="false" ht="15" hidden="false" customHeight="false" outlineLevel="0" collapsed="false">
      <c r="A1256" s="0" t="n">
        <v>1255</v>
      </c>
      <c r="B1256" s="18" t="n">
        <v>2130841.42394286</v>
      </c>
      <c r="C1256" s="18" t="n">
        <v>145048.249250841</v>
      </c>
      <c r="D1256" s="0" t="n">
        <v>1</v>
      </c>
    </row>
    <row r="1257" customFormat="false" ht="15" hidden="false" customHeight="false" outlineLevel="0" collapsed="false">
      <c r="A1257" s="0" t="n">
        <v>1256</v>
      </c>
      <c r="B1257" s="18" t="n">
        <v>987321.008818706</v>
      </c>
      <c r="C1257" s="18" t="n">
        <v>0</v>
      </c>
      <c r="D1257" s="0" t="n">
        <v>0</v>
      </c>
      <c r="E1257" s="19" t="n">
        <v>40.25</v>
      </c>
    </row>
    <row r="1258" customFormat="false" ht="15" hidden="false" customHeight="false" outlineLevel="0" collapsed="false">
      <c r="A1258" s="0" t="n">
        <v>1257</v>
      </c>
      <c r="B1258" s="18" t="n">
        <v>681841.643214407</v>
      </c>
      <c r="C1258" s="18" t="n">
        <v>0</v>
      </c>
      <c r="D1258" s="0" t="n">
        <v>0</v>
      </c>
      <c r="E1258" s="19" t="n">
        <v>37.0833333333333</v>
      </c>
    </row>
    <row r="1259" customFormat="false" ht="15" hidden="false" customHeight="false" outlineLevel="0" collapsed="false">
      <c r="A1259" s="0" t="n">
        <v>1258</v>
      </c>
      <c r="B1259" s="18" t="n">
        <v>957675.807342304</v>
      </c>
      <c r="C1259" s="18" t="n">
        <v>3609375.52993789</v>
      </c>
      <c r="D1259" s="0" t="n">
        <v>1</v>
      </c>
    </row>
    <row r="1260" customFormat="false" ht="15" hidden="false" customHeight="false" outlineLevel="0" collapsed="false">
      <c r="A1260" s="0" t="n">
        <v>1259</v>
      </c>
      <c r="B1260" s="18" t="n">
        <v>726773.35077545</v>
      </c>
      <c r="C1260" s="18" t="n">
        <v>0</v>
      </c>
      <c r="D1260" s="0" t="n">
        <v>0</v>
      </c>
      <c r="E1260" s="19" t="n">
        <v>42.5833333333333</v>
      </c>
    </row>
    <row r="1261" customFormat="false" ht="15" hidden="false" customHeight="false" outlineLevel="0" collapsed="false">
      <c r="A1261" s="0" t="n">
        <v>1260</v>
      </c>
      <c r="B1261" s="18" t="n">
        <v>534482.719536087</v>
      </c>
      <c r="C1261" s="18" t="n">
        <v>0</v>
      </c>
      <c r="D1261" s="0" t="n">
        <v>0</v>
      </c>
      <c r="E1261" s="19" t="n">
        <v>31.5</v>
      </c>
    </row>
    <row r="1262" customFormat="false" ht="15" hidden="false" customHeight="false" outlineLevel="0" collapsed="false">
      <c r="A1262" s="0" t="n">
        <v>1261</v>
      </c>
      <c r="B1262" s="18" t="n">
        <v>2209218.50171474</v>
      </c>
      <c r="C1262" s="18" t="n">
        <v>5381153.21123652</v>
      </c>
      <c r="D1262" s="0" t="n">
        <v>1</v>
      </c>
    </row>
    <row r="1263" customFormat="false" ht="15" hidden="false" customHeight="false" outlineLevel="0" collapsed="false">
      <c r="A1263" s="0" t="n">
        <v>1262</v>
      </c>
      <c r="B1263" s="18" t="n">
        <v>705490.141522669</v>
      </c>
      <c r="C1263" s="18" t="n">
        <v>0</v>
      </c>
      <c r="D1263" s="0" t="n">
        <v>0</v>
      </c>
      <c r="E1263" s="19" t="n">
        <v>53.25</v>
      </c>
    </row>
    <row r="1264" customFormat="false" ht="15" hidden="false" customHeight="false" outlineLevel="0" collapsed="false">
      <c r="A1264" s="0" t="n">
        <v>1263</v>
      </c>
      <c r="B1264" s="18" t="n">
        <v>1792005.48315042</v>
      </c>
      <c r="C1264" s="18" t="n">
        <v>31749493.3738748</v>
      </c>
      <c r="D1264" s="0" t="n">
        <v>1</v>
      </c>
    </row>
    <row r="1265" customFormat="false" ht="15" hidden="false" customHeight="false" outlineLevel="0" collapsed="false">
      <c r="A1265" s="0" t="n">
        <v>1264</v>
      </c>
      <c r="B1265" s="18" t="n">
        <v>2193944.03064418</v>
      </c>
      <c r="C1265" s="18" t="n">
        <v>1419566.97217757</v>
      </c>
      <c r="D1265" s="0" t="n">
        <v>1</v>
      </c>
    </row>
    <row r="1266" customFormat="false" ht="15" hidden="false" customHeight="false" outlineLevel="0" collapsed="false">
      <c r="A1266" s="0" t="n">
        <v>1265</v>
      </c>
      <c r="B1266" s="18" t="n">
        <v>404510.615818733</v>
      </c>
      <c r="C1266" s="18" t="n">
        <v>0</v>
      </c>
      <c r="D1266" s="0" t="n">
        <v>0</v>
      </c>
      <c r="E1266" s="19" t="n">
        <v>31.5</v>
      </c>
    </row>
    <row r="1267" customFormat="false" ht="15" hidden="false" customHeight="false" outlineLevel="0" collapsed="false">
      <c r="A1267" s="0" t="n">
        <v>1266</v>
      </c>
      <c r="B1267" s="18" t="n">
        <v>692046.947866239</v>
      </c>
      <c r="C1267" s="18" t="n">
        <v>0</v>
      </c>
      <c r="D1267" s="0" t="n">
        <v>0</v>
      </c>
      <c r="E1267" s="19" t="n">
        <v>36</v>
      </c>
    </row>
    <row r="1268" customFormat="false" ht="15" hidden="false" customHeight="false" outlineLevel="0" collapsed="false">
      <c r="A1268" s="0" t="n">
        <v>1267</v>
      </c>
      <c r="B1268" s="18" t="n">
        <v>1374959.42432688</v>
      </c>
      <c r="C1268" s="18" t="n">
        <v>3068836.97151928</v>
      </c>
      <c r="D1268" s="0" t="n">
        <v>1</v>
      </c>
    </row>
    <row r="1269" customFormat="false" ht="15" hidden="false" customHeight="false" outlineLevel="0" collapsed="false">
      <c r="A1269" s="0" t="n">
        <v>1268</v>
      </c>
      <c r="B1269" s="18" t="n">
        <v>2731712.68745765</v>
      </c>
      <c r="C1269" s="18" t="n">
        <v>9713732.71478927</v>
      </c>
      <c r="D1269" s="0" t="n">
        <v>1</v>
      </c>
    </row>
    <row r="1270" customFormat="false" ht="15" hidden="false" customHeight="false" outlineLevel="0" collapsed="false">
      <c r="A1270" s="0" t="n">
        <v>1269</v>
      </c>
      <c r="B1270" s="18" t="n">
        <v>397293.551487904</v>
      </c>
      <c r="C1270" s="18" t="n">
        <v>0</v>
      </c>
      <c r="D1270" s="0" t="n">
        <v>0</v>
      </c>
      <c r="E1270" s="19" t="n">
        <v>33</v>
      </c>
    </row>
    <row r="1271" customFormat="false" ht="15" hidden="false" customHeight="false" outlineLevel="0" collapsed="false">
      <c r="A1271" s="0" t="n">
        <v>1270</v>
      </c>
      <c r="B1271" s="18" t="n">
        <v>1600929.39110975</v>
      </c>
      <c r="C1271" s="18" t="n">
        <v>89135.3130024814</v>
      </c>
      <c r="D1271" s="0" t="n">
        <v>1</v>
      </c>
    </row>
    <row r="1272" customFormat="false" ht="15" hidden="false" customHeight="false" outlineLevel="0" collapsed="false">
      <c r="A1272" s="0" t="n">
        <v>1271</v>
      </c>
      <c r="B1272" s="18" t="n">
        <v>1238406.53569922</v>
      </c>
      <c r="C1272" s="18" t="n">
        <v>0</v>
      </c>
      <c r="D1272" s="0" t="n">
        <v>0</v>
      </c>
      <c r="E1272" s="19" t="n">
        <v>42.9166666666667</v>
      </c>
    </row>
    <row r="1273" customFormat="false" ht="15" hidden="false" customHeight="false" outlineLevel="0" collapsed="false">
      <c r="A1273" s="0" t="n">
        <v>1272</v>
      </c>
      <c r="B1273" s="18" t="n">
        <v>1186838.21142063</v>
      </c>
      <c r="C1273" s="18" t="n">
        <v>0</v>
      </c>
      <c r="D1273" s="0" t="n">
        <v>0</v>
      </c>
      <c r="E1273" s="19" t="n">
        <v>46.6666666666667</v>
      </c>
    </row>
    <row r="1274" customFormat="false" ht="15" hidden="false" customHeight="false" outlineLevel="0" collapsed="false">
      <c r="A1274" s="0" t="n">
        <v>1273</v>
      </c>
      <c r="B1274" s="18" t="n">
        <v>560060.289199809</v>
      </c>
      <c r="C1274" s="18" t="n">
        <v>0</v>
      </c>
      <c r="D1274" s="0" t="n">
        <v>0</v>
      </c>
      <c r="E1274" s="19" t="n">
        <v>35.5</v>
      </c>
    </row>
    <row r="1275" customFormat="false" ht="15" hidden="false" customHeight="false" outlineLevel="0" collapsed="false">
      <c r="A1275" s="0" t="n">
        <v>1274</v>
      </c>
      <c r="B1275" s="18" t="n">
        <v>724795.573816772</v>
      </c>
      <c r="C1275" s="18" t="n">
        <v>0</v>
      </c>
      <c r="D1275" s="0" t="n">
        <v>0</v>
      </c>
      <c r="E1275" s="19" t="n">
        <v>41.5</v>
      </c>
    </row>
    <row r="1276" customFormat="false" ht="15" hidden="false" customHeight="false" outlineLevel="0" collapsed="false">
      <c r="A1276" s="0" t="n">
        <v>1275</v>
      </c>
      <c r="B1276" s="18" t="n">
        <v>961094.306355371</v>
      </c>
      <c r="C1276" s="18" t="n">
        <v>0</v>
      </c>
      <c r="D1276" s="0" t="n">
        <v>0</v>
      </c>
      <c r="E1276" s="19" t="n">
        <v>47.1666666666667</v>
      </c>
    </row>
    <row r="1277" customFormat="false" ht="15" hidden="false" customHeight="false" outlineLevel="0" collapsed="false">
      <c r="A1277" s="0" t="n">
        <v>1276</v>
      </c>
      <c r="B1277" s="18" t="n">
        <v>517393.287106188</v>
      </c>
      <c r="C1277" s="18" t="n">
        <v>0</v>
      </c>
      <c r="D1277" s="0" t="n">
        <v>0</v>
      </c>
      <c r="E1277" s="19" t="n">
        <v>33.5</v>
      </c>
    </row>
    <row r="1278" customFormat="false" ht="15" hidden="false" customHeight="false" outlineLevel="0" collapsed="false">
      <c r="A1278" s="0" t="n">
        <v>1277</v>
      </c>
      <c r="B1278" s="18" t="n">
        <v>1717253.65068194</v>
      </c>
      <c r="C1278" s="18" t="n">
        <v>0</v>
      </c>
      <c r="D1278" s="0" t="n">
        <v>0</v>
      </c>
      <c r="E1278" s="19" t="n">
        <v>53.25</v>
      </c>
    </row>
    <row r="1279" customFormat="false" ht="15" hidden="false" customHeight="false" outlineLevel="0" collapsed="false">
      <c r="A1279" s="0" t="n">
        <v>1278</v>
      </c>
      <c r="B1279" s="18" t="n">
        <v>561820.939181186</v>
      </c>
      <c r="C1279" s="18" t="n">
        <v>0</v>
      </c>
      <c r="D1279" s="0" t="n">
        <v>0</v>
      </c>
      <c r="E1279" s="19" t="n">
        <v>33.5</v>
      </c>
    </row>
    <row r="1280" customFormat="false" ht="15" hidden="false" customHeight="false" outlineLevel="0" collapsed="false">
      <c r="A1280" s="0" t="n">
        <v>1279</v>
      </c>
      <c r="B1280" s="18" t="n">
        <v>1605168.48300507</v>
      </c>
      <c r="C1280" s="18" t="n">
        <v>5878697.90808429</v>
      </c>
      <c r="D1280" s="0" t="n">
        <v>1</v>
      </c>
    </row>
    <row r="1281" customFormat="false" ht="15" hidden="false" customHeight="false" outlineLevel="0" collapsed="false">
      <c r="A1281" s="0" t="n">
        <v>1280</v>
      </c>
      <c r="B1281" s="18" t="n">
        <v>821679.470602954</v>
      </c>
      <c r="C1281" s="18" t="n">
        <v>0</v>
      </c>
      <c r="D1281" s="0" t="n">
        <v>0</v>
      </c>
      <c r="E1281" s="19" t="n">
        <v>34.1666666666667</v>
      </c>
    </row>
    <row r="1282" customFormat="false" ht="15" hidden="false" customHeight="false" outlineLevel="0" collapsed="false">
      <c r="A1282" s="0" t="n">
        <v>1281</v>
      </c>
      <c r="B1282" s="18" t="n">
        <v>1048645.39642429</v>
      </c>
      <c r="C1282" s="18" t="n">
        <v>0</v>
      </c>
      <c r="D1282" s="0" t="n">
        <v>0</v>
      </c>
      <c r="E1282" s="19" t="n">
        <v>42.6666666666667</v>
      </c>
    </row>
    <row r="1283" customFormat="false" ht="15" hidden="false" customHeight="false" outlineLevel="0" collapsed="false">
      <c r="A1283" s="0" t="n">
        <v>1282</v>
      </c>
      <c r="B1283" s="18" t="n">
        <v>315423.720168945</v>
      </c>
      <c r="C1283" s="18" t="n">
        <v>0</v>
      </c>
      <c r="D1283" s="0" t="n">
        <v>0</v>
      </c>
      <c r="E1283" s="19" t="n">
        <v>30.3333333333333</v>
      </c>
    </row>
    <row r="1284" customFormat="false" ht="15" hidden="false" customHeight="false" outlineLevel="0" collapsed="false">
      <c r="A1284" s="0" t="n">
        <v>1283</v>
      </c>
      <c r="B1284" s="18" t="n">
        <v>1240987.29824948</v>
      </c>
      <c r="C1284" s="18" t="n">
        <v>0</v>
      </c>
      <c r="D1284" s="0" t="n">
        <v>0</v>
      </c>
      <c r="E1284" s="19" t="n">
        <v>49.5833333333333</v>
      </c>
    </row>
    <row r="1285" customFormat="false" ht="15" hidden="false" customHeight="false" outlineLevel="0" collapsed="false">
      <c r="A1285" s="0" t="n">
        <v>1284</v>
      </c>
      <c r="B1285" s="18" t="n">
        <v>2435707.46727545</v>
      </c>
      <c r="C1285" s="18" t="n">
        <v>7070892.58526939</v>
      </c>
      <c r="D1285" s="0" t="n">
        <v>1</v>
      </c>
    </row>
    <row r="1286" customFormat="false" ht="15" hidden="false" customHeight="false" outlineLevel="0" collapsed="false">
      <c r="A1286" s="0" t="n">
        <v>1285</v>
      </c>
      <c r="B1286" s="18" t="n">
        <v>1758655.12142228</v>
      </c>
      <c r="C1286" s="18" t="n">
        <v>4169076.39959702</v>
      </c>
      <c r="D1286" s="0" t="n">
        <v>1</v>
      </c>
    </row>
    <row r="1287" customFormat="false" ht="15" hidden="false" customHeight="false" outlineLevel="0" collapsed="false">
      <c r="A1287" s="0" t="n">
        <v>1286</v>
      </c>
      <c r="B1287" s="18" t="n">
        <v>812256.007035862</v>
      </c>
      <c r="C1287" s="18" t="n">
        <v>0</v>
      </c>
      <c r="D1287" s="0" t="n">
        <v>0</v>
      </c>
      <c r="E1287" s="19" t="n">
        <v>41.3333333333333</v>
      </c>
    </row>
    <row r="1288" customFormat="false" ht="15" hidden="false" customHeight="false" outlineLevel="0" collapsed="false">
      <c r="A1288" s="0" t="n">
        <v>1287</v>
      </c>
      <c r="B1288" s="18" t="n">
        <v>375014.145043341</v>
      </c>
      <c r="C1288" s="18" t="n">
        <v>0</v>
      </c>
      <c r="D1288" s="0" t="n">
        <v>0</v>
      </c>
      <c r="E1288" s="19" t="n">
        <v>32.0833333333333</v>
      </c>
    </row>
    <row r="1289" customFormat="false" ht="15" hidden="false" customHeight="false" outlineLevel="0" collapsed="false">
      <c r="A1289" s="0" t="n">
        <v>1288</v>
      </c>
      <c r="B1289" s="18" t="n">
        <v>1788130.35180457</v>
      </c>
      <c r="C1289" s="18" t="n">
        <v>13955481.5743803</v>
      </c>
      <c r="D1289" s="0" t="n">
        <v>1</v>
      </c>
    </row>
    <row r="1290" customFormat="false" ht="15" hidden="false" customHeight="false" outlineLevel="0" collapsed="false">
      <c r="A1290" s="0" t="n">
        <v>1289</v>
      </c>
      <c r="B1290" s="18" t="n">
        <v>1190458.36128838</v>
      </c>
      <c r="C1290" s="18" t="n">
        <v>0</v>
      </c>
      <c r="D1290" s="0" t="n">
        <v>0</v>
      </c>
      <c r="E1290" s="19" t="n">
        <v>44.4166666666667</v>
      </c>
    </row>
    <row r="1291" customFormat="false" ht="15" hidden="false" customHeight="false" outlineLevel="0" collapsed="false">
      <c r="A1291" s="0" t="n">
        <v>1290</v>
      </c>
      <c r="B1291" s="18" t="n">
        <v>754551.392108396</v>
      </c>
      <c r="C1291" s="18" t="n">
        <v>0</v>
      </c>
      <c r="D1291" s="0" t="n">
        <v>0</v>
      </c>
      <c r="E1291" s="19" t="n">
        <v>35.3333333333333</v>
      </c>
    </row>
    <row r="1292" customFormat="false" ht="15" hidden="false" customHeight="false" outlineLevel="0" collapsed="false">
      <c r="A1292" s="0" t="n">
        <v>1291</v>
      </c>
      <c r="B1292" s="18" t="n">
        <v>1280024.04502664</v>
      </c>
      <c r="C1292" s="18" t="n">
        <v>8968684.95831815</v>
      </c>
      <c r="D1292" s="0" t="n">
        <v>1</v>
      </c>
    </row>
    <row r="1293" customFormat="false" ht="15" hidden="false" customHeight="false" outlineLevel="0" collapsed="false">
      <c r="A1293" s="0" t="n">
        <v>1292</v>
      </c>
      <c r="B1293" s="18" t="n">
        <v>912112.801108119</v>
      </c>
      <c r="C1293" s="18" t="n">
        <v>0</v>
      </c>
      <c r="D1293" s="0" t="n">
        <v>0</v>
      </c>
      <c r="E1293" s="19" t="n">
        <v>46.75</v>
      </c>
    </row>
    <row r="1294" customFormat="false" ht="15" hidden="false" customHeight="false" outlineLevel="0" collapsed="false">
      <c r="A1294" s="0" t="n">
        <v>1293</v>
      </c>
      <c r="B1294" s="18" t="n">
        <v>609814.885452249</v>
      </c>
      <c r="C1294" s="18" t="n">
        <v>0</v>
      </c>
      <c r="D1294" s="0" t="n">
        <v>0</v>
      </c>
      <c r="E1294" s="19" t="n">
        <v>35.5833333333333</v>
      </c>
    </row>
    <row r="1295" customFormat="false" ht="15" hidden="false" customHeight="false" outlineLevel="0" collapsed="false">
      <c r="A1295" s="0" t="n">
        <v>1294</v>
      </c>
      <c r="B1295" s="18" t="n">
        <v>776603.655079745</v>
      </c>
      <c r="C1295" s="18" t="n">
        <v>0</v>
      </c>
      <c r="D1295" s="0" t="n">
        <v>0</v>
      </c>
      <c r="E1295" s="19" t="n">
        <v>48.5833333333333</v>
      </c>
    </row>
    <row r="1296" customFormat="false" ht="15" hidden="false" customHeight="false" outlineLevel="0" collapsed="false">
      <c r="A1296" s="0" t="n">
        <v>1295</v>
      </c>
      <c r="B1296" s="18" t="n">
        <v>618175.537483739</v>
      </c>
      <c r="C1296" s="18" t="n">
        <v>0</v>
      </c>
      <c r="D1296" s="0" t="n">
        <v>0</v>
      </c>
      <c r="E1296" s="19" t="n">
        <v>36.75</v>
      </c>
    </row>
    <row r="1297" customFormat="false" ht="15" hidden="false" customHeight="false" outlineLevel="0" collapsed="false">
      <c r="A1297" s="0" t="n">
        <v>1296</v>
      </c>
      <c r="B1297" s="18" t="n">
        <v>2702119.27330487</v>
      </c>
      <c r="C1297" s="18" t="n">
        <v>5440401.94354252</v>
      </c>
      <c r="D1297" s="0" t="n">
        <v>1</v>
      </c>
    </row>
    <row r="1298" customFormat="false" ht="15" hidden="false" customHeight="false" outlineLevel="0" collapsed="false">
      <c r="A1298" s="0" t="n">
        <v>1297</v>
      </c>
      <c r="B1298" s="18" t="n">
        <v>448334.610834155</v>
      </c>
      <c r="C1298" s="18" t="n">
        <v>0</v>
      </c>
      <c r="D1298" s="0" t="n">
        <v>0</v>
      </c>
      <c r="E1298" s="19" t="n">
        <v>33.4166666666667</v>
      </c>
    </row>
    <row r="1299" customFormat="false" ht="15" hidden="false" customHeight="false" outlineLevel="0" collapsed="false">
      <c r="A1299" s="0" t="n">
        <v>1298</v>
      </c>
      <c r="B1299" s="18" t="n">
        <v>371303.470494518</v>
      </c>
      <c r="C1299" s="18" t="n">
        <v>0</v>
      </c>
      <c r="D1299" s="0" t="n">
        <v>0</v>
      </c>
      <c r="E1299" s="19" t="n">
        <v>34.4166666666667</v>
      </c>
    </row>
    <row r="1300" customFormat="false" ht="15" hidden="false" customHeight="false" outlineLevel="0" collapsed="false">
      <c r="A1300" s="0" t="n">
        <v>1299</v>
      </c>
      <c r="B1300" s="18" t="n">
        <v>1521372.31980773</v>
      </c>
      <c r="C1300" s="18" t="n">
        <v>14273849.324962</v>
      </c>
      <c r="D1300" s="0" t="n">
        <v>1</v>
      </c>
    </row>
    <row r="1301" customFormat="false" ht="15" hidden="false" customHeight="false" outlineLevel="0" collapsed="false">
      <c r="A1301" s="0" t="n">
        <v>1300</v>
      </c>
      <c r="B1301" s="18" t="n">
        <v>331104.610365101</v>
      </c>
      <c r="C1301" s="18" t="n">
        <v>0</v>
      </c>
      <c r="D1301" s="0" t="n">
        <v>0</v>
      </c>
      <c r="E1301" s="19" t="n">
        <v>31.1666666666667</v>
      </c>
    </row>
    <row r="1302" customFormat="false" ht="15" hidden="false" customHeight="false" outlineLevel="0" collapsed="false">
      <c r="A1302" s="0" t="n">
        <v>1301</v>
      </c>
      <c r="B1302" s="18" t="n">
        <v>1355745.96013544</v>
      </c>
      <c r="C1302" s="18" t="n">
        <v>18420335.7799036</v>
      </c>
      <c r="D1302" s="0" t="n">
        <v>1</v>
      </c>
    </row>
    <row r="1303" customFormat="false" ht="15" hidden="false" customHeight="false" outlineLevel="0" collapsed="false">
      <c r="A1303" s="0" t="n">
        <v>1302</v>
      </c>
      <c r="B1303" s="18" t="n">
        <v>1252636.93283747</v>
      </c>
      <c r="C1303" s="18" t="n">
        <v>3261172.79332938</v>
      </c>
      <c r="D1303" s="0" t="n">
        <v>1</v>
      </c>
    </row>
    <row r="1304" customFormat="false" ht="15" hidden="false" customHeight="false" outlineLevel="0" collapsed="false">
      <c r="A1304" s="0" t="n">
        <v>1303</v>
      </c>
      <c r="B1304" s="18" t="n">
        <v>945394.981370515</v>
      </c>
      <c r="C1304" s="18" t="n">
        <v>2305319.81236693</v>
      </c>
      <c r="D1304" s="0" t="n">
        <v>1</v>
      </c>
    </row>
    <row r="1305" customFormat="false" ht="15" hidden="false" customHeight="false" outlineLevel="0" collapsed="false">
      <c r="A1305" s="0" t="n">
        <v>1304</v>
      </c>
      <c r="B1305" s="18" t="n">
        <v>614564.644261579</v>
      </c>
      <c r="C1305" s="18" t="n">
        <v>0</v>
      </c>
      <c r="D1305" s="0" t="n">
        <v>0</v>
      </c>
      <c r="E1305" s="19" t="n">
        <v>33.25</v>
      </c>
    </row>
    <row r="1306" customFormat="false" ht="15" hidden="false" customHeight="false" outlineLevel="0" collapsed="false">
      <c r="A1306" s="0" t="n">
        <v>1305</v>
      </c>
      <c r="B1306" s="18" t="n">
        <v>1119638.81909114</v>
      </c>
      <c r="C1306" s="18" t="n">
        <v>0</v>
      </c>
      <c r="D1306" s="0" t="n">
        <v>0</v>
      </c>
      <c r="E1306" s="19" t="n">
        <v>44.3333333333333</v>
      </c>
    </row>
    <row r="1307" customFormat="false" ht="15" hidden="false" customHeight="false" outlineLevel="0" collapsed="false">
      <c r="A1307" s="0" t="n">
        <v>1306</v>
      </c>
      <c r="B1307" s="18" t="n">
        <v>2396792.48481743</v>
      </c>
      <c r="C1307" s="18" t="n">
        <v>3508663.24872393</v>
      </c>
      <c r="D1307" s="0" t="n">
        <v>1</v>
      </c>
    </row>
    <row r="1308" customFormat="false" ht="15" hidden="false" customHeight="false" outlineLevel="0" collapsed="false">
      <c r="A1308" s="0" t="n">
        <v>1307</v>
      </c>
      <c r="B1308" s="18" t="n">
        <v>4302872.47191762</v>
      </c>
      <c r="C1308" s="18" t="n">
        <v>16029595.267116</v>
      </c>
      <c r="D1308" s="0" t="n">
        <v>1</v>
      </c>
    </row>
    <row r="1309" customFormat="false" ht="15" hidden="false" customHeight="false" outlineLevel="0" collapsed="false">
      <c r="A1309" s="0" t="n">
        <v>1308</v>
      </c>
      <c r="B1309" s="18" t="n">
        <v>684996.364437396</v>
      </c>
      <c r="C1309" s="18" t="n">
        <v>0</v>
      </c>
      <c r="D1309" s="0" t="n">
        <v>0</v>
      </c>
      <c r="E1309" s="19" t="n">
        <v>40.5</v>
      </c>
    </row>
    <row r="1310" customFormat="false" ht="15" hidden="false" customHeight="false" outlineLevel="0" collapsed="false">
      <c r="A1310" s="0" t="n">
        <v>1309</v>
      </c>
      <c r="B1310" s="18" t="n">
        <v>528602.441796548</v>
      </c>
      <c r="C1310" s="18" t="n">
        <v>0</v>
      </c>
      <c r="D1310" s="0" t="n">
        <v>0</v>
      </c>
      <c r="E1310" s="19" t="n">
        <v>35.3333333333333</v>
      </c>
    </row>
    <row r="1311" customFormat="false" ht="15" hidden="false" customHeight="false" outlineLevel="0" collapsed="false">
      <c r="A1311" s="0" t="n">
        <v>1310</v>
      </c>
      <c r="B1311" s="18" t="n">
        <v>941098.959828289</v>
      </c>
      <c r="C1311" s="18" t="n">
        <v>0</v>
      </c>
      <c r="D1311" s="0" t="n">
        <v>0</v>
      </c>
      <c r="E1311" s="19" t="n">
        <v>50.6666666666667</v>
      </c>
    </row>
    <row r="1312" customFormat="false" ht="15" hidden="false" customHeight="false" outlineLevel="0" collapsed="false">
      <c r="A1312" s="0" t="n">
        <v>1311</v>
      </c>
      <c r="B1312" s="18" t="n">
        <v>424206.709135085</v>
      </c>
      <c r="C1312" s="18" t="n">
        <v>0</v>
      </c>
      <c r="D1312" s="0" t="n">
        <v>0</v>
      </c>
      <c r="E1312" s="19" t="n">
        <v>33.3333333333333</v>
      </c>
    </row>
    <row r="1313" customFormat="false" ht="15" hidden="false" customHeight="false" outlineLevel="0" collapsed="false">
      <c r="A1313" s="0" t="n">
        <v>1312</v>
      </c>
      <c r="B1313" s="18" t="n">
        <v>401552.627708318</v>
      </c>
      <c r="C1313" s="18" t="n">
        <v>0</v>
      </c>
      <c r="D1313" s="0" t="n">
        <v>0</v>
      </c>
      <c r="E1313" s="19" t="n">
        <v>34.75</v>
      </c>
    </row>
    <row r="1314" customFormat="false" ht="15" hidden="false" customHeight="false" outlineLevel="0" collapsed="false">
      <c r="A1314" s="0" t="n">
        <v>1313</v>
      </c>
      <c r="B1314" s="18" t="n">
        <v>858881.66558654</v>
      </c>
      <c r="C1314" s="18" t="n">
        <v>16149002.1240717</v>
      </c>
      <c r="D1314" s="0" t="n">
        <v>1</v>
      </c>
    </row>
    <row r="1315" customFormat="false" ht="15" hidden="false" customHeight="false" outlineLevel="0" collapsed="false">
      <c r="A1315" s="0" t="n">
        <v>1314</v>
      </c>
      <c r="B1315" s="18" t="n">
        <v>794667.333453116</v>
      </c>
      <c r="C1315" s="18" t="n">
        <v>0</v>
      </c>
      <c r="D1315" s="0" t="n">
        <v>0</v>
      </c>
      <c r="E1315" s="19" t="n">
        <v>43.8333333333333</v>
      </c>
    </row>
    <row r="1316" customFormat="false" ht="15" hidden="false" customHeight="false" outlineLevel="0" collapsed="false">
      <c r="A1316" s="0" t="n">
        <v>1315</v>
      </c>
      <c r="B1316" s="18" t="n">
        <v>711287.515909644</v>
      </c>
      <c r="C1316" s="18" t="n">
        <v>0</v>
      </c>
      <c r="D1316" s="0" t="n">
        <v>0</v>
      </c>
      <c r="E1316" s="19" t="n">
        <v>38.3333333333333</v>
      </c>
    </row>
    <row r="1317" customFormat="false" ht="15" hidden="false" customHeight="false" outlineLevel="0" collapsed="false">
      <c r="A1317" s="0" t="n">
        <v>1316</v>
      </c>
      <c r="B1317" s="18" t="n">
        <v>338543.714587594</v>
      </c>
      <c r="C1317" s="18" t="n">
        <v>0</v>
      </c>
      <c r="D1317" s="0" t="n">
        <v>0</v>
      </c>
      <c r="E1317" s="19" t="n">
        <v>33</v>
      </c>
    </row>
    <row r="1318" customFormat="false" ht="15" hidden="false" customHeight="false" outlineLevel="0" collapsed="false">
      <c r="A1318" s="0" t="n">
        <v>1317</v>
      </c>
      <c r="B1318" s="18" t="n">
        <v>524680.667933476</v>
      </c>
      <c r="C1318" s="18" t="n">
        <v>0</v>
      </c>
      <c r="D1318" s="0" t="n">
        <v>0</v>
      </c>
      <c r="E1318" s="19" t="n">
        <v>36.8333333333333</v>
      </c>
    </row>
    <row r="1319" customFormat="false" ht="15" hidden="false" customHeight="false" outlineLevel="0" collapsed="false">
      <c r="A1319" s="0" t="n">
        <v>1318</v>
      </c>
      <c r="B1319" s="18" t="n">
        <v>2141061.92259205</v>
      </c>
      <c r="C1319" s="18" t="n">
        <v>1239695.02363821</v>
      </c>
      <c r="D1319" s="0" t="n">
        <v>1</v>
      </c>
    </row>
    <row r="1320" customFormat="false" ht="15" hidden="false" customHeight="false" outlineLevel="0" collapsed="false">
      <c r="A1320" s="0" t="n">
        <v>1319</v>
      </c>
      <c r="B1320" s="18" t="n">
        <v>270258.420406752</v>
      </c>
      <c r="C1320" s="18" t="n">
        <v>0</v>
      </c>
      <c r="D1320" s="0" t="n">
        <v>0</v>
      </c>
      <c r="E1320" s="19" t="n">
        <v>30</v>
      </c>
    </row>
    <row r="1321" customFormat="false" ht="15" hidden="false" customHeight="false" outlineLevel="0" collapsed="false">
      <c r="A1321" s="0" t="n">
        <v>1320</v>
      </c>
      <c r="B1321" s="18" t="n">
        <v>1075839.51996202</v>
      </c>
      <c r="C1321" s="18" t="n">
        <v>0</v>
      </c>
      <c r="D1321" s="0" t="n">
        <v>0</v>
      </c>
      <c r="E1321" s="19" t="n">
        <v>43.3333333333333</v>
      </c>
    </row>
    <row r="1322" customFormat="false" ht="15" hidden="false" customHeight="false" outlineLevel="0" collapsed="false">
      <c r="A1322" s="0" t="n">
        <v>1321</v>
      </c>
      <c r="B1322" s="18" t="n">
        <v>1497414.16034406</v>
      </c>
      <c r="C1322" s="18" t="n">
        <v>11329206.9347092</v>
      </c>
      <c r="D1322" s="0" t="n">
        <v>1</v>
      </c>
    </row>
    <row r="1323" customFormat="false" ht="15" hidden="false" customHeight="false" outlineLevel="0" collapsed="false">
      <c r="A1323" s="0" t="n">
        <v>1322</v>
      </c>
      <c r="B1323" s="18" t="n">
        <v>671257.281878846</v>
      </c>
      <c r="C1323" s="18" t="n">
        <v>0</v>
      </c>
      <c r="D1323" s="0" t="n">
        <v>0</v>
      </c>
      <c r="E1323" s="19" t="n">
        <v>50.25</v>
      </c>
    </row>
    <row r="1324" customFormat="false" ht="15" hidden="false" customHeight="false" outlineLevel="0" collapsed="false">
      <c r="A1324" s="0" t="n">
        <v>1323</v>
      </c>
      <c r="B1324" s="18" t="n">
        <v>523265.693027823</v>
      </c>
      <c r="C1324" s="18" t="n">
        <v>0</v>
      </c>
      <c r="D1324" s="0" t="n">
        <v>0</v>
      </c>
      <c r="E1324" s="19" t="n">
        <v>34.4166666666667</v>
      </c>
    </row>
    <row r="1325" customFormat="false" ht="15" hidden="false" customHeight="false" outlineLevel="0" collapsed="false">
      <c r="A1325" s="0" t="n">
        <v>1324</v>
      </c>
      <c r="B1325" s="18" t="n">
        <v>148961.416502865</v>
      </c>
      <c r="C1325" s="18" t="n">
        <v>0</v>
      </c>
      <c r="D1325" s="0" t="n">
        <v>0</v>
      </c>
      <c r="E1325" s="19" t="n">
        <v>27.25</v>
      </c>
    </row>
    <row r="1326" customFormat="false" ht="15" hidden="false" customHeight="false" outlineLevel="0" collapsed="false">
      <c r="A1326" s="0" t="n">
        <v>1325</v>
      </c>
      <c r="B1326" s="18" t="n">
        <v>984871.135422643</v>
      </c>
      <c r="C1326" s="18" t="n">
        <v>4411862.20540141</v>
      </c>
      <c r="D1326" s="0" t="n">
        <v>1</v>
      </c>
    </row>
    <row r="1327" customFormat="false" ht="15" hidden="false" customHeight="false" outlineLevel="0" collapsed="false">
      <c r="A1327" s="0" t="n">
        <v>1326</v>
      </c>
      <c r="B1327" s="18" t="n">
        <v>1218265.50873272</v>
      </c>
      <c r="C1327" s="18" t="n">
        <v>2349322.09595017</v>
      </c>
      <c r="D1327" s="0" t="n">
        <v>1</v>
      </c>
    </row>
    <row r="1328" customFormat="false" ht="15" hidden="false" customHeight="false" outlineLevel="0" collapsed="false">
      <c r="A1328" s="0" t="n">
        <v>1327</v>
      </c>
      <c r="B1328" s="18" t="n">
        <v>975975.591026676</v>
      </c>
      <c r="C1328" s="18" t="n">
        <v>0</v>
      </c>
      <c r="D1328" s="0" t="n">
        <v>0</v>
      </c>
      <c r="E1328" s="19" t="n">
        <v>40.4166666666667</v>
      </c>
    </row>
    <row r="1329" customFormat="false" ht="15" hidden="false" customHeight="false" outlineLevel="0" collapsed="false">
      <c r="A1329" s="0" t="n">
        <v>1328</v>
      </c>
      <c r="B1329" s="18" t="n">
        <v>722402.739018476</v>
      </c>
      <c r="C1329" s="18" t="n">
        <v>0</v>
      </c>
      <c r="D1329" s="0" t="n">
        <v>0</v>
      </c>
      <c r="E1329" s="19" t="n">
        <v>35.3333333333333</v>
      </c>
    </row>
    <row r="1330" customFormat="false" ht="15" hidden="false" customHeight="false" outlineLevel="0" collapsed="false">
      <c r="A1330" s="0" t="n">
        <v>1329</v>
      </c>
      <c r="B1330" s="18" t="n">
        <v>1052105.87125488</v>
      </c>
      <c r="C1330" s="18" t="n">
        <v>3093555.85055527</v>
      </c>
      <c r="D1330" s="0" t="n">
        <v>1</v>
      </c>
    </row>
    <row r="1331" customFormat="false" ht="15" hidden="false" customHeight="false" outlineLevel="0" collapsed="false">
      <c r="A1331" s="0" t="n">
        <v>1330</v>
      </c>
      <c r="B1331" s="18" t="n">
        <v>610214.880940227</v>
      </c>
      <c r="C1331" s="18" t="n">
        <v>0</v>
      </c>
      <c r="D1331" s="0" t="n">
        <v>0</v>
      </c>
      <c r="E1331" s="19" t="n">
        <v>35.9166666666667</v>
      </c>
    </row>
    <row r="1332" customFormat="false" ht="15" hidden="false" customHeight="false" outlineLevel="0" collapsed="false">
      <c r="A1332" s="0" t="n">
        <v>1331</v>
      </c>
      <c r="B1332" s="18" t="n">
        <v>1361345.28505541</v>
      </c>
      <c r="C1332" s="18" t="n">
        <v>0</v>
      </c>
      <c r="D1332" s="0" t="n">
        <v>0</v>
      </c>
      <c r="E1332" s="19" t="n">
        <v>43.8333333333333</v>
      </c>
    </row>
    <row r="1333" customFormat="false" ht="15" hidden="false" customHeight="false" outlineLevel="0" collapsed="false">
      <c r="A1333" s="0" t="n">
        <v>1332</v>
      </c>
      <c r="B1333" s="18" t="n">
        <v>1995226.56303839</v>
      </c>
      <c r="C1333" s="18" t="n">
        <v>7848072.85386735</v>
      </c>
      <c r="D1333" s="0" t="n">
        <v>1</v>
      </c>
    </row>
    <row r="1334" customFormat="false" ht="15" hidden="false" customHeight="false" outlineLevel="0" collapsed="false">
      <c r="A1334" s="0" t="n">
        <v>1333</v>
      </c>
      <c r="B1334" s="18" t="n">
        <v>1330670.92452168</v>
      </c>
      <c r="C1334" s="18" t="n">
        <v>12875932.2598366</v>
      </c>
      <c r="D1334" s="0" t="n">
        <v>1</v>
      </c>
    </row>
    <row r="1335" customFormat="false" ht="15" hidden="false" customHeight="false" outlineLevel="0" collapsed="false">
      <c r="A1335" s="0" t="n">
        <v>1334</v>
      </c>
      <c r="B1335" s="18" t="n">
        <v>2430420.69606753</v>
      </c>
      <c r="C1335" s="18" t="n">
        <v>24966827.8243079</v>
      </c>
      <c r="D1335" s="0" t="n">
        <v>1</v>
      </c>
    </row>
    <row r="1336" customFormat="false" ht="15" hidden="false" customHeight="false" outlineLevel="0" collapsed="false">
      <c r="A1336" s="0" t="n">
        <v>1335</v>
      </c>
      <c r="B1336" s="18" t="n">
        <v>555347.149923088</v>
      </c>
      <c r="C1336" s="18" t="n">
        <v>0</v>
      </c>
      <c r="D1336" s="0" t="n">
        <v>0</v>
      </c>
      <c r="E1336" s="19" t="n">
        <v>35</v>
      </c>
    </row>
    <row r="1337" customFormat="false" ht="15" hidden="false" customHeight="false" outlineLevel="0" collapsed="false">
      <c r="A1337" s="0" t="n">
        <v>1336</v>
      </c>
      <c r="B1337" s="18" t="n">
        <v>908350.585148882</v>
      </c>
      <c r="C1337" s="18" t="n">
        <v>770589.244890333</v>
      </c>
      <c r="D1337" s="0" t="n">
        <v>1</v>
      </c>
    </row>
    <row r="1338" customFormat="false" ht="15" hidden="false" customHeight="false" outlineLevel="0" collapsed="false">
      <c r="A1338" s="0" t="n">
        <v>1337</v>
      </c>
      <c r="B1338" s="18" t="n">
        <v>892842.396818547</v>
      </c>
      <c r="C1338" s="18" t="n">
        <v>0</v>
      </c>
      <c r="D1338" s="0" t="n">
        <v>0</v>
      </c>
      <c r="E1338" s="19" t="n">
        <v>47.6666666666667</v>
      </c>
    </row>
    <row r="1339" customFormat="false" ht="15" hidden="false" customHeight="false" outlineLevel="0" collapsed="false">
      <c r="A1339" s="0" t="n">
        <v>1338</v>
      </c>
      <c r="B1339" s="18" t="n">
        <v>871096.071186918</v>
      </c>
      <c r="C1339" s="18" t="n">
        <v>802676.619072769</v>
      </c>
      <c r="D1339" s="0" t="n">
        <v>1</v>
      </c>
    </row>
    <row r="1340" customFormat="false" ht="15" hidden="false" customHeight="false" outlineLevel="0" collapsed="false">
      <c r="A1340" s="0" t="n">
        <v>1339</v>
      </c>
      <c r="B1340" s="18" t="n">
        <v>1224205.2308882</v>
      </c>
      <c r="C1340" s="18" t="n">
        <v>495138.584557457</v>
      </c>
      <c r="D1340" s="0" t="n">
        <v>1</v>
      </c>
    </row>
    <row r="1341" customFormat="false" ht="15" hidden="false" customHeight="false" outlineLevel="0" collapsed="false">
      <c r="A1341" s="0" t="n">
        <v>1340</v>
      </c>
      <c r="B1341" s="18" t="n">
        <v>611825.728208518</v>
      </c>
      <c r="C1341" s="18" t="n">
        <v>0</v>
      </c>
      <c r="D1341" s="0" t="n">
        <v>0</v>
      </c>
      <c r="E1341" s="19" t="n">
        <v>46.25</v>
      </c>
    </row>
    <row r="1342" customFormat="false" ht="15" hidden="false" customHeight="false" outlineLevel="0" collapsed="false">
      <c r="A1342" s="0" t="n">
        <v>1341</v>
      </c>
      <c r="B1342" s="18" t="n">
        <v>676284.153919614</v>
      </c>
      <c r="C1342" s="18" t="n">
        <v>0</v>
      </c>
      <c r="D1342" s="0" t="n">
        <v>0</v>
      </c>
      <c r="E1342" s="19" t="n">
        <v>34.25</v>
      </c>
    </row>
    <row r="1343" customFormat="false" ht="15" hidden="false" customHeight="false" outlineLevel="0" collapsed="false">
      <c r="A1343" s="0" t="n">
        <v>1342</v>
      </c>
      <c r="B1343" s="18" t="n">
        <v>1027632.23620569</v>
      </c>
      <c r="C1343" s="18" t="n">
        <v>0</v>
      </c>
      <c r="D1343" s="0" t="n">
        <v>0</v>
      </c>
      <c r="E1343" s="19" t="n">
        <v>44.75</v>
      </c>
    </row>
    <row r="1344" customFormat="false" ht="15" hidden="false" customHeight="false" outlineLevel="0" collapsed="false">
      <c r="A1344" s="0" t="n">
        <v>1343</v>
      </c>
      <c r="B1344" s="18" t="n">
        <v>2187021.00886126</v>
      </c>
      <c r="C1344" s="18" t="n">
        <v>11258070.9766508</v>
      </c>
      <c r="D1344" s="0" t="n">
        <v>1</v>
      </c>
    </row>
    <row r="1345" customFormat="false" ht="15" hidden="false" customHeight="false" outlineLevel="0" collapsed="false">
      <c r="A1345" s="0" t="n">
        <v>1344</v>
      </c>
      <c r="B1345" s="18" t="n">
        <v>1860123.38420118</v>
      </c>
      <c r="C1345" s="18" t="n">
        <v>15247873.0373023</v>
      </c>
      <c r="D1345" s="0" t="n">
        <v>1</v>
      </c>
    </row>
    <row r="1346" customFormat="false" ht="15" hidden="false" customHeight="false" outlineLevel="0" collapsed="false">
      <c r="A1346" s="0" t="n">
        <v>1345</v>
      </c>
      <c r="B1346" s="18" t="n">
        <v>886311.52445915</v>
      </c>
      <c r="C1346" s="18" t="n">
        <v>0</v>
      </c>
      <c r="D1346" s="0" t="n">
        <v>0</v>
      </c>
      <c r="E1346" s="19" t="n">
        <v>39.5833333333333</v>
      </c>
    </row>
    <row r="1347" customFormat="false" ht="15" hidden="false" customHeight="false" outlineLevel="0" collapsed="false">
      <c r="A1347" s="0" t="n">
        <v>1346</v>
      </c>
      <c r="B1347" s="18" t="n">
        <v>1168066.31100517</v>
      </c>
      <c r="C1347" s="18" t="n">
        <v>1714259.73851519</v>
      </c>
      <c r="D1347" s="0" t="n">
        <v>1</v>
      </c>
    </row>
    <row r="1348" customFormat="false" ht="15" hidden="false" customHeight="false" outlineLevel="0" collapsed="false">
      <c r="A1348" s="0" t="n">
        <v>1347</v>
      </c>
      <c r="B1348" s="18" t="n">
        <v>1728825.27330581</v>
      </c>
      <c r="C1348" s="18" t="n">
        <v>3144353.02046169</v>
      </c>
      <c r="D1348" s="0" t="n">
        <v>1</v>
      </c>
    </row>
    <row r="1349" customFormat="false" ht="15" hidden="false" customHeight="false" outlineLevel="0" collapsed="false">
      <c r="A1349" s="0" t="n">
        <v>1348</v>
      </c>
      <c r="B1349" s="18" t="n">
        <v>978571.378304654</v>
      </c>
      <c r="C1349" s="18" t="n">
        <v>0</v>
      </c>
      <c r="D1349" s="0" t="n">
        <v>0</v>
      </c>
      <c r="E1349" s="19" t="n">
        <v>42.75</v>
      </c>
    </row>
    <row r="1350" customFormat="false" ht="15" hidden="false" customHeight="false" outlineLevel="0" collapsed="false">
      <c r="A1350" s="0" t="n">
        <v>1349</v>
      </c>
      <c r="B1350" s="18" t="n">
        <v>897013.659384516</v>
      </c>
      <c r="C1350" s="18" t="n">
        <v>0</v>
      </c>
      <c r="D1350" s="0" t="n">
        <v>0</v>
      </c>
      <c r="E1350" s="19" t="n">
        <v>48</v>
      </c>
    </row>
    <row r="1351" customFormat="false" ht="15" hidden="false" customHeight="false" outlineLevel="0" collapsed="false">
      <c r="A1351" s="0" t="n">
        <v>1350</v>
      </c>
      <c r="B1351" s="18" t="n">
        <v>1457411.88675186</v>
      </c>
      <c r="C1351" s="18" t="n">
        <v>0</v>
      </c>
      <c r="D1351" s="0" t="n">
        <v>0</v>
      </c>
      <c r="E1351" s="19" t="n">
        <v>52.0833333333333</v>
      </c>
    </row>
    <row r="1352" customFormat="false" ht="15" hidden="false" customHeight="false" outlineLevel="0" collapsed="false">
      <c r="A1352" s="0" t="n">
        <v>1351</v>
      </c>
      <c r="B1352" s="18" t="n">
        <v>518919.065592873</v>
      </c>
      <c r="C1352" s="18" t="n">
        <v>0</v>
      </c>
      <c r="D1352" s="0" t="n">
        <v>0</v>
      </c>
      <c r="E1352" s="19" t="n">
        <v>32.0833333333333</v>
      </c>
    </row>
    <row r="1353" customFormat="false" ht="15" hidden="false" customHeight="false" outlineLevel="0" collapsed="false">
      <c r="A1353" s="0" t="n">
        <v>1352</v>
      </c>
      <c r="B1353" s="18" t="n">
        <v>3059914.94047204</v>
      </c>
      <c r="C1353" s="18" t="n">
        <v>14590115.1870892</v>
      </c>
      <c r="D1353" s="0" t="n">
        <v>1</v>
      </c>
    </row>
    <row r="1354" customFormat="false" ht="15" hidden="false" customHeight="false" outlineLevel="0" collapsed="false">
      <c r="A1354" s="0" t="n">
        <v>1353</v>
      </c>
      <c r="B1354" s="18" t="n">
        <v>740514.965852826</v>
      </c>
      <c r="C1354" s="18" t="n">
        <v>0</v>
      </c>
      <c r="D1354" s="0" t="n">
        <v>0</v>
      </c>
      <c r="E1354" s="19" t="n">
        <v>36.6666666666667</v>
      </c>
    </row>
    <row r="1355" customFormat="false" ht="15" hidden="false" customHeight="false" outlineLevel="0" collapsed="false">
      <c r="A1355" s="0" t="n">
        <v>1354</v>
      </c>
      <c r="B1355" s="18" t="n">
        <v>273377.65273413</v>
      </c>
      <c r="C1355" s="18" t="n">
        <v>0</v>
      </c>
      <c r="D1355" s="0" t="n">
        <v>0</v>
      </c>
      <c r="E1355" s="19" t="n">
        <v>29.4166666666667</v>
      </c>
    </row>
    <row r="1356" customFormat="false" ht="15" hidden="false" customHeight="false" outlineLevel="0" collapsed="false">
      <c r="A1356" s="0" t="n">
        <v>1355</v>
      </c>
      <c r="B1356" s="18" t="n">
        <v>959819.643698078</v>
      </c>
      <c r="C1356" s="18" t="n">
        <v>0</v>
      </c>
      <c r="D1356" s="0" t="n">
        <v>0</v>
      </c>
      <c r="E1356" s="19" t="n">
        <v>43.0833333333333</v>
      </c>
    </row>
    <row r="1357" customFormat="false" ht="15" hidden="false" customHeight="false" outlineLevel="0" collapsed="false">
      <c r="A1357" s="0" t="n">
        <v>1356</v>
      </c>
      <c r="B1357" s="18" t="n">
        <v>1668065.42930934</v>
      </c>
      <c r="C1357" s="18" t="n">
        <v>218517.912236233</v>
      </c>
      <c r="D1357" s="0" t="n">
        <v>1</v>
      </c>
    </row>
    <row r="1358" customFormat="false" ht="15" hidden="false" customHeight="false" outlineLevel="0" collapsed="false">
      <c r="A1358" s="0" t="n">
        <v>1357</v>
      </c>
      <c r="B1358" s="18" t="n">
        <v>1299687.39370277</v>
      </c>
      <c r="C1358" s="18" t="n">
        <v>10128727.1078293</v>
      </c>
      <c r="D1358" s="0" t="n">
        <v>1</v>
      </c>
    </row>
    <row r="1359" customFormat="false" ht="15" hidden="false" customHeight="false" outlineLevel="0" collapsed="false">
      <c r="A1359" s="0" t="n">
        <v>1358</v>
      </c>
      <c r="B1359" s="18" t="n">
        <v>1011149.64605883</v>
      </c>
      <c r="C1359" s="18" t="n">
        <v>5811516.35345604</v>
      </c>
      <c r="D1359" s="0" t="n">
        <v>1</v>
      </c>
    </row>
    <row r="1360" customFormat="false" ht="15" hidden="false" customHeight="false" outlineLevel="0" collapsed="false">
      <c r="A1360" s="0" t="n">
        <v>1359</v>
      </c>
      <c r="B1360" s="18" t="n">
        <v>824373.583201325</v>
      </c>
      <c r="C1360" s="18" t="n">
        <v>5256861.9803491</v>
      </c>
      <c r="D1360" s="0" t="n">
        <v>1</v>
      </c>
    </row>
    <row r="1361" customFormat="false" ht="15" hidden="false" customHeight="false" outlineLevel="0" collapsed="false">
      <c r="A1361" s="0" t="n">
        <v>1360</v>
      </c>
      <c r="B1361" s="18" t="n">
        <v>421541.770834749</v>
      </c>
      <c r="C1361" s="18" t="n">
        <v>0</v>
      </c>
      <c r="D1361" s="0" t="n">
        <v>0</v>
      </c>
      <c r="E1361" s="19" t="n">
        <v>34.8333333333333</v>
      </c>
    </row>
    <row r="1362" customFormat="false" ht="15" hidden="false" customHeight="false" outlineLevel="0" collapsed="false">
      <c r="A1362" s="0" t="n">
        <v>1361</v>
      </c>
      <c r="B1362" s="18" t="n">
        <v>977583.195688873</v>
      </c>
      <c r="C1362" s="18" t="n">
        <v>904498.555968235</v>
      </c>
      <c r="D1362" s="0" t="n">
        <v>1</v>
      </c>
    </row>
    <row r="1363" customFormat="false" ht="15" hidden="false" customHeight="false" outlineLevel="0" collapsed="false">
      <c r="A1363" s="0" t="n">
        <v>1362</v>
      </c>
      <c r="B1363" s="18" t="n">
        <v>890949.243290723</v>
      </c>
      <c r="C1363" s="18" t="n">
        <v>0</v>
      </c>
      <c r="D1363" s="0" t="n">
        <v>0</v>
      </c>
      <c r="E1363" s="19" t="n">
        <v>37.6666666666667</v>
      </c>
    </row>
    <row r="1364" customFormat="false" ht="15" hidden="false" customHeight="false" outlineLevel="0" collapsed="false">
      <c r="A1364" s="0" t="n">
        <v>1363</v>
      </c>
      <c r="B1364" s="18" t="n">
        <v>1273352.70888383</v>
      </c>
      <c r="C1364" s="18" t="n">
        <v>1502391.48238939</v>
      </c>
      <c r="D1364" s="0" t="n">
        <v>1</v>
      </c>
    </row>
    <row r="1365" customFormat="false" ht="15" hidden="false" customHeight="false" outlineLevel="0" collapsed="false">
      <c r="A1365" s="0" t="n">
        <v>1364</v>
      </c>
      <c r="B1365" s="18" t="n">
        <v>713371.784918112</v>
      </c>
      <c r="C1365" s="18" t="n">
        <v>0</v>
      </c>
      <c r="D1365" s="0" t="n">
        <v>0</v>
      </c>
      <c r="E1365" s="19" t="n">
        <v>46.0833333333333</v>
      </c>
    </row>
    <row r="1366" customFormat="false" ht="15" hidden="false" customHeight="false" outlineLevel="0" collapsed="false">
      <c r="A1366" s="0" t="n">
        <v>1365</v>
      </c>
      <c r="B1366" s="18" t="n">
        <v>810009.766166964</v>
      </c>
      <c r="C1366" s="18" t="n">
        <v>0</v>
      </c>
      <c r="D1366" s="0" t="n">
        <v>0</v>
      </c>
      <c r="E1366" s="19" t="n">
        <v>35.6666666666667</v>
      </c>
    </row>
    <row r="1367" customFormat="false" ht="15" hidden="false" customHeight="false" outlineLevel="0" collapsed="false">
      <c r="A1367" s="0" t="n">
        <v>1366</v>
      </c>
      <c r="B1367" s="18" t="n">
        <v>815111.536500037</v>
      </c>
      <c r="C1367" s="18" t="n">
        <v>0</v>
      </c>
      <c r="D1367" s="0" t="n">
        <v>0</v>
      </c>
      <c r="E1367" s="19" t="n">
        <v>39.1666666666667</v>
      </c>
    </row>
    <row r="1368" customFormat="false" ht="15" hidden="false" customHeight="false" outlineLevel="0" collapsed="false">
      <c r="A1368" s="0" t="n">
        <v>1367</v>
      </c>
      <c r="B1368" s="18" t="n">
        <v>1736947.82819376</v>
      </c>
      <c r="C1368" s="18" t="n">
        <v>799947.942908404</v>
      </c>
      <c r="D1368" s="0" t="n">
        <v>1</v>
      </c>
    </row>
    <row r="1369" customFormat="false" ht="15" hidden="false" customHeight="false" outlineLevel="0" collapsed="false">
      <c r="A1369" s="0" t="n">
        <v>1368</v>
      </c>
      <c r="B1369" s="18" t="n">
        <v>1604160.64657218</v>
      </c>
      <c r="C1369" s="18" t="n">
        <v>694975.546124586</v>
      </c>
      <c r="D1369" s="0" t="n">
        <v>1</v>
      </c>
    </row>
    <row r="1370" customFormat="false" ht="15" hidden="false" customHeight="false" outlineLevel="0" collapsed="false">
      <c r="A1370" s="0" t="n">
        <v>1369</v>
      </c>
      <c r="B1370" s="18" t="n">
        <v>1403559.66826128</v>
      </c>
      <c r="C1370" s="18" t="n">
        <v>4202048.90235115</v>
      </c>
      <c r="D1370" s="0" t="n">
        <v>1</v>
      </c>
    </row>
    <row r="1371" customFormat="false" ht="15" hidden="false" customHeight="false" outlineLevel="0" collapsed="false">
      <c r="A1371" s="0" t="n">
        <v>1370</v>
      </c>
      <c r="B1371" s="18" t="n">
        <v>700316.981525432</v>
      </c>
      <c r="C1371" s="18" t="n">
        <v>0</v>
      </c>
      <c r="D1371" s="0" t="n">
        <v>0</v>
      </c>
      <c r="E1371" s="19" t="n">
        <v>39</v>
      </c>
    </row>
    <row r="1372" customFormat="false" ht="15" hidden="false" customHeight="false" outlineLevel="0" collapsed="false">
      <c r="A1372" s="0" t="n">
        <v>1371</v>
      </c>
      <c r="B1372" s="18" t="n">
        <v>3762588.09312657</v>
      </c>
      <c r="C1372" s="18" t="n">
        <v>60666201.0008448</v>
      </c>
      <c r="D1372" s="0" t="n">
        <v>1</v>
      </c>
    </row>
    <row r="1373" customFormat="false" ht="15" hidden="false" customHeight="false" outlineLevel="0" collapsed="false">
      <c r="A1373" s="0" t="n">
        <v>1372</v>
      </c>
      <c r="B1373" s="18" t="n">
        <v>689804.195648557</v>
      </c>
      <c r="C1373" s="18" t="n">
        <v>0</v>
      </c>
      <c r="D1373" s="0" t="n">
        <v>0</v>
      </c>
      <c r="E1373" s="19" t="n">
        <v>43.5</v>
      </c>
    </row>
    <row r="1374" customFormat="false" ht="15" hidden="false" customHeight="false" outlineLevel="0" collapsed="false">
      <c r="A1374" s="0" t="n">
        <v>1373</v>
      </c>
      <c r="B1374" s="18" t="n">
        <v>1289919.65375119</v>
      </c>
      <c r="C1374" s="18" t="n">
        <v>0</v>
      </c>
      <c r="D1374" s="0" t="n">
        <v>0</v>
      </c>
      <c r="E1374" s="19" t="n">
        <v>47.5</v>
      </c>
    </row>
    <row r="1375" customFormat="false" ht="15" hidden="false" customHeight="false" outlineLevel="0" collapsed="false">
      <c r="A1375" s="0" t="n">
        <v>1374</v>
      </c>
      <c r="B1375" s="18" t="n">
        <v>2675358.51462385</v>
      </c>
      <c r="C1375" s="18" t="n">
        <v>30455583.4979347</v>
      </c>
      <c r="D1375" s="0" t="n">
        <v>1</v>
      </c>
    </row>
    <row r="1376" customFormat="false" ht="15" hidden="false" customHeight="false" outlineLevel="0" collapsed="false">
      <c r="A1376" s="0" t="n">
        <v>1375</v>
      </c>
      <c r="B1376" s="18" t="n">
        <v>1291655.82988158</v>
      </c>
      <c r="C1376" s="18" t="n">
        <v>0</v>
      </c>
      <c r="D1376" s="0" t="n">
        <v>0</v>
      </c>
      <c r="E1376" s="19" t="n">
        <v>54.6666666666667</v>
      </c>
    </row>
    <row r="1377" customFormat="false" ht="15" hidden="false" customHeight="false" outlineLevel="0" collapsed="false">
      <c r="A1377" s="0" t="n">
        <v>1376</v>
      </c>
      <c r="B1377" s="18" t="n">
        <v>3387225.17631417</v>
      </c>
      <c r="C1377" s="18" t="n">
        <v>41529130.5346177</v>
      </c>
      <c r="D1377" s="0" t="n">
        <v>1</v>
      </c>
    </row>
    <row r="1378" customFormat="false" ht="15" hidden="false" customHeight="false" outlineLevel="0" collapsed="false">
      <c r="A1378" s="0" t="n">
        <v>1377</v>
      </c>
      <c r="B1378" s="18" t="n">
        <v>1377677.05396053</v>
      </c>
      <c r="C1378" s="18" t="n">
        <v>0</v>
      </c>
      <c r="D1378" s="0" t="n">
        <v>0</v>
      </c>
      <c r="E1378" s="19" t="n">
        <v>50.9166666666667</v>
      </c>
    </row>
    <row r="1379" customFormat="false" ht="15" hidden="false" customHeight="false" outlineLevel="0" collapsed="false">
      <c r="A1379" s="0" t="n">
        <v>1378</v>
      </c>
      <c r="B1379" s="18" t="n">
        <v>837318.898313183</v>
      </c>
      <c r="C1379" s="18" t="n">
        <v>0</v>
      </c>
      <c r="D1379" s="0" t="n">
        <v>0</v>
      </c>
      <c r="E1379" s="19" t="n">
        <v>38</v>
      </c>
    </row>
    <row r="1380" customFormat="false" ht="15" hidden="false" customHeight="false" outlineLevel="0" collapsed="false">
      <c r="A1380" s="0" t="n">
        <v>1379</v>
      </c>
      <c r="B1380" s="18" t="n">
        <v>1177092.92538612</v>
      </c>
      <c r="C1380" s="18" t="n">
        <v>609592.931424943</v>
      </c>
      <c r="D1380" s="0" t="n">
        <v>1</v>
      </c>
    </row>
    <row r="1381" customFormat="false" ht="15" hidden="false" customHeight="false" outlineLevel="0" collapsed="false">
      <c r="A1381" s="0" t="n">
        <v>1380</v>
      </c>
      <c r="B1381" s="18" t="n">
        <v>581634.373368913</v>
      </c>
      <c r="C1381" s="18" t="n">
        <v>0</v>
      </c>
      <c r="D1381" s="0" t="n">
        <v>0</v>
      </c>
      <c r="E1381" s="19" t="n">
        <v>36.9166666666667</v>
      </c>
    </row>
    <row r="1382" customFormat="false" ht="15" hidden="false" customHeight="false" outlineLevel="0" collapsed="false">
      <c r="A1382" s="0" t="n">
        <v>1381</v>
      </c>
      <c r="B1382" s="18" t="n">
        <v>618724.031605908</v>
      </c>
      <c r="C1382" s="18" t="n">
        <v>526398.432196285</v>
      </c>
      <c r="D1382" s="0" t="n">
        <v>1</v>
      </c>
    </row>
    <row r="1383" customFormat="false" ht="15" hidden="false" customHeight="false" outlineLevel="0" collapsed="false">
      <c r="A1383" s="0" t="n">
        <v>1382</v>
      </c>
      <c r="B1383" s="18" t="n">
        <v>1281097.21123011</v>
      </c>
      <c r="C1383" s="18" t="n">
        <v>0</v>
      </c>
      <c r="D1383" s="0" t="n">
        <v>0</v>
      </c>
      <c r="E1383" s="19" t="n">
        <v>54.5833333333333</v>
      </c>
    </row>
    <row r="1384" customFormat="false" ht="15" hidden="false" customHeight="false" outlineLevel="0" collapsed="false">
      <c r="A1384" s="0" t="n">
        <v>1383</v>
      </c>
      <c r="B1384" s="18" t="n">
        <v>842166.630879516</v>
      </c>
      <c r="C1384" s="18" t="n">
        <v>0</v>
      </c>
      <c r="D1384" s="0" t="n">
        <v>0</v>
      </c>
      <c r="E1384" s="19" t="n">
        <v>36.6666666666667</v>
      </c>
    </row>
    <row r="1385" customFormat="false" ht="15" hidden="false" customHeight="false" outlineLevel="0" collapsed="false">
      <c r="A1385" s="0" t="n">
        <v>1384</v>
      </c>
      <c r="B1385" s="18" t="n">
        <v>1069135.84059898</v>
      </c>
      <c r="C1385" s="18" t="n">
        <v>0</v>
      </c>
      <c r="D1385" s="0" t="n">
        <v>0</v>
      </c>
      <c r="E1385" s="19" t="n">
        <v>47</v>
      </c>
    </row>
    <row r="1386" customFormat="false" ht="15" hidden="false" customHeight="false" outlineLevel="0" collapsed="false">
      <c r="A1386" s="0" t="n">
        <v>1385</v>
      </c>
      <c r="B1386" s="18" t="n">
        <v>1235775.82112621</v>
      </c>
      <c r="C1386" s="18" t="n">
        <v>15567189.8447871</v>
      </c>
      <c r="D1386" s="0" t="n">
        <v>1</v>
      </c>
    </row>
    <row r="1387" customFormat="false" ht="15" hidden="false" customHeight="false" outlineLevel="0" collapsed="false">
      <c r="A1387" s="0" t="n">
        <v>1386</v>
      </c>
      <c r="B1387" s="18" t="n">
        <v>1225940.21173923</v>
      </c>
      <c r="C1387" s="18" t="n">
        <v>1140756.95802209</v>
      </c>
      <c r="D1387" s="0" t="n">
        <v>1</v>
      </c>
    </row>
    <row r="1388" customFormat="false" ht="15" hidden="false" customHeight="false" outlineLevel="0" collapsed="false">
      <c r="A1388" s="0" t="n">
        <v>1387</v>
      </c>
      <c r="B1388" s="18" t="n">
        <v>1581558.59356007</v>
      </c>
      <c r="C1388" s="18" t="n">
        <v>11320601.710793</v>
      </c>
      <c r="D1388" s="0" t="n">
        <v>1</v>
      </c>
    </row>
    <row r="1389" customFormat="false" ht="15" hidden="false" customHeight="false" outlineLevel="0" collapsed="false">
      <c r="A1389" s="0" t="n">
        <v>1388</v>
      </c>
      <c r="B1389" s="18" t="n">
        <v>289661.688387813</v>
      </c>
      <c r="C1389" s="18" t="n">
        <v>0</v>
      </c>
      <c r="D1389" s="0" t="n">
        <v>0</v>
      </c>
      <c r="E1389" s="19" t="n">
        <v>28.75</v>
      </c>
    </row>
    <row r="1390" customFormat="false" ht="15" hidden="false" customHeight="false" outlineLevel="0" collapsed="false">
      <c r="A1390" s="0" t="n">
        <v>1389</v>
      </c>
      <c r="B1390" s="18" t="n">
        <v>1109930.92526246</v>
      </c>
      <c r="C1390" s="18" t="n">
        <v>0</v>
      </c>
      <c r="D1390" s="0" t="n">
        <v>0</v>
      </c>
      <c r="E1390" s="19" t="n">
        <v>54.9166666666667</v>
      </c>
    </row>
    <row r="1391" customFormat="false" ht="15" hidden="false" customHeight="false" outlineLevel="0" collapsed="false">
      <c r="A1391" s="0" t="n">
        <v>1390</v>
      </c>
      <c r="B1391" s="18" t="n">
        <v>817907.607735646</v>
      </c>
      <c r="C1391" s="18" t="n">
        <v>0</v>
      </c>
      <c r="D1391" s="0" t="n">
        <v>0</v>
      </c>
      <c r="E1391" s="19" t="n">
        <v>39.4166666666667</v>
      </c>
    </row>
    <row r="1392" customFormat="false" ht="15" hidden="false" customHeight="false" outlineLevel="0" collapsed="false">
      <c r="A1392" s="0" t="n">
        <v>1391</v>
      </c>
      <c r="B1392" s="18" t="n">
        <v>533004.740222088</v>
      </c>
      <c r="C1392" s="18" t="n">
        <v>0</v>
      </c>
      <c r="D1392" s="0" t="n">
        <v>0</v>
      </c>
      <c r="E1392" s="19" t="n">
        <v>33.8333333333333</v>
      </c>
    </row>
    <row r="1393" customFormat="false" ht="15" hidden="false" customHeight="false" outlineLevel="0" collapsed="false">
      <c r="A1393" s="0" t="n">
        <v>1392</v>
      </c>
      <c r="B1393" s="18" t="n">
        <v>602210.823647609</v>
      </c>
      <c r="C1393" s="18" t="n">
        <v>17932.9955123411</v>
      </c>
      <c r="D1393" s="0" t="n">
        <v>1</v>
      </c>
    </row>
    <row r="1394" customFormat="false" ht="15" hidden="false" customHeight="false" outlineLevel="0" collapsed="false">
      <c r="A1394" s="0" t="n">
        <v>1393</v>
      </c>
      <c r="B1394" s="18" t="n">
        <v>963168.745267644</v>
      </c>
      <c r="C1394" s="18" t="n">
        <v>0</v>
      </c>
      <c r="D1394" s="0" t="n">
        <v>0</v>
      </c>
      <c r="E1394" s="19" t="n">
        <v>38.1666666666667</v>
      </c>
    </row>
    <row r="1395" customFormat="false" ht="15" hidden="false" customHeight="false" outlineLevel="0" collapsed="false">
      <c r="A1395" s="0" t="n">
        <v>1394</v>
      </c>
      <c r="B1395" s="18" t="n">
        <v>798965.750759989</v>
      </c>
      <c r="C1395" s="18" t="n">
        <v>0</v>
      </c>
      <c r="D1395" s="0" t="n">
        <v>0</v>
      </c>
      <c r="E1395" s="19" t="n">
        <v>51.5</v>
      </c>
    </row>
    <row r="1396" customFormat="false" ht="15" hidden="false" customHeight="false" outlineLevel="0" collapsed="false">
      <c r="A1396" s="0" t="n">
        <v>1395</v>
      </c>
      <c r="B1396" s="18" t="n">
        <v>612727.904214454</v>
      </c>
      <c r="C1396" s="18" t="n">
        <v>0</v>
      </c>
      <c r="D1396" s="0" t="n">
        <v>0</v>
      </c>
      <c r="E1396" s="19" t="n">
        <v>37.75</v>
      </c>
    </row>
    <row r="1397" customFormat="false" ht="15" hidden="false" customHeight="false" outlineLevel="0" collapsed="false">
      <c r="A1397" s="0" t="n">
        <v>1396</v>
      </c>
      <c r="B1397" s="18" t="n">
        <v>1403408.90960853</v>
      </c>
      <c r="C1397" s="18" t="n">
        <v>6195332.25487718</v>
      </c>
      <c r="D1397" s="0" t="n">
        <v>1</v>
      </c>
    </row>
    <row r="1398" customFormat="false" ht="15" hidden="false" customHeight="false" outlineLevel="0" collapsed="false">
      <c r="A1398" s="0" t="n">
        <v>1397</v>
      </c>
      <c r="B1398" s="18" t="n">
        <v>1023592.05478944</v>
      </c>
      <c r="C1398" s="18" t="n">
        <v>0</v>
      </c>
      <c r="D1398" s="0" t="n">
        <v>0</v>
      </c>
      <c r="E1398" s="19" t="n">
        <v>43.1666666666667</v>
      </c>
    </row>
    <row r="1399" customFormat="false" ht="15" hidden="false" customHeight="false" outlineLevel="0" collapsed="false">
      <c r="A1399" s="0" t="n">
        <v>1398</v>
      </c>
      <c r="B1399" s="18" t="n">
        <v>648601.171240332</v>
      </c>
      <c r="C1399" s="18" t="n">
        <v>0</v>
      </c>
      <c r="D1399" s="0" t="n">
        <v>0</v>
      </c>
      <c r="E1399" s="19" t="n">
        <v>39.9166666666667</v>
      </c>
    </row>
    <row r="1400" customFormat="false" ht="15" hidden="false" customHeight="false" outlineLevel="0" collapsed="false">
      <c r="A1400" s="0" t="n">
        <v>1399</v>
      </c>
      <c r="B1400" s="18" t="n">
        <v>488586.506980974</v>
      </c>
      <c r="C1400" s="18" t="n">
        <v>0</v>
      </c>
      <c r="D1400" s="0" t="n">
        <v>0</v>
      </c>
      <c r="E1400" s="19" t="n">
        <v>33.1666666666667</v>
      </c>
    </row>
    <row r="1401" customFormat="false" ht="15" hidden="false" customHeight="false" outlineLevel="0" collapsed="false">
      <c r="A1401" s="0" t="n">
        <v>1400</v>
      </c>
      <c r="B1401" s="18" t="n">
        <v>914575.376482533</v>
      </c>
      <c r="C1401" s="18" t="n">
        <v>0</v>
      </c>
      <c r="D1401" s="0" t="n">
        <v>0</v>
      </c>
      <c r="E1401" s="19" t="n">
        <v>40.75</v>
      </c>
    </row>
    <row r="1402" customFormat="false" ht="15" hidden="false" customHeight="false" outlineLevel="0" collapsed="false">
      <c r="A1402" s="0" t="n">
        <v>1401</v>
      </c>
      <c r="B1402" s="18" t="n">
        <v>578450.73417129</v>
      </c>
      <c r="C1402" s="18" t="n">
        <v>0</v>
      </c>
      <c r="D1402" s="0" t="n">
        <v>0</v>
      </c>
      <c r="E1402" s="19" t="n">
        <v>45.6666666666667</v>
      </c>
    </row>
    <row r="1403" customFormat="false" ht="15" hidden="false" customHeight="false" outlineLevel="0" collapsed="false">
      <c r="A1403" s="0" t="n">
        <v>1402</v>
      </c>
      <c r="B1403" s="18" t="n">
        <v>1063350.15832463</v>
      </c>
      <c r="C1403" s="18" t="n">
        <v>961282.283973457</v>
      </c>
      <c r="D1403" s="0" t="n">
        <v>1</v>
      </c>
    </row>
    <row r="1404" customFormat="false" ht="15" hidden="false" customHeight="false" outlineLevel="0" collapsed="false">
      <c r="A1404" s="0" t="n">
        <v>1403</v>
      </c>
      <c r="B1404" s="18" t="n">
        <v>827591.222147165</v>
      </c>
      <c r="C1404" s="18" t="n">
        <v>0</v>
      </c>
      <c r="D1404" s="0" t="n">
        <v>0</v>
      </c>
      <c r="E1404" s="19" t="n">
        <v>42.3333333333333</v>
      </c>
    </row>
    <row r="1405" customFormat="false" ht="15" hidden="false" customHeight="false" outlineLevel="0" collapsed="false">
      <c r="A1405" s="0" t="n">
        <v>1404</v>
      </c>
      <c r="B1405" s="18" t="n">
        <v>2404610.21609143</v>
      </c>
      <c r="C1405" s="18" t="n">
        <v>3511063.86082713</v>
      </c>
      <c r="D1405" s="0" t="n">
        <v>1</v>
      </c>
    </row>
    <row r="1406" customFormat="false" ht="15" hidden="false" customHeight="false" outlineLevel="0" collapsed="false">
      <c r="A1406" s="0" t="n">
        <v>1405</v>
      </c>
      <c r="B1406" s="18" t="n">
        <v>344521.536236555</v>
      </c>
      <c r="C1406" s="18" t="n">
        <v>0</v>
      </c>
      <c r="D1406" s="0" t="n">
        <v>0</v>
      </c>
      <c r="E1406" s="19" t="n">
        <v>32.3333333333333</v>
      </c>
    </row>
    <row r="1407" customFormat="false" ht="15" hidden="false" customHeight="false" outlineLevel="0" collapsed="false">
      <c r="A1407" s="0" t="n">
        <v>1406</v>
      </c>
      <c r="B1407" s="18" t="n">
        <v>1175009.06384692</v>
      </c>
      <c r="C1407" s="18" t="n">
        <v>9616.02308695682</v>
      </c>
      <c r="D1407" s="0" t="n">
        <v>1</v>
      </c>
    </row>
    <row r="1408" customFormat="false" ht="15" hidden="false" customHeight="false" outlineLevel="0" collapsed="false">
      <c r="A1408" s="0" t="n">
        <v>1407</v>
      </c>
      <c r="B1408" s="18" t="n">
        <v>728040.993023764</v>
      </c>
      <c r="C1408" s="18" t="n">
        <v>0</v>
      </c>
      <c r="D1408" s="0" t="n">
        <v>0</v>
      </c>
      <c r="E1408" s="19" t="n">
        <v>36.9166666666667</v>
      </c>
    </row>
    <row r="1409" customFormat="false" ht="15" hidden="false" customHeight="false" outlineLevel="0" collapsed="false">
      <c r="A1409" s="0" t="n">
        <v>1408</v>
      </c>
      <c r="B1409" s="18" t="n">
        <v>771312.383531665</v>
      </c>
      <c r="C1409" s="18" t="n">
        <v>0</v>
      </c>
      <c r="D1409" s="0" t="n">
        <v>0</v>
      </c>
      <c r="E1409" s="19" t="n">
        <v>38.0833333333333</v>
      </c>
    </row>
    <row r="1410" customFormat="false" ht="15" hidden="false" customHeight="false" outlineLevel="0" collapsed="false">
      <c r="A1410" s="0" t="n">
        <v>1409</v>
      </c>
      <c r="B1410" s="18" t="n">
        <v>1830301.47883837</v>
      </c>
      <c r="C1410" s="18" t="n">
        <v>0</v>
      </c>
      <c r="D1410" s="0" t="n">
        <v>0</v>
      </c>
      <c r="E1410" s="19" t="n">
        <v>53.3333333333333</v>
      </c>
    </row>
    <row r="1411" customFormat="false" ht="15" hidden="false" customHeight="false" outlineLevel="0" collapsed="false">
      <c r="A1411" s="0" t="n">
        <v>1410</v>
      </c>
      <c r="B1411" s="18" t="n">
        <v>785231.225608449</v>
      </c>
      <c r="C1411" s="18" t="n">
        <v>115366.957973212</v>
      </c>
      <c r="D1411" s="0" t="n">
        <v>1</v>
      </c>
    </row>
    <row r="1412" customFormat="false" ht="15" hidden="false" customHeight="false" outlineLevel="0" collapsed="false">
      <c r="A1412" s="0" t="n">
        <v>1411</v>
      </c>
      <c r="B1412" s="18" t="n">
        <v>1600036.4443455</v>
      </c>
      <c r="C1412" s="18" t="n">
        <v>5423171.38639388</v>
      </c>
      <c r="D1412" s="0" t="n">
        <v>1</v>
      </c>
    </row>
    <row r="1413" customFormat="false" ht="15" hidden="false" customHeight="false" outlineLevel="0" collapsed="false">
      <c r="A1413" s="0" t="n">
        <v>1412</v>
      </c>
      <c r="B1413" s="18" t="n">
        <v>2813522.95442212</v>
      </c>
      <c r="C1413" s="18" t="n">
        <v>14023295.275246</v>
      </c>
      <c r="D1413" s="0" t="n">
        <v>1</v>
      </c>
    </row>
    <row r="1414" customFormat="false" ht="15" hidden="false" customHeight="false" outlineLevel="0" collapsed="false">
      <c r="A1414" s="0" t="n">
        <v>1413</v>
      </c>
      <c r="B1414" s="18" t="n">
        <v>941543.159159905</v>
      </c>
      <c r="C1414" s="18" t="n">
        <v>0</v>
      </c>
      <c r="D1414" s="0" t="n">
        <v>0</v>
      </c>
      <c r="E1414" s="19" t="n">
        <v>54.1666666666667</v>
      </c>
    </row>
    <row r="1415" customFormat="false" ht="15" hidden="false" customHeight="false" outlineLevel="0" collapsed="false">
      <c r="A1415" s="0" t="n">
        <v>1414</v>
      </c>
      <c r="B1415" s="18" t="n">
        <v>1970251.20856264</v>
      </c>
      <c r="C1415" s="18" t="n">
        <v>0</v>
      </c>
      <c r="D1415" s="0" t="n">
        <v>0</v>
      </c>
      <c r="E1415" s="19" t="n">
        <v>54.25</v>
      </c>
    </row>
    <row r="1416" customFormat="false" ht="15" hidden="false" customHeight="false" outlineLevel="0" collapsed="false">
      <c r="A1416" s="0" t="n">
        <v>1415</v>
      </c>
      <c r="B1416" s="18" t="n">
        <v>817884.539759706</v>
      </c>
      <c r="C1416" s="18" t="n">
        <v>0</v>
      </c>
      <c r="D1416" s="0" t="n">
        <v>0</v>
      </c>
      <c r="E1416" s="19" t="n">
        <v>37.1666666666667</v>
      </c>
    </row>
    <row r="1417" customFormat="false" ht="15" hidden="false" customHeight="false" outlineLevel="0" collapsed="false">
      <c r="A1417" s="0" t="n">
        <v>1416</v>
      </c>
      <c r="B1417" s="18" t="n">
        <v>468694.986102744</v>
      </c>
      <c r="C1417" s="18" t="n">
        <v>0</v>
      </c>
      <c r="D1417" s="0" t="n">
        <v>0</v>
      </c>
      <c r="E1417" s="19" t="n">
        <v>34.3333333333333</v>
      </c>
    </row>
    <row r="1418" customFormat="false" ht="15" hidden="false" customHeight="false" outlineLevel="0" collapsed="false">
      <c r="A1418" s="0" t="n">
        <v>1417</v>
      </c>
      <c r="B1418" s="18" t="n">
        <v>1716251.44858201</v>
      </c>
      <c r="C1418" s="18" t="n">
        <v>2386002.74157293</v>
      </c>
      <c r="D1418" s="0" t="n">
        <v>1</v>
      </c>
    </row>
    <row r="1419" customFormat="false" ht="15" hidden="false" customHeight="false" outlineLevel="0" collapsed="false">
      <c r="A1419" s="0" t="n">
        <v>1418</v>
      </c>
      <c r="B1419" s="18" t="n">
        <v>756689.757274043</v>
      </c>
      <c r="C1419" s="18" t="n">
        <v>0</v>
      </c>
      <c r="D1419" s="0" t="n">
        <v>0</v>
      </c>
      <c r="E1419" s="19" t="n">
        <v>39.1666666666667</v>
      </c>
    </row>
    <row r="1420" customFormat="false" ht="15" hidden="false" customHeight="false" outlineLevel="0" collapsed="false">
      <c r="A1420" s="0" t="n">
        <v>1419</v>
      </c>
      <c r="B1420" s="18" t="n">
        <v>490570.698956903</v>
      </c>
      <c r="C1420" s="18" t="n">
        <v>0</v>
      </c>
      <c r="D1420" s="0" t="n">
        <v>0</v>
      </c>
      <c r="E1420" s="19" t="n">
        <v>31.25</v>
      </c>
    </row>
    <row r="1421" customFormat="false" ht="15" hidden="false" customHeight="false" outlineLevel="0" collapsed="false">
      <c r="A1421" s="0" t="n">
        <v>1420</v>
      </c>
      <c r="B1421" s="18" t="n">
        <v>801798.885323008</v>
      </c>
      <c r="C1421" s="18" t="n">
        <v>0</v>
      </c>
      <c r="D1421" s="0" t="n">
        <v>0</v>
      </c>
      <c r="E1421" s="19" t="n">
        <v>35.3333333333333</v>
      </c>
    </row>
    <row r="1422" customFormat="false" ht="15" hidden="false" customHeight="false" outlineLevel="0" collapsed="false">
      <c r="A1422" s="0" t="n">
        <v>1421</v>
      </c>
      <c r="B1422" s="18" t="n">
        <v>591297.916735186</v>
      </c>
      <c r="C1422" s="18" t="n">
        <v>0</v>
      </c>
      <c r="D1422" s="0" t="n">
        <v>0</v>
      </c>
      <c r="E1422" s="19" t="n">
        <v>34.75</v>
      </c>
    </row>
    <row r="1423" customFormat="false" ht="15" hidden="false" customHeight="false" outlineLevel="0" collapsed="false">
      <c r="A1423" s="0" t="n">
        <v>1422</v>
      </c>
      <c r="B1423" s="18" t="n">
        <v>1377537.0184503</v>
      </c>
      <c r="C1423" s="18" t="n">
        <v>16001938.20863</v>
      </c>
      <c r="D1423" s="0" t="n">
        <v>1</v>
      </c>
    </row>
    <row r="1424" customFormat="false" ht="15" hidden="false" customHeight="false" outlineLevel="0" collapsed="false">
      <c r="A1424" s="0" t="n">
        <v>1423</v>
      </c>
      <c r="B1424" s="18" t="n">
        <v>495971.954564466</v>
      </c>
      <c r="C1424" s="18" t="n">
        <v>0</v>
      </c>
      <c r="D1424" s="0" t="n">
        <v>0</v>
      </c>
      <c r="E1424" s="19" t="n">
        <v>31.6666666666667</v>
      </c>
    </row>
    <row r="1425" customFormat="false" ht="15" hidden="false" customHeight="false" outlineLevel="0" collapsed="false">
      <c r="A1425" s="0" t="n">
        <v>1424</v>
      </c>
      <c r="B1425" s="18" t="n">
        <v>626615.297346005</v>
      </c>
      <c r="C1425" s="18" t="n">
        <v>0</v>
      </c>
      <c r="D1425" s="0" t="n">
        <v>0</v>
      </c>
      <c r="E1425" s="19" t="n">
        <v>39.6666666666667</v>
      </c>
    </row>
    <row r="1426" customFormat="false" ht="15" hidden="false" customHeight="false" outlineLevel="0" collapsed="false">
      <c r="A1426" s="0" t="n">
        <v>1425</v>
      </c>
      <c r="B1426" s="18" t="n">
        <v>349846.043701482</v>
      </c>
      <c r="C1426" s="18" t="n">
        <v>0</v>
      </c>
      <c r="D1426" s="0" t="n">
        <v>0</v>
      </c>
      <c r="E1426" s="19" t="n">
        <v>32</v>
      </c>
    </row>
    <row r="1427" customFormat="false" ht="15" hidden="false" customHeight="false" outlineLevel="0" collapsed="false">
      <c r="A1427" s="0" t="n">
        <v>1426</v>
      </c>
      <c r="B1427" s="18" t="n">
        <v>1008101.9382825</v>
      </c>
      <c r="C1427" s="18" t="n">
        <v>0</v>
      </c>
      <c r="D1427" s="0" t="n">
        <v>0</v>
      </c>
      <c r="E1427" s="19" t="n">
        <v>41.4166666666667</v>
      </c>
    </row>
    <row r="1428" customFormat="false" ht="15" hidden="false" customHeight="false" outlineLevel="0" collapsed="false">
      <c r="A1428" s="0" t="n">
        <v>1427</v>
      </c>
      <c r="B1428" s="18" t="n">
        <v>752269.004663434</v>
      </c>
      <c r="C1428" s="18" t="n">
        <v>0</v>
      </c>
      <c r="D1428" s="0" t="n">
        <v>0</v>
      </c>
      <c r="E1428" s="19" t="n">
        <v>38.4166666666667</v>
      </c>
    </row>
    <row r="1429" customFormat="false" ht="15" hidden="false" customHeight="false" outlineLevel="0" collapsed="false">
      <c r="A1429" s="0" t="n">
        <v>1428</v>
      </c>
      <c r="B1429" s="18" t="n">
        <v>1667503.29867012</v>
      </c>
      <c r="C1429" s="18" t="n">
        <v>1779827.21552292</v>
      </c>
      <c r="D1429" s="0" t="n">
        <v>1</v>
      </c>
    </row>
    <row r="1430" customFormat="false" ht="15" hidden="false" customHeight="false" outlineLevel="0" collapsed="false">
      <c r="A1430" s="0" t="n">
        <v>1429</v>
      </c>
      <c r="B1430" s="18" t="n">
        <v>707159.054497949</v>
      </c>
      <c r="C1430" s="18" t="n">
        <v>0</v>
      </c>
      <c r="D1430" s="0" t="n">
        <v>0</v>
      </c>
      <c r="E1430" s="19" t="n">
        <v>36.4166666666667</v>
      </c>
    </row>
    <row r="1431" customFormat="false" ht="15" hidden="false" customHeight="false" outlineLevel="0" collapsed="false">
      <c r="A1431" s="0" t="n">
        <v>1430</v>
      </c>
      <c r="B1431" s="18" t="n">
        <v>1653036.90799771</v>
      </c>
      <c r="C1431" s="18" t="n">
        <v>0</v>
      </c>
      <c r="D1431" s="0" t="n">
        <v>0</v>
      </c>
      <c r="E1431" s="19" t="n">
        <v>50.1666666666667</v>
      </c>
    </row>
    <row r="1432" customFormat="false" ht="15" hidden="false" customHeight="false" outlineLevel="0" collapsed="false">
      <c r="A1432" s="0" t="n">
        <v>1431</v>
      </c>
      <c r="B1432" s="18" t="n">
        <v>572108.431964833</v>
      </c>
      <c r="C1432" s="18" t="n">
        <v>0</v>
      </c>
      <c r="D1432" s="0" t="n">
        <v>0</v>
      </c>
      <c r="E1432" s="19" t="n">
        <v>35.6666666666667</v>
      </c>
    </row>
    <row r="1433" customFormat="false" ht="15" hidden="false" customHeight="false" outlineLevel="0" collapsed="false">
      <c r="A1433" s="0" t="n">
        <v>1432</v>
      </c>
      <c r="B1433" s="18" t="n">
        <v>479045.456542155</v>
      </c>
      <c r="C1433" s="18" t="n">
        <v>0</v>
      </c>
      <c r="D1433" s="0" t="n">
        <v>0</v>
      </c>
      <c r="E1433" s="19" t="n">
        <v>35.0833333333333</v>
      </c>
    </row>
    <row r="1434" customFormat="false" ht="15" hidden="false" customHeight="false" outlineLevel="0" collapsed="false">
      <c r="A1434" s="0" t="n">
        <v>1433</v>
      </c>
      <c r="B1434" s="18" t="n">
        <v>1042193.22432282</v>
      </c>
      <c r="C1434" s="18" t="n">
        <v>1036485.36314851</v>
      </c>
      <c r="D1434" s="0" t="n">
        <v>1</v>
      </c>
    </row>
    <row r="1435" customFormat="false" ht="15" hidden="false" customHeight="false" outlineLevel="0" collapsed="false">
      <c r="A1435" s="0" t="n">
        <v>1434</v>
      </c>
      <c r="B1435" s="18" t="n">
        <v>944626.551344682</v>
      </c>
      <c r="C1435" s="18" t="n">
        <v>0</v>
      </c>
      <c r="D1435" s="0" t="n">
        <v>0</v>
      </c>
      <c r="E1435" s="19" t="n">
        <v>41.6666666666667</v>
      </c>
    </row>
    <row r="1436" customFormat="false" ht="15" hidden="false" customHeight="false" outlineLevel="0" collapsed="false">
      <c r="A1436" s="0" t="n">
        <v>1435</v>
      </c>
      <c r="B1436" s="18" t="n">
        <v>572631.713336828</v>
      </c>
      <c r="C1436" s="18" t="n">
        <v>0</v>
      </c>
      <c r="D1436" s="0" t="n">
        <v>0</v>
      </c>
      <c r="E1436" s="19" t="n">
        <v>33.8333333333333</v>
      </c>
    </row>
    <row r="1437" customFormat="false" ht="15" hidden="false" customHeight="false" outlineLevel="0" collapsed="false">
      <c r="A1437" s="0" t="n">
        <v>1436</v>
      </c>
      <c r="B1437" s="18" t="n">
        <v>2223278.46085413</v>
      </c>
      <c r="C1437" s="18" t="n">
        <v>9988212.16676269</v>
      </c>
      <c r="D1437" s="0" t="n">
        <v>1</v>
      </c>
    </row>
    <row r="1438" customFormat="false" ht="15" hidden="false" customHeight="false" outlineLevel="0" collapsed="false">
      <c r="A1438" s="0" t="n">
        <v>1437</v>
      </c>
      <c r="B1438" s="18" t="n">
        <v>339962.551325914</v>
      </c>
      <c r="C1438" s="18" t="n">
        <v>0</v>
      </c>
      <c r="D1438" s="0" t="n">
        <v>0</v>
      </c>
      <c r="E1438" s="19" t="n">
        <v>31.4166666666667</v>
      </c>
    </row>
    <row r="1439" customFormat="false" ht="15" hidden="false" customHeight="false" outlineLevel="0" collapsed="false">
      <c r="A1439" s="0" t="n">
        <v>1438</v>
      </c>
      <c r="B1439" s="18" t="n">
        <v>852359.463059191</v>
      </c>
      <c r="C1439" s="18" t="n">
        <v>0</v>
      </c>
      <c r="D1439" s="0" t="n">
        <v>0</v>
      </c>
      <c r="E1439" s="19" t="n">
        <v>39.8333333333333</v>
      </c>
    </row>
    <row r="1440" customFormat="false" ht="15" hidden="false" customHeight="false" outlineLevel="0" collapsed="false">
      <c r="A1440" s="0" t="n">
        <v>1439</v>
      </c>
      <c r="B1440" s="18" t="n">
        <v>360438.240841123</v>
      </c>
      <c r="C1440" s="18" t="n">
        <v>0</v>
      </c>
      <c r="D1440" s="0" t="n">
        <v>0</v>
      </c>
      <c r="E1440" s="19" t="n">
        <v>31.3333333333333</v>
      </c>
    </row>
    <row r="1441" customFormat="false" ht="15" hidden="false" customHeight="false" outlineLevel="0" collapsed="false">
      <c r="A1441" s="0" t="n">
        <v>1440</v>
      </c>
      <c r="B1441" s="18" t="n">
        <v>1768828.6471116</v>
      </c>
      <c r="C1441" s="18" t="n">
        <v>565711.024495911</v>
      </c>
      <c r="D1441" s="0" t="n">
        <v>1</v>
      </c>
    </row>
    <row r="1442" customFormat="false" ht="15" hidden="false" customHeight="false" outlineLevel="0" collapsed="false">
      <c r="A1442" s="0" t="n">
        <v>1441</v>
      </c>
      <c r="B1442" s="18" t="n">
        <v>1043382.97266387</v>
      </c>
      <c r="C1442" s="18" t="n">
        <v>292840.228074485</v>
      </c>
      <c r="D1442" s="0" t="n">
        <v>1</v>
      </c>
    </row>
    <row r="1443" customFormat="false" ht="15" hidden="false" customHeight="false" outlineLevel="0" collapsed="false">
      <c r="A1443" s="0" t="n">
        <v>1442</v>
      </c>
      <c r="B1443" s="18" t="n">
        <v>739629.475731176</v>
      </c>
      <c r="C1443" s="18" t="n">
        <v>0</v>
      </c>
      <c r="D1443" s="0" t="n">
        <v>0</v>
      </c>
      <c r="E1443" s="19" t="n">
        <v>40.0833333333333</v>
      </c>
    </row>
    <row r="1444" customFormat="false" ht="15" hidden="false" customHeight="false" outlineLevel="0" collapsed="false">
      <c r="A1444" s="0" t="n">
        <v>1443</v>
      </c>
      <c r="B1444" s="18" t="n">
        <v>729318.504775818</v>
      </c>
      <c r="C1444" s="18" t="n">
        <v>978081.008020612</v>
      </c>
      <c r="D1444" s="0" t="n">
        <v>1</v>
      </c>
    </row>
    <row r="1445" customFormat="false" ht="15" hidden="false" customHeight="false" outlineLevel="0" collapsed="false">
      <c r="A1445" s="0" t="n">
        <v>1444</v>
      </c>
      <c r="B1445" s="18" t="n">
        <v>836258.51943269</v>
      </c>
      <c r="C1445" s="18" t="n">
        <v>0</v>
      </c>
      <c r="D1445" s="0" t="n">
        <v>0</v>
      </c>
      <c r="E1445" s="19" t="n">
        <v>34.8333333333333</v>
      </c>
    </row>
    <row r="1446" customFormat="false" ht="15" hidden="false" customHeight="false" outlineLevel="0" collapsed="false">
      <c r="A1446" s="0" t="n">
        <v>1445</v>
      </c>
      <c r="B1446" s="18" t="n">
        <v>2186395.38239468</v>
      </c>
      <c r="C1446" s="18" t="n">
        <v>1567969.4722851</v>
      </c>
      <c r="D1446" s="0" t="n">
        <v>1</v>
      </c>
    </row>
    <row r="1447" customFormat="false" ht="15" hidden="false" customHeight="false" outlineLevel="0" collapsed="false">
      <c r="A1447" s="0" t="n">
        <v>1446</v>
      </c>
      <c r="B1447" s="18" t="n">
        <v>998317.988236802</v>
      </c>
      <c r="C1447" s="18" t="n">
        <v>4315200.30174072</v>
      </c>
      <c r="D1447" s="0" t="n">
        <v>1</v>
      </c>
    </row>
    <row r="1448" customFormat="false" ht="15" hidden="false" customHeight="false" outlineLevel="0" collapsed="false">
      <c r="A1448" s="0" t="n">
        <v>1447</v>
      </c>
      <c r="B1448" s="18" t="n">
        <v>840581.994869761</v>
      </c>
      <c r="C1448" s="18" t="n">
        <v>656678.222118225</v>
      </c>
      <c r="D1448" s="0" t="n">
        <v>1</v>
      </c>
    </row>
    <row r="1449" customFormat="false" ht="15" hidden="false" customHeight="false" outlineLevel="0" collapsed="false">
      <c r="A1449" s="0" t="n">
        <v>1448</v>
      </c>
      <c r="B1449" s="18" t="n">
        <v>709339.160568691</v>
      </c>
      <c r="C1449" s="18" t="n">
        <v>0</v>
      </c>
      <c r="D1449" s="0" t="n">
        <v>0</v>
      </c>
      <c r="E1449" s="19" t="n">
        <v>36.8333333333333</v>
      </c>
    </row>
    <row r="1450" customFormat="false" ht="15" hidden="false" customHeight="false" outlineLevel="0" collapsed="false">
      <c r="A1450" s="0" t="n">
        <v>1449</v>
      </c>
      <c r="B1450" s="18" t="n">
        <v>2436737.76349084</v>
      </c>
      <c r="C1450" s="18" t="n">
        <v>54954056.0223278</v>
      </c>
      <c r="D1450" s="0" t="n">
        <v>1</v>
      </c>
    </row>
    <row r="1451" customFormat="false" ht="15" hidden="false" customHeight="false" outlineLevel="0" collapsed="false">
      <c r="A1451" s="0" t="n">
        <v>1450</v>
      </c>
      <c r="B1451" s="18" t="n">
        <v>918202.672393337</v>
      </c>
      <c r="C1451" s="18" t="n">
        <v>2113032.5566398</v>
      </c>
      <c r="D1451" s="0" t="n">
        <v>1</v>
      </c>
    </row>
    <row r="1452" customFormat="false" ht="15" hidden="false" customHeight="false" outlineLevel="0" collapsed="false">
      <c r="A1452" s="0" t="n">
        <v>1451</v>
      </c>
      <c r="B1452" s="18" t="n">
        <v>834448.089236518</v>
      </c>
      <c r="C1452" s="18" t="n">
        <v>0</v>
      </c>
      <c r="D1452" s="0" t="n">
        <v>0</v>
      </c>
      <c r="E1452" s="19" t="n">
        <v>54.6666666666667</v>
      </c>
    </row>
    <row r="1453" customFormat="false" ht="15" hidden="false" customHeight="false" outlineLevel="0" collapsed="false">
      <c r="A1453" s="0" t="n">
        <v>1452</v>
      </c>
      <c r="B1453" s="18" t="n">
        <v>305187.870677549</v>
      </c>
      <c r="C1453" s="18" t="n">
        <v>0</v>
      </c>
      <c r="D1453" s="0" t="n">
        <v>0</v>
      </c>
      <c r="E1453" s="19" t="n">
        <v>32.3333333333333</v>
      </c>
    </row>
    <row r="1454" customFormat="false" ht="15" hidden="false" customHeight="false" outlineLevel="0" collapsed="false">
      <c r="A1454" s="0" t="n">
        <v>1453</v>
      </c>
      <c r="B1454" s="18" t="n">
        <v>4532334.29786193</v>
      </c>
      <c r="C1454" s="18" t="n">
        <v>47304277.3191784</v>
      </c>
      <c r="D1454" s="0" t="n">
        <v>1</v>
      </c>
    </row>
    <row r="1455" customFormat="false" ht="15" hidden="false" customHeight="false" outlineLevel="0" collapsed="false">
      <c r="A1455" s="0" t="n">
        <v>1454</v>
      </c>
      <c r="B1455" s="18" t="n">
        <v>567595.190927751</v>
      </c>
      <c r="C1455" s="18" t="n">
        <v>0</v>
      </c>
      <c r="D1455" s="0" t="n">
        <v>0</v>
      </c>
      <c r="E1455" s="19" t="n">
        <v>35.1666666666667</v>
      </c>
    </row>
    <row r="1456" customFormat="false" ht="15" hidden="false" customHeight="false" outlineLevel="0" collapsed="false">
      <c r="A1456" s="0" t="n">
        <v>1455</v>
      </c>
      <c r="B1456" s="18" t="n">
        <v>988875.364877679</v>
      </c>
      <c r="C1456" s="18" t="n">
        <v>0</v>
      </c>
      <c r="D1456" s="0" t="n">
        <v>0</v>
      </c>
      <c r="E1456" s="19" t="n">
        <v>37</v>
      </c>
    </row>
    <row r="1457" customFormat="false" ht="15" hidden="false" customHeight="false" outlineLevel="0" collapsed="false">
      <c r="A1457" s="0" t="n">
        <v>1456</v>
      </c>
      <c r="B1457" s="18" t="n">
        <v>683086.371342705</v>
      </c>
      <c r="C1457" s="18" t="n">
        <v>2248887.34792989</v>
      </c>
      <c r="D1457" s="0" t="n">
        <v>1</v>
      </c>
    </row>
    <row r="1458" customFormat="false" ht="15" hidden="false" customHeight="false" outlineLevel="0" collapsed="false">
      <c r="A1458" s="0" t="n">
        <v>1457</v>
      </c>
      <c r="B1458" s="18" t="n">
        <v>355744.412177291</v>
      </c>
      <c r="C1458" s="18" t="n">
        <v>0</v>
      </c>
      <c r="D1458" s="0" t="n">
        <v>0</v>
      </c>
      <c r="E1458" s="19" t="n">
        <v>31.75</v>
      </c>
    </row>
    <row r="1459" customFormat="false" ht="15" hidden="false" customHeight="false" outlineLevel="0" collapsed="false">
      <c r="A1459" s="0" t="n">
        <v>1458</v>
      </c>
      <c r="B1459" s="18" t="n">
        <v>2432055.61801019</v>
      </c>
      <c r="C1459" s="18" t="n">
        <v>1319601.88261213</v>
      </c>
      <c r="D1459" s="0" t="n">
        <v>1</v>
      </c>
    </row>
    <row r="1460" customFormat="false" ht="15" hidden="false" customHeight="false" outlineLevel="0" collapsed="false">
      <c r="A1460" s="0" t="n">
        <v>1459</v>
      </c>
      <c r="B1460" s="18" t="n">
        <v>824698.188920708</v>
      </c>
      <c r="C1460" s="18" t="n">
        <v>0</v>
      </c>
      <c r="D1460" s="0" t="n">
        <v>0</v>
      </c>
      <c r="E1460" s="19" t="n">
        <v>42.9166666666667</v>
      </c>
    </row>
    <row r="1461" customFormat="false" ht="15" hidden="false" customHeight="false" outlineLevel="0" collapsed="false">
      <c r="A1461" s="0" t="n">
        <v>1460</v>
      </c>
      <c r="B1461" s="18" t="n">
        <v>664332.127152197</v>
      </c>
      <c r="C1461" s="18" t="n">
        <v>0</v>
      </c>
      <c r="D1461" s="0" t="n">
        <v>0</v>
      </c>
      <c r="E1461" s="19" t="n">
        <v>34.9166666666667</v>
      </c>
    </row>
    <row r="1462" customFormat="false" ht="15" hidden="false" customHeight="false" outlineLevel="0" collapsed="false">
      <c r="A1462" s="0" t="n">
        <v>1461</v>
      </c>
      <c r="B1462" s="18" t="n">
        <v>1074307.42290146</v>
      </c>
      <c r="C1462" s="18" t="n">
        <v>0</v>
      </c>
      <c r="D1462" s="0" t="n">
        <v>0</v>
      </c>
      <c r="E1462" s="19" t="n">
        <v>35.5833333333333</v>
      </c>
    </row>
    <row r="1463" customFormat="false" ht="15" hidden="false" customHeight="false" outlineLevel="0" collapsed="false">
      <c r="A1463" s="0" t="n">
        <v>1462</v>
      </c>
      <c r="B1463" s="18" t="n">
        <v>836525.51867133</v>
      </c>
      <c r="C1463" s="18" t="n">
        <v>105631.097492536</v>
      </c>
      <c r="D1463" s="0" t="n">
        <v>1</v>
      </c>
    </row>
    <row r="1464" customFormat="false" ht="15" hidden="false" customHeight="false" outlineLevel="0" collapsed="false">
      <c r="A1464" s="0" t="n">
        <v>1463</v>
      </c>
      <c r="B1464" s="18" t="n">
        <v>947004.082062446</v>
      </c>
      <c r="C1464" s="18" t="n">
        <v>2250418.62163929</v>
      </c>
      <c r="D1464" s="0" t="n">
        <v>1</v>
      </c>
    </row>
    <row r="1465" customFormat="false" ht="15" hidden="false" customHeight="false" outlineLevel="0" collapsed="false">
      <c r="A1465" s="0" t="n">
        <v>1464</v>
      </c>
      <c r="B1465" s="18" t="n">
        <v>558369.939089388</v>
      </c>
      <c r="C1465" s="18" t="n">
        <v>0</v>
      </c>
      <c r="D1465" s="0" t="n">
        <v>0</v>
      </c>
      <c r="E1465" s="19" t="n">
        <v>35.25</v>
      </c>
    </row>
    <row r="1466" customFormat="false" ht="15" hidden="false" customHeight="false" outlineLevel="0" collapsed="false">
      <c r="A1466" s="0" t="n">
        <v>1465</v>
      </c>
      <c r="B1466" s="18" t="n">
        <v>528433.721563857</v>
      </c>
      <c r="C1466" s="18" t="n">
        <v>0</v>
      </c>
      <c r="D1466" s="0" t="n">
        <v>0</v>
      </c>
      <c r="E1466" s="19" t="n">
        <v>39.25</v>
      </c>
    </row>
    <row r="1467" customFormat="false" ht="15" hidden="false" customHeight="false" outlineLevel="0" collapsed="false">
      <c r="A1467" s="0" t="n">
        <v>1466</v>
      </c>
      <c r="B1467" s="18" t="n">
        <v>532636.888150925</v>
      </c>
      <c r="C1467" s="18" t="n">
        <v>0</v>
      </c>
      <c r="D1467" s="0" t="n">
        <v>0</v>
      </c>
      <c r="E1467" s="19" t="n">
        <v>33</v>
      </c>
    </row>
    <row r="1468" customFormat="false" ht="15" hidden="false" customHeight="false" outlineLevel="0" collapsed="false">
      <c r="A1468" s="0" t="n">
        <v>1467</v>
      </c>
      <c r="B1468" s="18" t="n">
        <v>1558517.37394158</v>
      </c>
      <c r="C1468" s="18" t="n">
        <v>3549231.66988409</v>
      </c>
      <c r="D1468" s="0" t="n">
        <v>1</v>
      </c>
    </row>
    <row r="1469" customFormat="false" ht="15" hidden="false" customHeight="false" outlineLevel="0" collapsed="false">
      <c r="A1469" s="0" t="n">
        <v>1468</v>
      </c>
      <c r="B1469" s="18" t="n">
        <v>1272034.52366601</v>
      </c>
      <c r="C1469" s="18" t="n">
        <v>0</v>
      </c>
      <c r="D1469" s="0" t="n">
        <v>0</v>
      </c>
      <c r="E1469" s="19" t="n">
        <v>51.9166666666667</v>
      </c>
    </row>
    <row r="1470" customFormat="false" ht="15" hidden="false" customHeight="false" outlineLevel="0" collapsed="false">
      <c r="A1470" s="0" t="n">
        <v>1469</v>
      </c>
      <c r="B1470" s="18" t="n">
        <v>2558040.08579955</v>
      </c>
      <c r="C1470" s="18" t="n">
        <v>5423301.40161856</v>
      </c>
      <c r="D1470" s="0" t="n">
        <v>1</v>
      </c>
    </row>
    <row r="1471" customFormat="false" ht="15" hidden="false" customHeight="false" outlineLevel="0" collapsed="false">
      <c r="A1471" s="0" t="n">
        <v>1470</v>
      </c>
      <c r="B1471" s="18" t="n">
        <v>1246945.4918181</v>
      </c>
      <c r="C1471" s="18" t="n">
        <v>5512624.66798721</v>
      </c>
      <c r="D1471" s="0" t="n">
        <v>1</v>
      </c>
    </row>
    <row r="1472" customFormat="false" ht="15" hidden="false" customHeight="false" outlineLevel="0" collapsed="false">
      <c r="A1472" s="0" t="n">
        <v>1471</v>
      </c>
      <c r="B1472" s="18" t="n">
        <v>667110.49687176</v>
      </c>
      <c r="C1472" s="18" t="n">
        <v>0</v>
      </c>
      <c r="D1472" s="0" t="n">
        <v>0</v>
      </c>
      <c r="E1472" s="19" t="n">
        <v>36.1666666666667</v>
      </c>
    </row>
    <row r="1473" customFormat="false" ht="15" hidden="false" customHeight="false" outlineLevel="0" collapsed="false">
      <c r="A1473" s="0" t="n">
        <v>1472</v>
      </c>
      <c r="B1473" s="18" t="n">
        <v>1642167.62262372</v>
      </c>
      <c r="C1473" s="18" t="n">
        <v>702599.975608369</v>
      </c>
      <c r="D1473" s="0" t="n">
        <v>1</v>
      </c>
    </row>
    <row r="1474" customFormat="false" ht="15" hidden="false" customHeight="false" outlineLevel="0" collapsed="false">
      <c r="A1474" s="0" t="n">
        <v>1473</v>
      </c>
      <c r="B1474" s="18" t="n">
        <v>869942.138185041</v>
      </c>
      <c r="C1474" s="18" t="n">
        <v>0</v>
      </c>
      <c r="D1474" s="0" t="n">
        <v>0</v>
      </c>
      <c r="E1474" s="19" t="n">
        <v>46.5833333333333</v>
      </c>
    </row>
    <row r="1475" customFormat="false" ht="15" hidden="false" customHeight="false" outlineLevel="0" collapsed="false">
      <c r="A1475" s="0" t="n">
        <v>1474</v>
      </c>
      <c r="B1475" s="18" t="n">
        <v>2563975.15269978</v>
      </c>
      <c r="C1475" s="18" t="n">
        <v>2204641.23262078</v>
      </c>
      <c r="D1475" s="0" t="n">
        <v>1</v>
      </c>
    </row>
    <row r="1476" customFormat="false" ht="15" hidden="false" customHeight="false" outlineLevel="0" collapsed="false">
      <c r="A1476" s="0" t="n">
        <v>1475</v>
      </c>
      <c r="B1476" s="18" t="n">
        <v>455683.287906649</v>
      </c>
      <c r="C1476" s="18" t="n">
        <v>0</v>
      </c>
      <c r="D1476" s="0" t="n">
        <v>0</v>
      </c>
      <c r="E1476" s="19" t="n">
        <v>33.5</v>
      </c>
    </row>
    <row r="1477" customFormat="false" ht="15" hidden="false" customHeight="false" outlineLevel="0" collapsed="false">
      <c r="A1477" s="0" t="n">
        <v>1476</v>
      </c>
      <c r="B1477" s="18" t="n">
        <v>477297.294350292</v>
      </c>
      <c r="C1477" s="18" t="n">
        <v>0</v>
      </c>
      <c r="D1477" s="0" t="n">
        <v>0</v>
      </c>
      <c r="E1477" s="19" t="n">
        <v>50.4166666666667</v>
      </c>
    </row>
    <row r="1478" customFormat="false" ht="15" hidden="false" customHeight="false" outlineLevel="0" collapsed="false">
      <c r="A1478" s="0" t="n">
        <v>1477</v>
      </c>
      <c r="B1478" s="18" t="n">
        <v>456523.05845319</v>
      </c>
      <c r="C1478" s="18" t="n">
        <v>0</v>
      </c>
      <c r="D1478" s="0" t="n">
        <v>0</v>
      </c>
      <c r="E1478" s="19" t="n">
        <v>32.0833333333333</v>
      </c>
    </row>
    <row r="1479" customFormat="false" ht="15" hidden="false" customHeight="false" outlineLevel="0" collapsed="false">
      <c r="A1479" s="0" t="n">
        <v>1478</v>
      </c>
      <c r="B1479" s="18" t="n">
        <v>428938.908196105</v>
      </c>
      <c r="C1479" s="18" t="n">
        <v>0</v>
      </c>
      <c r="D1479" s="0" t="n">
        <v>0</v>
      </c>
      <c r="E1479" s="19" t="n">
        <v>33.0833333333333</v>
      </c>
    </row>
    <row r="1480" customFormat="false" ht="15" hidden="false" customHeight="false" outlineLevel="0" collapsed="false">
      <c r="A1480" s="0" t="n">
        <v>1479</v>
      </c>
      <c r="B1480" s="18" t="n">
        <v>2287959.48670124</v>
      </c>
      <c r="C1480" s="18" t="n">
        <v>10259709.9178283</v>
      </c>
      <c r="D1480" s="0" t="n">
        <v>1</v>
      </c>
    </row>
    <row r="1481" customFormat="false" ht="15" hidden="false" customHeight="false" outlineLevel="0" collapsed="false">
      <c r="A1481" s="0" t="n">
        <v>1480</v>
      </c>
      <c r="B1481" s="18" t="n">
        <v>1648946.18708061</v>
      </c>
      <c r="C1481" s="18" t="n">
        <v>0</v>
      </c>
      <c r="D1481" s="0" t="n">
        <v>0</v>
      </c>
      <c r="E1481" s="19" t="n">
        <v>48.8333333333333</v>
      </c>
    </row>
    <row r="1482" customFormat="false" ht="15" hidden="false" customHeight="false" outlineLevel="0" collapsed="false">
      <c r="A1482" s="0" t="n">
        <v>1481</v>
      </c>
      <c r="B1482" s="18" t="n">
        <v>715151.651577123</v>
      </c>
      <c r="C1482" s="18" t="n">
        <v>0</v>
      </c>
      <c r="D1482" s="0" t="n">
        <v>0</v>
      </c>
      <c r="E1482" s="19" t="n">
        <v>40.5</v>
      </c>
    </row>
    <row r="1483" customFormat="false" ht="15" hidden="false" customHeight="false" outlineLevel="0" collapsed="false">
      <c r="A1483" s="0" t="n">
        <v>1482</v>
      </c>
      <c r="B1483" s="18" t="n">
        <v>1306755.8424644</v>
      </c>
      <c r="C1483" s="18" t="n">
        <v>0</v>
      </c>
      <c r="D1483" s="0" t="n">
        <v>0</v>
      </c>
      <c r="E1483" s="19" t="n">
        <v>46.3333333333333</v>
      </c>
    </row>
    <row r="1484" customFormat="false" ht="15" hidden="false" customHeight="false" outlineLevel="0" collapsed="false">
      <c r="A1484" s="0" t="n">
        <v>1483</v>
      </c>
      <c r="B1484" s="18" t="n">
        <v>1866469.70179877</v>
      </c>
      <c r="C1484" s="18" t="n">
        <v>6112037.8929389</v>
      </c>
      <c r="D1484" s="0" t="n">
        <v>1</v>
      </c>
    </row>
    <row r="1485" customFormat="false" ht="15" hidden="false" customHeight="false" outlineLevel="0" collapsed="false">
      <c r="A1485" s="0" t="n">
        <v>1484</v>
      </c>
      <c r="B1485" s="18" t="n">
        <v>437148.742325654</v>
      </c>
      <c r="C1485" s="18" t="n">
        <v>0</v>
      </c>
      <c r="D1485" s="0" t="n">
        <v>0</v>
      </c>
      <c r="E1485" s="19" t="n">
        <v>35.1666666666667</v>
      </c>
    </row>
    <row r="1486" customFormat="false" ht="15" hidden="false" customHeight="false" outlineLevel="0" collapsed="false">
      <c r="A1486" s="0" t="n">
        <v>1485</v>
      </c>
      <c r="B1486" s="18" t="n">
        <v>893436.357868872</v>
      </c>
      <c r="C1486" s="18" t="n">
        <v>0</v>
      </c>
      <c r="D1486" s="0" t="n">
        <v>0</v>
      </c>
      <c r="E1486" s="19" t="n">
        <v>34.25</v>
      </c>
    </row>
    <row r="1487" customFormat="false" ht="15" hidden="false" customHeight="false" outlineLevel="0" collapsed="false">
      <c r="A1487" s="0" t="n">
        <v>1486</v>
      </c>
      <c r="B1487" s="18" t="n">
        <v>592478.717791602</v>
      </c>
      <c r="C1487" s="18" t="n">
        <v>0</v>
      </c>
      <c r="D1487" s="0" t="n">
        <v>0</v>
      </c>
      <c r="E1487" s="19" t="n">
        <v>33.75</v>
      </c>
    </row>
    <row r="1488" customFormat="false" ht="15" hidden="false" customHeight="false" outlineLevel="0" collapsed="false">
      <c r="A1488" s="0" t="n">
        <v>1487</v>
      </c>
      <c r="B1488" s="18" t="n">
        <v>873473.882547558</v>
      </c>
      <c r="C1488" s="18" t="n">
        <v>0</v>
      </c>
      <c r="D1488" s="0" t="n">
        <v>0</v>
      </c>
      <c r="E1488" s="19" t="n">
        <v>39.3333333333333</v>
      </c>
    </row>
    <row r="1489" customFormat="false" ht="15" hidden="false" customHeight="false" outlineLevel="0" collapsed="false">
      <c r="A1489" s="0" t="n">
        <v>1488</v>
      </c>
      <c r="B1489" s="18" t="n">
        <v>960295.054407258</v>
      </c>
      <c r="C1489" s="18" t="n">
        <v>299928.776147573</v>
      </c>
      <c r="D1489" s="0" t="n">
        <v>1</v>
      </c>
    </row>
    <row r="1490" customFormat="false" ht="15" hidden="false" customHeight="false" outlineLevel="0" collapsed="false">
      <c r="A1490" s="0" t="n">
        <v>1489</v>
      </c>
      <c r="B1490" s="18" t="n">
        <v>831282.400295545</v>
      </c>
      <c r="C1490" s="18" t="n">
        <v>7158383.26774181</v>
      </c>
      <c r="D1490" s="0" t="n">
        <v>1</v>
      </c>
    </row>
    <row r="1491" customFormat="false" ht="15" hidden="false" customHeight="false" outlineLevel="0" collapsed="false">
      <c r="A1491" s="0" t="n">
        <v>1490</v>
      </c>
      <c r="B1491" s="18" t="n">
        <v>738090.7760262</v>
      </c>
      <c r="C1491" s="18" t="n">
        <v>0</v>
      </c>
      <c r="D1491" s="0" t="n">
        <v>0</v>
      </c>
      <c r="E1491" s="19" t="n">
        <v>33.0833333333333</v>
      </c>
    </row>
    <row r="1492" customFormat="false" ht="15" hidden="false" customHeight="false" outlineLevel="0" collapsed="false">
      <c r="A1492" s="0" t="n">
        <v>1491</v>
      </c>
      <c r="B1492" s="18" t="n">
        <v>686334.764031261</v>
      </c>
      <c r="C1492" s="18" t="n">
        <v>0</v>
      </c>
      <c r="D1492" s="0" t="n">
        <v>0</v>
      </c>
      <c r="E1492" s="19" t="n">
        <v>46.9166666666667</v>
      </c>
    </row>
    <row r="1493" customFormat="false" ht="15" hidden="false" customHeight="false" outlineLevel="0" collapsed="false">
      <c r="A1493" s="0" t="n">
        <v>1492</v>
      </c>
      <c r="B1493" s="18" t="n">
        <v>626876.048197919</v>
      </c>
      <c r="C1493" s="18" t="n">
        <v>0</v>
      </c>
      <c r="D1493" s="0" t="n">
        <v>0</v>
      </c>
      <c r="E1493" s="19" t="n">
        <v>34.3333333333333</v>
      </c>
    </row>
    <row r="1494" customFormat="false" ht="15" hidden="false" customHeight="false" outlineLevel="0" collapsed="false">
      <c r="A1494" s="0" t="n">
        <v>1493</v>
      </c>
      <c r="B1494" s="18" t="n">
        <v>761681.477345678</v>
      </c>
      <c r="C1494" s="18" t="n">
        <v>408322.877368572</v>
      </c>
      <c r="D1494" s="0" t="n">
        <v>1</v>
      </c>
    </row>
    <row r="1495" customFormat="false" ht="15" hidden="false" customHeight="false" outlineLevel="0" collapsed="false">
      <c r="A1495" s="0" t="n">
        <v>1494</v>
      </c>
      <c r="B1495" s="18" t="n">
        <v>2028623.52173526</v>
      </c>
      <c r="C1495" s="18" t="n">
        <v>5875291.50117476</v>
      </c>
      <c r="D1495" s="0" t="n">
        <v>1</v>
      </c>
    </row>
    <row r="1496" customFormat="false" ht="15" hidden="false" customHeight="false" outlineLevel="0" collapsed="false">
      <c r="A1496" s="0" t="n">
        <v>1495</v>
      </c>
      <c r="B1496" s="18" t="n">
        <v>976669.393713097</v>
      </c>
      <c r="C1496" s="18" t="n">
        <v>0</v>
      </c>
      <c r="D1496" s="0" t="n">
        <v>0</v>
      </c>
      <c r="E1496" s="19" t="n">
        <v>44.8333333333333</v>
      </c>
    </row>
    <row r="1497" customFormat="false" ht="15" hidden="false" customHeight="false" outlineLevel="0" collapsed="false">
      <c r="A1497" s="0" t="n">
        <v>1496</v>
      </c>
      <c r="B1497" s="18" t="n">
        <v>890920.491042788</v>
      </c>
      <c r="C1497" s="18" t="n">
        <v>0</v>
      </c>
      <c r="D1497" s="0" t="n">
        <v>0</v>
      </c>
      <c r="E1497" s="19" t="n">
        <v>45.1666666666667</v>
      </c>
    </row>
    <row r="1498" customFormat="false" ht="15" hidden="false" customHeight="false" outlineLevel="0" collapsed="false">
      <c r="A1498" s="0" t="n">
        <v>1497</v>
      </c>
      <c r="B1498" s="18" t="n">
        <v>606201.247823628</v>
      </c>
      <c r="C1498" s="18" t="n">
        <v>0</v>
      </c>
      <c r="D1498" s="0" t="n">
        <v>0</v>
      </c>
      <c r="E1498" s="19" t="n">
        <v>47.9166666666667</v>
      </c>
    </row>
    <row r="1499" customFormat="false" ht="15" hidden="false" customHeight="false" outlineLevel="0" collapsed="false">
      <c r="A1499" s="0" t="n">
        <v>1498</v>
      </c>
      <c r="B1499" s="18" t="n">
        <v>500680.40442233</v>
      </c>
      <c r="C1499" s="18" t="n">
        <v>0</v>
      </c>
      <c r="D1499" s="0" t="n">
        <v>0</v>
      </c>
      <c r="E1499" s="19" t="n">
        <v>35.3333333333333</v>
      </c>
    </row>
    <row r="1500" customFormat="false" ht="15" hidden="false" customHeight="false" outlineLevel="0" collapsed="false">
      <c r="A1500" s="0" t="n">
        <v>1499</v>
      </c>
      <c r="B1500" s="18" t="n">
        <v>376591.106824045</v>
      </c>
      <c r="C1500" s="18" t="n">
        <v>0</v>
      </c>
      <c r="D1500" s="0" t="n">
        <v>0</v>
      </c>
      <c r="E1500" s="19" t="n">
        <v>32.5</v>
      </c>
    </row>
    <row r="1501" customFormat="false" ht="15" hidden="false" customHeight="false" outlineLevel="0" collapsed="false">
      <c r="A1501" s="0" t="n">
        <v>1500</v>
      </c>
      <c r="B1501" s="18" t="n">
        <v>519821.018259886</v>
      </c>
      <c r="C1501" s="18" t="n">
        <v>196243.463736941</v>
      </c>
      <c r="D1501" s="0" t="n">
        <v>1</v>
      </c>
    </row>
    <row r="1502" customFormat="false" ht="15" hidden="false" customHeight="false" outlineLevel="0" collapsed="false">
      <c r="A1502" s="0" t="n">
        <v>1501</v>
      </c>
      <c r="B1502" s="18" t="n">
        <v>891836.715173359</v>
      </c>
      <c r="C1502" s="18" t="n">
        <v>0</v>
      </c>
      <c r="D1502" s="0" t="n">
        <v>0</v>
      </c>
      <c r="E1502" s="19" t="n">
        <v>41.9166666666667</v>
      </c>
    </row>
    <row r="1503" customFormat="false" ht="15" hidden="false" customHeight="false" outlineLevel="0" collapsed="false">
      <c r="A1503" s="0" t="n">
        <v>1502</v>
      </c>
      <c r="B1503" s="18" t="n">
        <v>615047.783201734</v>
      </c>
      <c r="C1503" s="18" t="n">
        <v>0</v>
      </c>
      <c r="D1503" s="0" t="n">
        <v>0</v>
      </c>
      <c r="E1503" s="19" t="n">
        <v>31.3333333333333</v>
      </c>
    </row>
    <row r="1504" customFormat="false" ht="15" hidden="false" customHeight="false" outlineLevel="0" collapsed="false">
      <c r="A1504" s="0" t="n">
        <v>1503</v>
      </c>
      <c r="B1504" s="18" t="n">
        <v>256615.960333632</v>
      </c>
      <c r="C1504" s="18" t="n">
        <v>0</v>
      </c>
      <c r="D1504" s="0" t="n">
        <v>0</v>
      </c>
      <c r="E1504" s="19" t="n">
        <v>29.5</v>
      </c>
    </row>
    <row r="1505" customFormat="false" ht="15" hidden="false" customHeight="false" outlineLevel="0" collapsed="false">
      <c r="A1505" s="0" t="n">
        <v>1504</v>
      </c>
      <c r="B1505" s="18" t="n">
        <v>627420.806651848</v>
      </c>
      <c r="C1505" s="18" t="n">
        <v>0</v>
      </c>
      <c r="D1505" s="0" t="n">
        <v>0</v>
      </c>
      <c r="E1505" s="19" t="n">
        <v>36.5833333333333</v>
      </c>
    </row>
    <row r="1506" customFormat="false" ht="15" hidden="false" customHeight="false" outlineLevel="0" collapsed="false">
      <c r="A1506" s="0" t="n">
        <v>1505</v>
      </c>
      <c r="B1506" s="18" t="n">
        <v>702862.305720236</v>
      </c>
      <c r="C1506" s="18" t="n">
        <v>0</v>
      </c>
      <c r="D1506" s="0" t="n">
        <v>0</v>
      </c>
      <c r="E1506" s="19" t="n">
        <v>45.3333333333333</v>
      </c>
    </row>
    <row r="1507" customFormat="false" ht="15" hidden="false" customHeight="false" outlineLevel="0" collapsed="false">
      <c r="A1507" s="0" t="n">
        <v>1506</v>
      </c>
      <c r="B1507" s="18" t="n">
        <v>3176676.76292907</v>
      </c>
      <c r="C1507" s="18" t="n">
        <v>5430905.21085563</v>
      </c>
      <c r="D1507" s="0" t="n">
        <v>1</v>
      </c>
    </row>
    <row r="1508" customFormat="false" ht="15" hidden="false" customHeight="false" outlineLevel="0" collapsed="false">
      <c r="A1508" s="0" t="n">
        <v>1507</v>
      </c>
      <c r="B1508" s="18" t="n">
        <v>1165512.24565027</v>
      </c>
      <c r="C1508" s="18" t="n">
        <v>0</v>
      </c>
      <c r="D1508" s="0" t="n">
        <v>0</v>
      </c>
      <c r="E1508" s="19" t="n">
        <v>49.8333333333333</v>
      </c>
    </row>
    <row r="1509" customFormat="false" ht="15" hidden="false" customHeight="false" outlineLevel="0" collapsed="false">
      <c r="A1509" s="0" t="n">
        <v>1508</v>
      </c>
      <c r="B1509" s="18" t="n">
        <v>1642254.54109863</v>
      </c>
      <c r="C1509" s="18" t="n">
        <v>0</v>
      </c>
      <c r="D1509" s="0" t="n">
        <v>0</v>
      </c>
      <c r="E1509" s="19" t="n">
        <v>50.0833333333333</v>
      </c>
    </row>
    <row r="1510" customFormat="false" ht="15" hidden="false" customHeight="false" outlineLevel="0" collapsed="false">
      <c r="A1510" s="0" t="n">
        <v>1509</v>
      </c>
      <c r="B1510" s="18" t="n">
        <v>680600.680950374</v>
      </c>
      <c r="C1510" s="18" t="n">
        <v>0</v>
      </c>
      <c r="D1510" s="0" t="n">
        <v>0</v>
      </c>
      <c r="E1510" s="19" t="n">
        <v>36.4166666666667</v>
      </c>
    </row>
    <row r="1511" customFormat="false" ht="15" hidden="false" customHeight="false" outlineLevel="0" collapsed="false">
      <c r="A1511" s="0" t="n">
        <v>1510</v>
      </c>
      <c r="B1511" s="18" t="n">
        <v>1163243.6282808</v>
      </c>
      <c r="C1511" s="18" t="n">
        <v>0</v>
      </c>
      <c r="D1511" s="0" t="n">
        <v>0</v>
      </c>
      <c r="E1511" s="19" t="n">
        <v>41.1666666666667</v>
      </c>
    </row>
    <row r="1512" customFormat="false" ht="15" hidden="false" customHeight="false" outlineLevel="0" collapsed="false">
      <c r="A1512" s="0" t="n">
        <v>1511</v>
      </c>
      <c r="B1512" s="18" t="n">
        <v>756918.319154938</v>
      </c>
      <c r="C1512" s="18" t="n">
        <v>0</v>
      </c>
      <c r="D1512" s="0" t="n">
        <v>0</v>
      </c>
      <c r="E1512" s="19" t="n">
        <v>40.0833333333333</v>
      </c>
    </row>
    <row r="1513" customFormat="false" ht="15" hidden="false" customHeight="false" outlineLevel="0" collapsed="false">
      <c r="A1513" s="0" t="n">
        <v>1512</v>
      </c>
      <c r="B1513" s="18" t="n">
        <v>929543.764724976</v>
      </c>
      <c r="C1513" s="18" t="n">
        <v>3463410.95898922</v>
      </c>
      <c r="D1513" s="0" t="n">
        <v>1</v>
      </c>
    </row>
    <row r="1514" customFormat="false" ht="15" hidden="false" customHeight="false" outlineLevel="0" collapsed="false">
      <c r="A1514" s="0" t="n">
        <v>1513</v>
      </c>
      <c r="B1514" s="18" t="n">
        <v>1500124.06259772</v>
      </c>
      <c r="C1514" s="18" t="n">
        <v>9043624.90156054</v>
      </c>
      <c r="D1514" s="0" t="n">
        <v>1</v>
      </c>
    </row>
    <row r="1515" customFormat="false" ht="15" hidden="false" customHeight="false" outlineLevel="0" collapsed="false">
      <c r="A1515" s="0" t="n">
        <v>1514</v>
      </c>
      <c r="B1515" s="18" t="n">
        <v>749959.727597924</v>
      </c>
      <c r="C1515" s="18" t="n">
        <v>0</v>
      </c>
      <c r="D1515" s="0" t="n">
        <v>0</v>
      </c>
      <c r="E1515" s="19" t="n">
        <v>35.8333333333333</v>
      </c>
    </row>
    <row r="1516" customFormat="false" ht="15" hidden="false" customHeight="false" outlineLevel="0" collapsed="false">
      <c r="A1516" s="0" t="n">
        <v>1515</v>
      </c>
      <c r="B1516" s="18" t="n">
        <v>1580130.42802119</v>
      </c>
      <c r="C1516" s="18" t="n">
        <v>1356169.17130138</v>
      </c>
      <c r="D1516" s="0" t="n">
        <v>1</v>
      </c>
    </row>
    <row r="1517" customFormat="false" ht="15" hidden="false" customHeight="false" outlineLevel="0" collapsed="false">
      <c r="A1517" s="0" t="n">
        <v>1516</v>
      </c>
      <c r="B1517" s="18" t="n">
        <v>3005003.00131158</v>
      </c>
      <c r="C1517" s="18" t="n">
        <v>9905318.35625562</v>
      </c>
      <c r="D1517" s="0" t="n">
        <v>1</v>
      </c>
    </row>
    <row r="1518" customFormat="false" ht="15" hidden="false" customHeight="false" outlineLevel="0" collapsed="false">
      <c r="A1518" s="0" t="n">
        <v>1517</v>
      </c>
      <c r="B1518" s="18" t="n">
        <v>496393.802111628</v>
      </c>
      <c r="C1518" s="18" t="n">
        <v>0</v>
      </c>
      <c r="D1518" s="0" t="n">
        <v>0</v>
      </c>
      <c r="E1518" s="19" t="n">
        <v>34.9166666666667</v>
      </c>
    </row>
    <row r="1519" customFormat="false" ht="15" hidden="false" customHeight="false" outlineLevel="0" collapsed="false">
      <c r="A1519" s="0" t="n">
        <v>1518</v>
      </c>
      <c r="B1519" s="18" t="n">
        <v>617566.83859656</v>
      </c>
      <c r="C1519" s="18" t="n">
        <v>0</v>
      </c>
      <c r="D1519" s="0" t="n">
        <v>0</v>
      </c>
      <c r="E1519" s="19" t="n">
        <v>38.1666666666667</v>
      </c>
    </row>
    <row r="1520" customFormat="false" ht="15" hidden="false" customHeight="false" outlineLevel="0" collapsed="false">
      <c r="A1520" s="0" t="n">
        <v>1519</v>
      </c>
      <c r="B1520" s="18" t="n">
        <v>481897.011971174</v>
      </c>
      <c r="C1520" s="18" t="n">
        <v>0</v>
      </c>
      <c r="D1520" s="0" t="n">
        <v>0</v>
      </c>
      <c r="E1520" s="19" t="n">
        <v>33.75</v>
      </c>
    </row>
    <row r="1521" customFormat="false" ht="15" hidden="false" customHeight="false" outlineLevel="0" collapsed="false">
      <c r="A1521" s="0" t="n">
        <v>1520</v>
      </c>
      <c r="B1521" s="18" t="n">
        <v>1084460.58674085</v>
      </c>
      <c r="C1521" s="18" t="n">
        <v>2457685.76355935</v>
      </c>
      <c r="D1521" s="0" t="n">
        <v>1</v>
      </c>
    </row>
    <row r="1522" customFormat="false" ht="15" hidden="false" customHeight="false" outlineLevel="0" collapsed="false">
      <c r="A1522" s="0" t="n">
        <v>1521</v>
      </c>
      <c r="B1522" s="18" t="n">
        <v>689218.840167663</v>
      </c>
      <c r="C1522" s="18" t="n">
        <v>0</v>
      </c>
      <c r="D1522" s="0" t="n">
        <v>0</v>
      </c>
      <c r="E1522" s="19" t="n">
        <v>34.6666666666667</v>
      </c>
    </row>
    <row r="1523" customFormat="false" ht="15" hidden="false" customHeight="false" outlineLevel="0" collapsed="false">
      <c r="A1523" s="0" t="n">
        <v>1522</v>
      </c>
      <c r="B1523" s="18" t="n">
        <v>414336.239305266</v>
      </c>
      <c r="C1523" s="18" t="n">
        <v>0</v>
      </c>
      <c r="D1523" s="0" t="n">
        <v>0</v>
      </c>
      <c r="E1523" s="19" t="n">
        <v>32.4166666666667</v>
      </c>
    </row>
    <row r="1524" customFormat="false" ht="15" hidden="false" customHeight="false" outlineLevel="0" collapsed="false">
      <c r="A1524" s="0" t="n">
        <v>1523</v>
      </c>
      <c r="B1524" s="18" t="n">
        <v>2897152.37393342</v>
      </c>
      <c r="C1524" s="18" t="n">
        <v>15899705.5587329</v>
      </c>
      <c r="D1524" s="0" t="n">
        <v>1</v>
      </c>
    </row>
    <row r="1525" customFormat="false" ht="15" hidden="false" customHeight="false" outlineLevel="0" collapsed="false">
      <c r="A1525" s="0" t="n">
        <v>1524</v>
      </c>
      <c r="B1525" s="18" t="n">
        <v>2379453.44559265</v>
      </c>
      <c r="C1525" s="18" t="n">
        <v>0</v>
      </c>
      <c r="D1525" s="0" t="n">
        <v>0</v>
      </c>
      <c r="E1525" s="19" t="n">
        <v>47.5</v>
      </c>
    </row>
    <row r="1526" customFormat="false" ht="15" hidden="false" customHeight="false" outlineLevel="0" collapsed="false">
      <c r="A1526" s="0" t="n">
        <v>1525</v>
      </c>
      <c r="B1526" s="18" t="n">
        <v>459816.079933102</v>
      </c>
      <c r="C1526" s="18" t="n">
        <v>0</v>
      </c>
      <c r="D1526" s="0" t="n">
        <v>0</v>
      </c>
      <c r="E1526" s="19" t="n">
        <v>32.5</v>
      </c>
    </row>
    <row r="1527" customFormat="false" ht="15" hidden="false" customHeight="false" outlineLevel="0" collapsed="false">
      <c r="A1527" s="0" t="n">
        <v>1526</v>
      </c>
      <c r="B1527" s="18" t="n">
        <v>317411.107731143</v>
      </c>
      <c r="C1527" s="18" t="n">
        <v>0</v>
      </c>
      <c r="D1527" s="0" t="n">
        <v>0</v>
      </c>
      <c r="E1527" s="19" t="n">
        <v>29</v>
      </c>
    </row>
    <row r="1528" customFormat="false" ht="15" hidden="false" customHeight="false" outlineLevel="0" collapsed="false">
      <c r="A1528" s="0" t="n">
        <v>1527</v>
      </c>
      <c r="B1528" s="18" t="n">
        <v>474794.326177127</v>
      </c>
      <c r="C1528" s="18" t="n">
        <v>0</v>
      </c>
      <c r="D1528" s="0" t="n">
        <v>0</v>
      </c>
      <c r="E1528" s="19" t="n">
        <v>33.75</v>
      </c>
    </row>
    <row r="1529" customFormat="false" ht="15" hidden="false" customHeight="false" outlineLevel="0" collapsed="false">
      <c r="A1529" s="0" t="n">
        <v>1528</v>
      </c>
      <c r="B1529" s="18" t="n">
        <v>482575.662935732</v>
      </c>
      <c r="C1529" s="18" t="n">
        <v>0</v>
      </c>
      <c r="D1529" s="0" t="n">
        <v>0</v>
      </c>
      <c r="E1529" s="19" t="n">
        <v>29.9166666666667</v>
      </c>
    </row>
    <row r="1530" customFormat="false" ht="15" hidden="false" customHeight="false" outlineLevel="0" collapsed="false">
      <c r="A1530" s="0" t="n">
        <v>1529</v>
      </c>
      <c r="B1530" s="18" t="n">
        <v>639563.343132118</v>
      </c>
      <c r="C1530" s="18" t="n">
        <v>0</v>
      </c>
      <c r="D1530" s="0" t="n">
        <v>0</v>
      </c>
      <c r="E1530" s="19" t="n">
        <v>37.5</v>
      </c>
    </row>
    <row r="1531" customFormat="false" ht="15" hidden="false" customHeight="false" outlineLevel="0" collapsed="false">
      <c r="A1531" s="0" t="n">
        <v>1530</v>
      </c>
      <c r="B1531" s="18" t="n">
        <v>398773.348706362</v>
      </c>
      <c r="C1531" s="18" t="n">
        <v>0</v>
      </c>
      <c r="D1531" s="0" t="n">
        <v>0</v>
      </c>
      <c r="E1531" s="19" t="n">
        <v>29.75</v>
      </c>
    </row>
    <row r="1532" customFormat="false" ht="15" hidden="false" customHeight="false" outlineLevel="0" collapsed="false">
      <c r="A1532" s="0" t="n">
        <v>1531</v>
      </c>
      <c r="B1532" s="18" t="n">
        <v>938832.186684863</v>
      </c>
      <c r="C1532" s="18" t="n">
        <v>0</v>
      </c>
      <c r="D1532" s="0" t="n">
        <v>0</v>
      </c>
      <c r="E1532" s="19" t="n">
        <v>50.5833333333333</v>
      </c>
    </row>
    <row r="1533" customFormat="false" ht="15" hidden="false" customHeight="false" outlineLevel="0" collapsed="false">
      <c r="A1533" s="0" t="n">
        <v>1532</v>
      </c>
      <c r="B1533" s="18" t="n">
        <v>451234.764880117</v>
      </c>
      <c r="C1533" s="18" t="n">
        <v>0</v>
      </c>
      <c r="D1533" s="0" t="n">
        <v>0</v>
      </c>
      <c r="E1533" s="19" t="n">
        <v>32</v>
      </c>
    </row>
    <row r="1534" customFormat="false" ht="15" hidden="false" customHeight="false" outlineLevel="0" collapsed="false">
      <c r="A1534" s="0" t="n">
        <v>1533</v>
      </c>
      <c r="B1534" s="18" t="n">
        <v>560045.509477522</v>
      </c>
      <c r="C1534" s="18" t="n">
        <v>0</v>
      </c>
      <c r="D1534" s="0" t="n">
        <v>0</v>
      </c>
      <c r="E1534" s="19" t="n">
        <v>39.8333333333333</v>
      </c>
    </row>
    <row r="1535" customFormat="false" ht="15" hidden="false" customHeight="false" outlineLevel="0" collapsed="false">
      <c r="A1535" s="0" t="n">
        <v>1534</v>
      </c>
      <c r="B1535" s="18" t="n">
        <v>617684.849510516</v>
      </c>
      <c r="C1535" s="18" t="n">
        <v>0</v>
      </c>
      <c r="D1535" s="0" t="n">
        <v>0</v>
      </c>
      <c r="E1535" s="19" t="n">
        <v>40.8333333333333</v>
      </c>
    </row>
    <row r="1536" customFormat="false" ht="15" hidden="false" customHeight="false" outlineLevel="0" collapsed="false">
      <c r="A1536" s="0" t="n">
        <v>1535</v>
      </c>
      <c r="B1536" s="18" t="n">
        <v>500536.252839658</v>
      </c>
      <c r="C1536" s="18" t="n">
        <v>0</v>
      </c>
      <c r="D1536" s="0" t="n">
        <v>0</v>
      </c>
      <c r="E1536" s="19" t="n">
        <v>34.0833333333333</v>
      </c>
    </row>
    <row r="1537" customFormat="false" ht="15" hidden="false" customHeight="false" outlineLevel="0" collapsed="false">
      <c r="A1537" s="0" t="n">
        <v>1536</v>
      </c>
      <c r="B1537" s="18" t="n">
        <v>2535906.28881819</v>
      </c>
      <c r="C1537" s="18" t="n">
        <v>0</v>
      </c>
      <c r="D1537" s="0" t="n">
        <v>0</v>
      </c>
      <c r="E1537" s="19" t="n">
        <v>44.5833333333333</v>
      </c>
    </row>
    <row r="1538" customFormat="false" ht="15" hidden="false" customHeight="false" outlineLevel="0" collapsed="false">
      <c r="A1538" s="0" t="n">
        <v>1537</v>
      </c>
      <c r="B1538" s="18" t="n">
        <v>776547.69038466</v>
      </c>
      <c r="C1538" s="18" t="n">
        <v>43263.9488792683</v>
      </c>
      <c r="D1538" s="0" t="n">
        <v>1</v>
      </c>
    </row>
    <row r="1539" customFormat="false" ht="15" hidden="false" customHeight="false" outlineLevel="0" collapsed="false">
      <c r="A1539" s="0" t="n">
        <v>1538</v>
      </c>
      <c r="B1539" s="18" t="n">
        <v>477215.73063004</v>
      </c>
      <c r="C1539" s="18" t="n">
        <v>0</v>
      </c>
      <c r="D1539" s="0" t="n">
        <v>0</v>
      </c>
      <c r="E1539" s="19" t="n">
        <v>37.5</v>
      </c>
    </row>
    <row r="1540" customFormat="false" ht="15" hidden="false" customHeight="false" outlineLevel="0" collapsed="false">
      <c r="A1540" s="0" t="n">
        <v>1539</v>
      </c>
      <c r="B1540" s="18" t="n">
        <v>782259.418970011</v>
      </c>
      <c r="C1540" s="18" t="n">
        <v>0</v>
      </c>
      <c r="D1540" s="0" t="n">
        <v>0</v>
      </c>
      <c r="E1540" s="19" t="n">
        <v>35.9166666666667</v>
      </c>
    </row>
    <row r="1541" customFormat="false" ht="15" hidden="false" customHeight="false" outlineLevel="0" collapsed="false">
      <c r="A1541" s="0" t="n">
        <v>1540</v>
      </c>
      <c r="B1541" s="18" t="n">
        <v>1102776.91891679</v>
      </c>
      <c r="C1541" s="18" t="n">
        <v>3206315.80758146</v>
      </c>
      <c r="D1541" s="0" t="n">
        <v>1</v>
      </c>
    </row>
    <row r="1542" customFormat="false" ht="15" hidden="false" customHeight="false" outlineLevel="0" collapsed="false">
      <c r="A1542" s="0" t="n">
        <v>1541</v>
      </c>
      <c r="B1542" s="18" t="n">
        <v>666314.402532984</v>
      </c>
      <c r="C1542" s="18" t="n">
        <v>0</v>
      </c>
      <c r="D1542" s="0" t="n">
        <v>0</v>
      </c>
      <c r="E1542" s="19" t="n">
        <v>48</v>
      </c>
    </row>
    <row r="1543" customFormat="false" ht="15" hidden="false" customHeight="false" outlineLevel="0" collapsed="false">
      <c r="A1543" s="0" t="n">
        <v>1542</v>
      </c>
      <c r="B1543" s="18" t="n">
        <v>719538.084922427</v>
      </c>
      <c r="C1543" s="18" t="n">
        <v>0</v>
      </c>
      <c r="D1543" s="0" t="n">
        <v>0</v>
      </c>
      <c r="E1543" s="19" t="n">
        <v>38</v>
      </c>
    </row>
    <row r="1544" customFormat="false" ht="15" hidden="false" customHeight="false" outlineLevel="0" collapsed="false">
      <c r="A1544" s="0" t="n">
        <v>1543</v>
      </c>
      <c r="B1544" s="18" t="n">
        <v>506708.7834911</v>
      </c>
      <c r="C1544" s="18" t="n">
        <v>0</v>
      </c>
      <c r="D1544" s="0" t="n">
        <v>0</v>
      </c>
      <c r="E1544" s="19" t="n">
        <v>32.25</v>
      </c>
    </row>
    <row r="1545" customFormat="false" ht="15" hidden="false" customHeight="false" outlineLevel="0" collapsed="false">
      <c r="A1545" s="0" t="n">
        <v>1544</v>
      </c>
      <c r="B1545" s="18" t="n">
        <v>713056.847752921</v>
      </c>
      <c r="C1545" s="18" t="n">
        <v>0</v>
      </c>
      <c r="D1545" s="0" t="n">
        <v>0</v>
      </c>
      <c r="E1545" s="19" t="n">
        <v>43.5833333333333</v>
      </c>
    </row>
    <row r="1546" customFormat="false" ht="15" hidden="false" customHeight="false" outlineLevel="0" collapsed="false">
      <c r="A1546" s="0" t="n">
        <v>1545</v>
      </c>
      <c r="B1546" s="18" t="n">
        <v>632668.060238131</v>
      </c>
      <c r="C1546" s="18" t="n">
        <v>0</v>
      </c>
      <c r="D1546" s="0" t="n">
        <v>0</v>
      </c>
      <c r="E1546" s="19" t="n">
        <v>35.9166666666667</v>
      </c>
    </row>
    <row r="1547" customFormat="false" ht="15" hidden="false" customHeight="false" outlineLevel="0" collapsed="false">
      <c r="A1547" s="0" t="n">
        <v>1546</v>
      </c>
      <c r="B1547" s="18" t="n">
        <v>461346.313745337</v>
      </c>
      <c r="C1547" s="18" t="n">
        <v>0</v>
      </c>
      <c r="D1547" s="0" t="n">
        <v>0</v>
      </c>
      <c r="E1547" s="19" t="n">
        <v>30.9166666666667</v>
      </c>
    </row>
    <row r="1548" customFormat="false" ht="15" hidden="false" customHeight="false" outlineLevel="0" collapsed="false">
      <c r="A1548" s="0" t="n">
        <v>1547</v>
      </c>
      <c r="B1548" s="18" t="n">
        <v>1232166.5917557</v>
      </c>
      <c r="C1548" s="18" t="n">
        <v>0</v>
      </c>
      <c r="D1548" s="0" t="n">
        <v>0</v>
      </c>
      <c r="E1548" s="19" t="n">
        <v>54.5</v>
      </c>
    </row>
    <row r="1549" customFormat="false" ht="15" hidden="false" customHeight="false" outlineLevel="0" collapsed="false">
      <c r="A1549" s="0" t="n">
        <v>1548</v>
      </c>
      <c r="B1549" s="18" t="n">
        <v>527723.732199112</v>
      </c>
      <c r="C1549" s="18" t="n">
        <v>0</v>
      </c>
      <c r="D1549" s="0" t="n">
        <v>0</v>
      </c>
      <c r="E1549" s="19" t="n">
        <v>38.1666666666667</v>
      </c>
    </row>
    <row r="1550" customFormat="false" ht="15" hidden="false" customHeight="false" outlineLevel="0" collapsed="false">
      <c r="A1550" s="0" t="n">
        <v>1549</v>
      </c>
      <c r="B1550" s="18" t="n">
        <v>581560.260098961</v>
      </c>
      <c r="C1550" s="18" t="n">
        <v>0</v>
      </c>
      <c r="D1550" s="0" t="n">
        <v>0</v>
      </c>
      <c r="E1550" s="19" t="n">
        <v>38.8333333333333</v>
      </c>
    </row>
    <row r="1551" customFormat="false" ht="15" hidden="false" customHeight="false" outlineLevel="0" collapsed="false">
      <c r="A1551" s="0" t="n">
        <v>1550</v>
      </c>
      <c r="B1551" s="18" t="n">
        <v>348681.748903508</v>
      </c>
      <c r="C1551" s="18" t="n">
        <v>0</v>
      </c>
      <c r="D1551" s="0" t="n">
        <v>0</v>
      </c>
      <c r="E1551" s="19" t="n">
        <v>30.5833333333333</v>
      </c>
    </row>
    <row r="1552" customFormat="false" ht="15" hidden="false" customHeight="false" outlineLevel="0" collapsed="false">
      <c r="A1552" s="0" t="n">
        <v>1551</v>
      </c>
      <c r="B1552" s="18" t="n">
        <v>715708.328938862</v>
      </c>
      <c r="C1552" s="18" t="n">
        <v>0</v>
      </c>
      <c r="D1552" s="0" t="n">
        <v>0</v>
      </c>
      <c r="E1552" s="19" t="n">
        <v>54.4166666666667</v>
      </c>
    </row>
    <row r="1553" customFormat="false" ht="15" hidden="false" customHeight="false" outlineLevel="0" collapsed="false">
      <c r="A1553" s="0" t="n">
        <v>1552</v>
      </c>
      <c r="B1553" s="18" t="n">
        <v>897493.460550323</v>
      </c>
      <c r="C1553" s="18" t="n">
        <v>0</v>
      </c>
      <c r="D1553" s="0" t="n">
        <v>0</v>
      </c>
      <c r="E1553" s="19" t="n">
        <v>44.6666666666667</v>
      </c>
    </row>
    <row r="1554" customFormat="false" ht="15" hidden="false" customHeight="false" outlineLevel="0" collapsed="false">
      <c r="A1554" s="0" t="n">
        <v>1553</v>
      </c>
      <c r="B1554" s="18" t="n">
        <v>1217535.59300939</v>
      </c>
      <c r="C1554" s="18" t="n">
        <v>0</v>
      </c>
      <c r="D1554" s="0" t="n">
        <v>0</v>
      </c>
      <c r="E1554" s="19" t="n">
        <v>45.0833333333333</v>
      </c>
    </row>
    <row r="1555" customFormat="false" ht="15" hidden="false" customHeight="false" outlineLevel="0" collapsed="false">
      <c r="A1555" s="0" t="n">
        <v>1554</v>
      </c>
      <c r="B1555" s="18" t="n">
        <v>1827138.10958998</v>
      </c>
      <c r="C1555" s="18" t="n">
        <v>1709845.05010727</v>
      </c>
      <c r="D1555" s="0" t="n">
        <v>1</v>
      </c>
    </row>
    <row r="1556" customFormat="false" ht="15" hidden="false" customHeight="false" outlineLevel="0" collapsed="false">
      <c r="A1556" s="0" t="n">
        <v>1555</v>
      </c>
      <c r="B1556" s="18" t="n">
        <v>406431.458266661</v>
      </c>
      <c r="C1556" s="18" t="n">
        <v>0</v>
      </c>
      <c r="D1556" s="0" t="n">
        <v>0</v>
      </c>
      <c r="E1556" s="19" t="n">
        <v>30.4166666666667</v>
      </c>
    </row>
    <row r="1557" customFormat="false" ht="15" hidden="false" customHeight="false" outlineLevel="0" collapsed="false">
      <c r="A1557" s="0" t="n">
        <v>1556</v>
      </c>
      <c r="B1557" s="18" t="n">
        <v>616102.382090413</v>
      </c>
      <c r="C1557" s="18" t="n">
        <v>0</v>
      </c>
      <c r="D1557" s="0" t="n">
        <v>0</v>
      </c>
      <c r="E1557" s="19" t="n">
        <v>34.5833333333333</v>
      </c>
    </row>
    <row r="1558" customFormat="false" ht="15" hidden="false" customHeight="false" outlineLevel="0" collapsed="false">
      <c r="A1558" s="0" t="n">
        <v>1557</v>
      </c>
      <c r="B1558" s="18" t="n">
        <v>887124.909648722</v>
      </c>
      <c r="C1558" s="18" t="n">
        <v>2145248.86394443</v>
      </c>
      <c r="D1558" s="0" t="n">
        <v>1</v>
      </c>
    </row>
    <row r="1559" customFormat="false" ht="15" hidden="false" customHeight="false" outlineLevel="0" collapsed="false">
      <c r="A1559" s="0" t="n">
        <v>1558</v>
      </c>
      <c r="B1559" s="18" t="n">
        <v>459517.101959123</v>
      </c>
      <c r="C1559" s="18" t="n">
        <v>0</v>
      </c>
      <c r="D1559" s="0" t="n">
        <v>0</v>
      </c>
      <c r="E1559" s="19" t="n">
        <v>31.3333333333333</v>
      </c>
    </row>
    <row r="1560" customFormat="false" ht="15" hidden="false" customHeight="false" outlineLevel="0" collapsed="false">
      <c r="A1560" s="0" t="n">
        <v>1559</v>
      </c>
      <c r="B1560" s="18" t="n">
        <v>560199.94290379</v>
      </c>
      <c r="C1560" s="18" t="n">
        <v>0</v>
      </c>
      <c r="D1560" s="0" t="n">
        <v>0</v>
      </c>
      <c r="E1560" s="19" t="n">
        <v>33.0833333333333</v>
      </c>
    </row>
    <row r="1561" customFormat="false" ht="15" hidden="false" customHeight="false" outlineLevel="0" collapsed="false">
      <c r="A1561" s="0" t="n">
        <v>1560</v>
      </c>
      <c r="B1561" s="18" t="n">
        <v>583582.335783331</v>
      </c>
      <c r="C1561" s="18" t="n">
        <v>0</v>
      </c>
      <c r="D1561" s="0" t="n">
        <v>0</v>
      </c>
      <c r="E1561" s="19" t="n">
        <v>37.9166666666667</v>
      </c>
    </row>
    <row r="1562" customFormat="false" ht="15" hidden="false" customHeight="false" outlineLevel="0" collapsed="false">
      <c r="A1562" s="0" t="n">
        <v>1561</v>
      </c>
      <c r="B1562" s="18" t="n">
        <v>1800887.53260079</v>
      </c>
      <c r="C1562" s="18" t="n">
        <v>0</v>
      </c>
      <c r="D1562" s="0" t="n">
        <v>0</v>
      </c>
      <c r="E1562" s="19" t="n">
        <v>54.0833333333333</v>
      </c>
    </row>
    <row r="1563" customFormat="false" ht="15" hidden="false" customHeight="false" outlineLevel="0" collapsed="false">
      <c r="A1563" s="0" t="n">
        <v>1562</v>
      </c>
      <c r="B1563" s="18" t="n">
        <v>1183345.06338084</v>
      </c>
      <c r="C1563" s="18" t="n">
        <v>0</v>
      </c>
      <c r="D1563" s="0" t="n">
        <v>0</v>
      </c>
      <c r="E1563" s="19" t="n">
        <v>50.4166666666667</v>
      </c>
    </row>
    <row r="1564" customFormat="false" ht="15" hidden="false" customHeight="false" outlineLevel="0" collapsed="false">
      <c r="A1564" s="0" t="n">
        <v>1563</v>
      </c>
      <c r="B1564" s="18" t="n">
        <v>719162.517037774</v>
      </c>
      <c r="C1564" s="18" t="n">
        <v>0</v>
      </c>
      <c r="D1564" s="0" t="n">
        <v>0</v>
      </c>
      <c r="E1564" s="19" t="n">
        <v>38</v>
      </c>
    </row>
    <row r="1565" customFormat="false" ht="15" hidden="false" customHeight="false" outlineLevel="0" collapsed="false">
      <c r="A1565" s="0" t="n">
        <v>1564</v>
      </c>
      <c r="B1565" s="18" t="n">
        <v>1250756.66554855</v>
      </c>
      <c r="C1565" s="18" t="n">
        <v>0</v>
      </c>
      <c r="D1565" s="0" t="n">
        <v>0</v>
      </c>
      <c r="E1565" s="19" t="n">
        <v>54</v>
      </c>
    </row>
    <row r="1566" customFormat="false" ht="15" hidden="false" customHeight="false" outlineLevel="0" collapsed="false">
      <c r="A1566" s="0" t="n">
        <v>1565</v>
      </c>
      <c r="B1566" s="18" t="n">
        <v>372922.618260629</v>
      </c>
      <c r="C1566" s="18" t="n">
        <v>0</v>
      </c>
      <c r="D1566" s="0" t="n">
        <v>0</v>
      </c>
      <c r="E1566" s="19" t="n">
        <v>32</v>
      </c>
    </row>
    <row r="1567" customFormat="false" ht="15" hidden="false" customHeight="false" outlineLevel="0" collapsed="false">
      <c r="A1567" s="0" t="n">
        <v>1566</v>
      </c>
      <c r="B1567" s="18" t="n">
        <v>732347.1401268</v>
      </c>
      <c r="C1567" s="18" t="n">
        <v>0</v>
      </c>
      <c r="D1567" s="0" t="n">
        <v>0</v>
      </c>
      <c r="E1567" s="19" t="n">
        <v>41.6666666666667</v>
      </c>
    </row>
    <row r="1568" customFormat="false" ht="15" hidden="false" customHeight="false" outlineLevel="0" collapsed="false">
      <c r="A1568" s="0" t="n">
        <v>1567</v>
      </c>
      <c r="B1568" s="18" t="n">
        <v>1036008.6472119</v>
      </c>
      <c r="C1568" s="18" t="n">
        <v>0</v>
      </c>
      <c r="D1568" s="0" t="n">
        <v>0</v>
      </c>
      <c r="E1568" s="19" t="n">
        <v>46.5833333333333</v>
      </c>
    </row>
    <row r="1569" customFormat="false" ht="15" hidden="false" customHeight="false" outlineLevel="0" collapsed="false">
      <c r="A1569" s="0" t="n">
        <v>1568</v>
      </c>
      <c r="B1569" s="18" t="n">
        <v>3117881.72638813</v>
      </c>
      <c r="C1569" s="18" t="n">
        <v>5915587.69832056</v>
      </c>
      <c r="D1569" s="0" t="n">
        <v>1</v>
      </c>
    </row>
    <row r="1570" customFormat="false" ht="15" hidden="false" customHeight="false" outlineLevel="0" collapsed="false">
      <c r="A1570" s="0" t="n">
        <v>1569</v>
      </c>
      <c r="B1570" s="18" t="n">
        <v>1204131.73331509</v>
      </c>
      <c r="C1570" s="18" t="n">
        <v>0</v>
      </c>
      <c r="D1570" s="0" t="n">
        <v>0</v>
      </c>
      <c r="E1570" s="19" t="n">
        <v>53.6666666666667</v>
      </c>
    </row>
    <row r="1571" customFormat="false" ht="15" hidden="false" customHeight="false" outlineLevel="0" collapsed="false">
      <c r="A1571" s="0" t="n">
        <v>1570</v>
      </c>
      <c r="B1571" s="18" t="n">
        <v>712137.985126357</v>
      </c>
      <c r="C1571" s="18" t="n">
        <v>0</v>
      </c>
      <c r="D1571" s="0" t="n">
        <v>0</v>
      </c>
      <c r="E1571" s="19" t="n">
        <v>40.0833333333333</v>
      </c>
    </row>
    <row r="1572" customFormat="false" ht="15" hidden="false" customHeight="false" outlineLevel="0" collapsed="false">
      <c r="A1572" s="0" t="n">
        <v>1571</v>
      </c>
      <c r="B1572" s="18" t="n">
        <v>609294.27166176</v>
      </c>
      <c r="C1572" s="18" t="n">
        <v>0</v>
      </c>
      <c r="D1572" s="0" t="n">
        <v>0</v>
      </c>
      <c r="E1572" s="19" t="n">
        <v>36.0833333333333</v>
      </c>
    </row>
    <row r="1573" customFormat="false" ht="15" hidden="false" customHeight="false" outlineLevel="0" collapsed="false">
      <c r="A1573" s="0" t="n">
        <v>1572</v>
      </c>
      <c r="B1573" s="18" t="n">
        <v>1096793.80336958</v>
      </c>
      <c r="C1573" s="18" t="n">
        <v>0</v>
      </c>
      <c r="D1573" s="0" t="n">
        <v>0</v>
      </c>
      <c r="E1573" s="19" t="n">
        <v>46.4166666666667</v>
      </c>
    </row>
    <row r="1574" customFormat="false" ht="15" hidden="false" customHeight="false" outlineLevel="0" collapsed="false">
      <c r="A1574" s="0" t="n">
        <v>1573</v>
      </c>
      <c r="B1574" s="18" t="n">
        <v>575148.975322658</v>
      </c>
      <c r="C1574" s="18" t="n">
        <v>0</v>
      </c>
      <c r="D1574" s="0" t="n">
        <v>0</v>
      </c>
      <c r="E1574" s="19" t="n">
        <v>34.5833333333333</v>
      </c>
    </row>
    <row r="1575" customFormat="false" ht="15" hidden="false" customHeight="false" outlineLevel="0" collapsed="false">
      <c r="A1575" s="0" t="n">
        <v>1574</v>
      </c>
      <c r="B1575" s="18" t="n">
        <v>1721213.57208793</v>
      </c>
      <c r="C1575" s="18" t="n">
        <v>2686407.878774</v>
      </c>
      <c r="D1575" s="0" t="n">
        <v>1</v>
      </c>
    </row>
    <row r="1576" customFormat="false" ht="15" hidden="false" customHeight="false" outlineLevel="0" collapsed="false">
      <c r="A1576" s="0" t="n">
        <v>1575</v>
      </c>
      <c r="B1576" s="18" t="n">
        <v>1535185.96853428</v>
      </c>
      <c r="C1576" s="18" t="n">
        <v>0</v>
      </c>
      <c r="D1576" s="0" t="n">
        <v>0</v>
      </c>
      <c r="E1576" s="19" t="n">
        <v>53.6666666666667</v>
      </c>
    </row>
    <row r="1577" customFormat="false" ht="15" hidden="false" customHeight="false" outlineLevel="0" collapsed="false">
      <c r="A1577" s="0" t="n">
        <v>1576</v>
      </c>
      <c r="B1577" s="18" t="n">
        <v>1577825.9738935</v>
      </c>
      <c r="C1577" s="18" t="n">
        <v>3375964.27872245</v>
      </c>
      <c r="D1577" s="0" t="n">
        <v>1</v>
      </c>
    </row>
    <row r="1578" customFormat="false" ht="15" hidden="false" customHeight="false" outlineLevel="0" collapsed="false">
      <c r="A1578" s="0" t="n">
        <v>1577</v>
      </c>
      <c r="B1578" s="18" t="n">
        <v>1801270.47030067</v>
      </c>
      <c r="C1578" s="18" t="n">
        <v>1075662.97894683</v>
      </c>
      <c r="D1578" s="0" t="n">
        <v>1</v>
      </c>
    </row>
    <row r="1579" customFormat="false" ht="15" hidden="false" customHeight="false" outlineLevel="0" collapsed="false">
      <c r="A1579" s="0" t="n">
        <v>1578</v>
      </c>
      <c r="B1579" s="18" t="n">
        <v>1120065.89249326</v>
      </c>
      <c r="C1579" s="18" t="n">
        <v>0</v>
      </c>
      <c r="D1579" s="0" t="n">
        <v>0</v>
      </c>
      <c r="E1579" s="19" t="n">
        <v>52</v>
      </c>
    </row>
    <row r="1580" customFormat="false" ht="15" hidden="false" customHeight="false" outlineLevel="0" collapsed="false">
      <c r="A1580" s="0" t="n">
        <v>1579</v>
      </c>
      <c r="B1580" s="18" t="n">
        <v>365870.425400774</v>
      </c>
      <c r="C1580" s="18" t="n">
        <v>0</v>
      </c>
      <c r="D1580" s="0" t="n">
        <v>0</v>
      </c>
      <c r="E1580" s="19" t="n">
        <v>32.5833333333333</v>
      </c>
    </row>
    <row r="1581" customFormat="false" ht="15" hidden="false" customHeight="false" outlineLevel="0" collapsed="false">
      <c r="A1581" s="0" t="n">
        <v>1580</v>
      </c>
      <c r="B1581" s="18" t="n">
        <v>311266.711112239</v>
      </c>
      <c r="C1581" s="18" t="n">
        <v>0</v>
      </c>
      <c r="D1581" s="0" t="n">
        <v>0</v>
      </c>
      <c r="E1581" s="19" t="n">
        <v>33.4166666666667</v>
      </c>
    </row>
    <row r="1582" customFormat="false" ht="15" hidden="false" customHeight="false" outlineLevel="0" collapsed="false">
      <c r="A1582" s="0" t="n">
        <v>1581</v>
      </c>
      <c r="B1582" s="18" t="n">
        <v>512361.293335775</v>
      </c>
      <c r="C1582" s="18" t="n">
        <v>0</v>
      </c>
      <c r="D1582" s="0" t="n">
        <v>0</v>
      </c>
      <c r="E1582" s="19" t="n">
        <v>33.1666666666667</v>
      </c>
    </row>
    <row r="1583" customFormat="false" ht="15" hidden="false" customHeight="false" outlineLevel="0" collapsed="false">
      <c r="A1583" s="0" t="n">
        <v>1582</v>
      </c>
      <c r="B1583" s="18" t="n">
        <v>461103.020222942</v>
      </c>
      <c r="C1583" s="18" t="n">
        <v>901065.414027344</v>
      </c>
      <c r="D1583" s="0" t="n">
        <v>1</v>
      </c>
    </row>
    <row r="1584" customFormat="false" ht="15" hidden="false" customHeight="false" outlineLevel="0" collapsed="false">
      <c r="A1584" s="0" t="n">
        <v>1583</v>
      </c>
      <c r="B1584" s="18" t="n">
        <v>803160.296518235</v>
      </c>
      <c r="C1584" s="18" t="n">
        <v>0</v>
      </c>
      <c r="D1584" s="0" t="n">
        <v>0</v>
      </c>
      <c r="E1584" s="19" t="n">
        <v>50.0833333333333</v>
      </c>
    </row>
    <row r="1585" customFormat="false" ht="15" hidden="false" customHeight="false" outlineLevel="0" collapsed="false">
      <c r="A1585" s="0" t="n">
        <v>1584</v>
      </c>
      <c r="B1585" s="18" t="n">
        <v>1085331.55737799</v>
      </c>
      <c r="C1585" s="18" t="n">
        <v>0</v>
      </c>
      <c r="D1585" s="0" t="n">
        <v>0</v>
      </c>
      <c r="E1585" s="19" t="n">
        <v>47.75</v>
      </c>
    </row>
    <row r="1586" customFormat="false" ht="15" hidden="false" customHeight="false" outlineLevel="0" collapsed="false">
      <c r="A1586" s="0" t="n">
        <v>1585</v>
      </c>
      <c r="B1586" s="18" t="n">
        <v>1469618.38784377</v>
      </c>
      <c r="C1586" s="18" t="n">
        <v>0</v>
      </c>
      <c r="D1586" s="0" t="n">
        <v>0</v>
      </c>
      <c r="E1586" s="19" t="n">
        <v>41.3333333333333</v>
      </c>
    </row>
    <row r="1587" customFormat="false" ht="15" hidden="false" customHeight="false" outlineLevel="0" collapsed="false">
      <c r="A1587" s="0" t="n">
        <v>1586</v>
      </c>
      <c r="B1587" s="18" t="n">
        <v>409978.331134706</v>
      </c>
      <c r="C1587" s="18" t="n">
        <v>0</v>
      </c>
      <c r="D1587" s="0" t="n">
        <v>0</v>
      </c>
      <c r="E1587" s="19" t="n">
        <v>31.0833333333333</v>
      </c>
    </row>
    <row r="1588" customFormat="false" ht="15" hidden="false" customHeight="false" outlineLevel="0" collapsed="false">
      <c r="A1588" s="0" t="n">
        <v>1587</v>
      </c>
      <c r="B1588" s="18" t="n">
        <v>2142586.69999708</v>
      </c>
      <c r="C1588" s="18" t="n">
        <v>1701518.9169478</v>
      </c>
      <c r="D1588" s="0" t="n">
        <v>1</v>
      </c>
    </row>
    <row r="1589" customFormat="false" ht="15" hidden="false" customHeight="false" outlineLevel="0" collapsed="false">
      <c r="A1589" s="0" t="n">
        <v>1588</v>
      </c>
      <c r="B1589" s="18" t="n">
        <v>10075647.8179039</v>
      </c>
      <c r="C1589" s="18" t="n">
        <v>132641350.190864</v>
      </c>
      <c r="D1589" s="0" t="n">
        <v>1</v>
      </c>
    </row>
    <row r="1590" customFormat="false" ht="15" hidden="false" customHeight="false" outlineLevel="0" collapsed="false">
      <c r="A1590" s="0" t="n">
        <v>1589</v>
      </c>
      <c r="B1590" s="18" t="n">
        <v>739905.147199825</v>
      </c>
      <c r="C1590" s="18" t="n">
        <v>13476763.3775849</v>
      </c>
      <c r="D1590" s="0" t="n">
        <v>1</v>
      </c>
    </row>
    <row r="1591" customFormat="false" ht="15" hidden="false" customHeight="false" outlineLevel="0" collapsed="false">
      <c r="A1591" s="0" t="n">
        <v>1590</v>
      </c>
      <c r="B1591" s="18" t="n">
        <v>376553.253378817</v>
      </c>
      <c r="C1591" s="18" t="n">
        <v>0</v>
      </c>
      <c r="D1591" s="0" t="n">
        <v>0</v>
      </c>
      <c r="E1591" s="19" t="n">
        <v>31.4166666666667</v>
      </c>
    </row>
    <row r="1592" customFormat="false" ht="15" hidden="false" customHeight="false" outlineLevel="0" collapsed="false">
      <c r="A1592" s="0" t="n">
        <v>1591</v>
      </c>
      <c r="B1592" s="18" t="n">
        <v>1269629.22242315</v>
      </c>
      <c r="C1592" s="18" t="n">
        <v>100455.087919492</v>
      </c>
      <c r="D1592" s="0" t="n">
        <v>1</v>
      </c>
    </row>
    <row r="1593" customFormat="false" ht="15" hidden="false" customHeight="false" outlineLevel="0" collapsed="false">
      <c r="A1593" s="0" t="n">
        <v>1592</v>
      </c>
      <c r="B1593" s="18" t="n">
        <v>423874.209109582</v>
      </c>
      <c r="C1593" s="18" t="n">
        <v>0</v>
      </c>
      <c r="D1593" s="0" t="n">
        <v>0</v>
      </c>
      <c r="E1593" s="19" t="n">
        <v>32</v>
      </c>
    </row>
    <row r="1594" customFormat="false" ht="15" hidden="false" customHeight="false" outlineLevel="0" collapsed="false">
      <c r="A1594" s="0" t="n">
        <v>1593</v>
      </c>
      <c r="B1594" s="18" t="n">
        <v>475554.630505914</v>
      </c>
      <c r="C1594" s="18" t="n">
        <v>0</v>
      </c>
      <c r="D1594" s="0" t="n">
        <v>0</v>
      </c>
      <c r="E1594" s="19" t="n">
        <v>36.8333333333333</v>
      </c>
    </row>
    <row r="1595" customFormat="false" ht="15" hidden="false" customHeight="false" outlineLevel="0" collapsed="false">
      <c r="A1595" s="0" t="n">
        <v>1594</v>
      </c>
      <c r="B1595" s="18" t="n">
        <v>761588.727664249</v>
      </c>
      <c r="C1595" s="18" t="n">
        <v>0</v>
      </c>
      <c r="D1595" s="0" t="n">
        <v>0</v>
      </c>
      <c r="E1595" s="19" t="n">
        <v>48.0833333333333</v>
      </c>
    </row>
    <row r="1596" customFormat="false" ht="15" hidden="false" customHeight="false" outlineLevel="0" collapsed="false">
      <c r="A1596" s="0" t="n">
        <v>1595</v>
      </c>
      <c r="B1596" s="18" t="n">
        <v>428699.436541036</v>
      </c>
      <c r="C1596" s="18" t="n">
        <v>0</v>
      </c>
      <c r="D1596" s="0" t="n">
        <v>0</v>
      </c>
      <c r="E1596" s="19" t="n">
        <v>33.3333333333333</v>
      </c>
    </row>
    <row r="1597" customFormat="false" ht="15" hidden="false" customHeight="false" outlineLevel="0" collapsed="false">
      <c r="A1597" s="0" t="n">
        <v>1596</v>
      </c>
      <c r="B1597" s="18" t="n">
        <v>983031.957307022</v>
      </c>
      <c r="C1597" s="18" t="n">
        <v>2135094.18101357</v>
      </c>
      <c r="D1597" s="0" t="n">
        <v>1</v>
      </c>
    </row>
    <row r="1598" customFormat="false" ht="15" hidden="false" customHeight="false" outlineLevel="0" collapsed="false">
      <c r="A1598" s="0" t="n">
        <v>1597</v>
      </c>
      <c r="B1598" s="18" t="n">
        <v>1621340.9645038</v>
      </c>
      <c r="C1598" s="18" t="n">
        <v>3234798.07937797</v>
      </c>
      <c r="D1598" s="0" t="n">
        <v>1</v>
      </c>
    </row>
    <row r="1599" customFormat="false" ht="15" hidden="false" customHeight="false" outlineLevel="0" collapsed="false">
      <c r="A1599" s="0" t="n">
        <v>1598</v>
      </c>
      <c r="B1599" s="18" t="n">
        <v>927598.928958649</v>
      </c>
      <c r="C1599" s="18" t="n">
        <v>2309018.91777864</v>
      </c>
      <c r="D1599" s="0" t="n">
        <v>1</v>
      </c>
    </row>
    <row r="1600" customFormat="false" ht="15" hidden="false" customHeight="false" outlineLevel="0" collapsed="false">
      <c r="A1600" s="0" t="n">
        <v>1599</v>
      </c>
      <c r="B1600" s="18" t="n">
        <v>969942.560507405</v>
      </c>
      <c r="C1600" s="18" t="n">
        <v>0</v>
      </c>
      <c r="D1600" s="0" t="n">
        <v>0</v>
      </c>
      <c r="E1600" s="19" t="n">
        <v>40.25</v>
      </c>
    </row>
    <row r="1601" customFormat="false" ht="15" hidden="false" customHeight="false" outlineLevel="0" collapsed="false">
      <c r="A1601" s="0" t="n">
        <v>1600</v>
      </c>
      <c r="B1601" s="18" t="n">
        <v>693957.128207812</v>
      </c>
      <c r="C1601" s="18" t="n">
        <v>0</v>
      </c>
      <c r="D1601" s="0" t="n">
        <v>0</v>
      </c>
      <c r="E1601" s="19" t="n">
        <v>38.0833333333333</v>
      </c>
    </row>
    <row r="1602" customFormat="false" ht="15" hidden="false" customHeight="false" outlineLevel="0" collapsed="false">
      <c r="A1602" s="0" t="n">
        <v>1601</v>
      </c>
      <c r="B1602" s="18" t="n">
        <v>428212.624598563</v>
      </c>
      <c r="C1602" s="18" t="n">
        <v>0</v>
      </c>
      <c r="D1602" s="0" t="n">
        <v>0</v>
      </c>
      <c r="E1602" s="19" t="n">
        <v>32.8333333333333</v>
      </c>
    </row>
    <row r="1603" customFormat="false" ht="15" hidden="false" customHeight="false" outlineLevel="0" collapsed="false">
      <c r="A1603" s="0" t="n">
        <v>1602</v>
      </c>
      <c r="B1603" s="18" t="n">
        <v>686167.948928296</v>
      </c>
      <c r="C1603" s="18" t="n">
        <v>0</v>
      </c>
      <c r="D1603" s="0" t="n">
        <v>0</v>
      </c>
      <c r="E1603" s="19" t="n">
        <v>39.8333333333333</v>
      </c>
    </row>
    <row r="1604" customFormat="false" ht="15" hidden="false" customHeight="false" outlineLevel="0" collapsed="false">
      <c r="A1604" s="0" t="n">
        <v>1603</v>
      </c>
      <c r="B1604" s="18" t="n">
        <v>1502141.82604785</v>
      </c>
      <c r="C1604" s="18" t="n">
        <v>0</v>
      </c>
      <c r="D1604" s="0" t="n">
        <v>0</v>
      </c>
      <c r="E1604" s="19" t="n">
        <v>53.25</v>
      </c>
    </row>
    <row r="1605" customFormat="false" ht="15" hidden="false" customHeight="false" outlineLevel="0" collapsed="false">
      <c r="A1605" s="0" t="n">
        <v>1604</v>
      </c>
      <c r="B1605" s="18" t="n">
        <v>1000433.70689811</v>
      </c>
      <c r="C1605" s="18" t="n">
        <v>0</v>
      </c>
      <c r="D1605" s="0" t="n">
        <v>0</v>
      </c>
      <c r="E1605" s="19" t="n">
        <v>39.5833333333333</v>
      </c>
    </row>
    <row r="1606" customFormat="false" ht="15" hidden="false" customHeight="false" outlineLevel="0" collapsed="false">
      <c r="A1606" s="0" t="n">
        <v>1605</v>
      </c>
      <c r="B1606" s="18" t="n">
        <v>257605.322381802</v>
      </c>
      <c r="C1606" s="18" t="n">
        <v>0</v>
      </c>
      <c r="D1606" s="0" t="n">
        <v>0</v>
      </c>
      <c r="E1606" s="19" t="n">
        <v>28.5833333333333</v>
      </c>
    </row>
    <row r="1607" customFormat="false" ht="15" hidden="false" customHeight="false" outlineLevel="0" collapsed="false">
      <c r="A1607" s="0" t="n">
        <v>1606</v>
      </c>
      <c r="B1607" s="18" t="n">
        <v>467218.690771515</v>
      </c>
      <c r="C1607" s="18" t="n">
        <v>0</v>
      </c>
      <c r="D1607" s="0" t="n">
        <v>0</v>
      </c>
      <c r="E1607" s="19" t="n">
        <v>38.5833333333333</v>
      </c>
    </row>
    <row r="1608" customFormat="false" ht="15" hidden="false" customHeight="false" outlineLevel="0" collapsed="false">
      <c r="A1608" s="0" t="n">
        <v>1607</v>
      </c>
      <c r="B1608" s="18" t="n">
        <v>1903465.33272412</v>
      </c>
      <c r="C1608" s="18" t="n">
        <v>10001513.6974443</v>
      </c>
      <c r="D1608" s="0" t="n">
        <v>1</v>
      </c>
    </row>
    <row r="1609" customFormat="false" ht="15" hidden="false" customHeight="false" outlineLevel="0" collapsed="false">
      <c r="A1609" s="0" t="n">
        <v>1608</v>
      </c>
      <c r="B1609" s="18" t="n">
        <v>807216.636126558</v>
      </c>
      <c r="C1609" s="18" t="n">
        <v>0</v>
      </c>
      <c r="D1609" s="0" t="n">
        <v>0</v>
      </c>
      <c r="E1609" s="19" t="n">
        <v>43.6666666666667</v>
      </c>
    </row>
    <row r="1610" customFormat="false" ht="15" hidden="false" customHeight="false" outlineLevel="0" collapsed="false">
      <c r="A1610" s="0" t="n">
        <v>1609</v>
      </c>
      <c r="B1610" s="18" t="n">
        <v>905608.231886061</v>
      </c>
      <c r="C1610" s="18" t="n">
        <v>0</v>
      </c>
      <c r="D1610" s="0" t="n">
        <v>0</v>
      </c>
      <c r="E1610" s="19" t="n">
        <v>41.5</v>
      </c>
    </row>
    <row r="1611" customFormat="false" ht="15" hidden="false" customHeight="false" outlineLevel="0" collapsed="false">
      <c r="A1611" s="0" t="n">
        <v>1610</v>
      </c>
      <c r="B1611" s="18" t="n">
        <v>725850.506586693</v>
      </c>
      <c r="C1611" s="18" t="n">
        <v>0</v>
      </c>
      <c r="D1611" s="0" t="n">
        <v>0</v>
      </c>
      <c r="E1611" s="19" t="n">
        <v>35</v>
      </c>
    </row>
    <row r="1612" customFormat="false" ht="15" hidden="false" customHeight="false" outlineLevel="0" collapsed="false">
      <c r="A1612" s="0" t="n">
        <v>1611</v>
      </c>
      <c r="B1612" s="18" t="n">
        <v>742643.578255105</v>
      </c>
      <c r="C1612" s="18" t="n">
        <v>0</v>
      </c>
      <c r="D1612" s="0" t="n">
        <v>0</v>
      </c>
      <c r="E1612" s="19" t="n">
        <v>43.5</v>
      </c>
    </row>
    <row r="1613" customFormat="false" ht="15" hidden="false" customHeight="false" outlineLevel="0" collapsed="false">
      <c r="A1613" s="0" t="n">
        <v>1612</v>
      </c>
      <c r="B1613" s="18" t="n">
        <v>1265587.99274626</v>
      </c>
      <c r="C1613" s="18" t="n">
        <v>0</v>
      </c>
      <c r="D1613" s="0" t="n">
        <v>0</v>
      </c>
      <c r="E1613" s="19" t="n">
        <v>47.5</v>
      </c>
    </row>
    <row r="1614" customFormat="false" ht="15" hidden="false" customHeight="false" outlineLevel="0" collapsed="false">
      <c r="A1614" s="0" t="n">
        <v>1613</v>
      </c>
      <c r="B1614" s="18" t="n">
        <v>591253.258123482</v>
      </c>
      <c r="C1614" s="18" t="n">
        <v>0</v>
      </c>
      <c r="D1614" s="0" t="n">
        <v>0</v>
      </c>
      <c r="E1614" s="19" t="n">
        <v>35.1666666666667</v>
      </c>
    </row>
    <row r="1615" customFormat="false" ht="15" hidden="false" customHeight="false" outlineLevel="0" collapsed="false">
      <c r="A1615" s="0" t="n">
        <v>1614</v>
      </c>
      <c r="B1615" s="18" t="n">
        <v>960734.455200012</v>
      </c>
      <c r="C1615" s="18" t="n">
        <v>0</v>
      </c>
      <c r="D1615" s="0" t="n">
        <v>0</v>
      </c>
      <c r="E1615" s="19" t="n">
        <v>45.1666666666667</v>
      </c>
    </row>
    <row r="1616" customFormat="false" ht="15" hidden="false" customHeight="false" outlineLevel="0" collapsed="false">
      <c r="A1616" s="0" t="n">
        <v>1615</v>
      </c>
      <c r="B1616" s="18" t="n">
        <v>1500771.31401636</v>
      </c>
      <c r="C1616" s="18" t="n">
        <v>0</v>
      </c>
      <c r="D1616" s="0" t="n">
        <v>0</v>
      </c>
      <c r="E1616" s="19" t="n">
        <v>49.75</v>
      </c>
    </row>
    <row r="1617" customFormat="false" ht="15" hidden="false" customHeight="false" outlineLevel="0" collapsed="false">
      <c r="A1617" s="0" t="n">
        <v>1616</v>
      </c>
      <c r="B1617" s="18" t="n">
        <v>457150.787563334</v>
      </c>
      <c r="C1617" s="18" t="n">
        <v>0</v>
      </c>
      <c r="D1617" s="0" t="n">
        <v>0</v>
      </c>
      <c r="E1617" s="19" t="n">
        <v>32.9166666666667</v>
      </c>
    </row>
    <row r="1618" customFormat="false" ht="15" hidden="false" customHeight="false" outlineLevel="0" collapsed="false">
      <c r="A1618" s="0" t="n">
        <v>1617</v>
      </c>
      <c r="B1618" s="18" t="n">
        <v>2225095.25637449</v>
      </c>
      <c r="C1618" s="18" t="n">
        <v>6191774.22191776</v>
      </c>
      <c r="D1618" s="0" t="n">
        <v>1</v>
      </c>
    </row>
    <row r="1619" customFormat="false" ht="15" hidden="false" customHeight="false" outlineLevel="0" collapsed="false">
      <c r="A1619" s="0" t="n">
        <v>1618</v>
      </c>
      <c r="B1619" s="18" t="n">
        <v>1034486.9582345</v>
      </c>
      <c r="C1619" s="18" t="n">
        <v>419234.800959677</v>
      </c>
      <c r="D1619" s="0" t="n">
        <v>1</v>
      </c>
    </row>
    <row r="1620" customFormat="false" ht="15" hidden="false" customHeight="false" outlineLevel="0" collapsed="false">
      <c r="A1620" s="0" t="n">
        <v>1619</v>
      </c>
      <c r="B1620" s="18" t="n">
        <v>844967.876940553</v>
      </c>
      <c r="C1620" s="18" t="n">
        <v>2272116.07719025</v>
      </c>
      <c r="D1620" s="0" t="n">
        <v>1</v>
      </c>
    </row>
    <row r="1621" customFormat="false" ht="15" hidden="false" customHeight="false" outlineLevel="0" collapsed="false">
      <c r="A1621" s="0" t="n">
        <v>1620</v>
      </c>
      <c r="B1621" s="18" t="n">
        <v>684839.573463376</v>
      </c>
      <c r="C1621" s="18" t="n">
        <v>0</v>
      </c>
      <c r="D1621" s="0" t="n">
        <v>0</v>
      </c>
      <c r="E1621" s="19" t="n">
        <v>33.4166666666667</v>
      </c>
    </row>
    <row r="1622" customFormat="false" ht="15" hidden="false" customHeight="false" outlineLevel="0" collapsed="false">
      <c r="A1622" s="0" t="n">
        <v>1621</v>
      </c>
      <c r="B1622" s="18" t="n">
        <v>719349.622132869</v>
      </c>
      <c r="C1622" s="18" t="n">
        <v>0</v>
      </c>
      <c r="D1622" s="0" t="n">
        <v>0</v>
      </c>
      <c r="E1622" s="19" t="n">
        <v>38.75</v>
      </c>
    </row>
    <row r="1623" customFormat="false" ht="15" hidden="false" customHeight="false" outlineLevel="0" collapsed="false">
      <c r="A1623" s="0" t="n">
        <v>1622</v>
      </c>
      <c r="B1623" s="18" t="n">
        <v>787130.207830363</v>
      </c>
      <c r="C1623" s="18" t="n">
        <v>0</v>
      </c>
      <c r="D1623" s="0" t="n">
        <v>0</v>
      </c>
      <c r="E1623" s="19" t="n">
        <v>44</v>
      </c>
    </row>
    <row r="1624" customFormat="false" ht="15" hidden="false" customHeight="false" outlineLevel="0" collapsed="false">
      <c r="A1624" s="0" t="n">
        <v>1623</v>
      </c>
      <c r="B1624" s="18" t="n">
        <v>548989.537083169</v>
      </c>
      <c r="C1624" s="18" t="n">
        <v>0</v>
      </c>
      <c r="D1624" s="0" t="n">
        <v>0</v>
      </c>
      <c r="E1624" s="19" t="n">
        <v>31.75</v>
      </c>
    </row>
    <row r="1625" customFormat="false" ht="15" hidden="false" customHeight="false" outlineLevel="0" collapsed="false">
      <c r="A1625" s="0" t="n">
        <v>1624</v>
      </c>
      <c r="B1625" s="18" t="n">
        <v>761831.110277323</v>
      </c>
      <c r="C1625" s="18" t="n">
        <v>0</v>
      </c>
      <c r="D1625" s="0" t="n">
        <v>0</v>
      </c>
      <c r="E1625" s="19" t="n">
        <v>35.0833333333333</v>
      </c>
    </row>
    <row r="1626" customFormat="false" ht="15" hidden="false" customHeight="false" outlineLevel="0" collapsed="false">
      <c r="A1626" s="0" t="n">
        <v>1625</v>
      </c>
      <c r="B1626" s="18" t="n">
        <v>513754.331078455</v>
      </c>
      <c r="C1626" s="18" t="n">
        <v>0</v>
      </c>
      <c r="D1626" s="0" t="n">
        <v>0</v>
      </c>
      <c r="E1626" s="19" t="n">
        <v>36.25</v>
      </c>
    </row>
    <row r="1627" customFormat="false" ht="15" hidden="false" customHeight="false" outlineLevel="0" collapsed="false">
      <c r="A1627" s="0" t="n">
        <v>1626</v>
      </c>
      <c r="B1627" s="18" t="n">
        <v>1519549.22683236</v>
      </c>
      <c r="C1627" s="18" t="n">
        <v>13298596.7311499</v>
      </c>
      <c r="D1627" s="0" t="n">
        <v>1</v>
      </c>
    </row>
    <row r="1628" customFormat="false" ht="15" hidden="false" customHeight="false" outlineLevel="0" collapsed="false">
      <c r="A1628" s="0" t="n">
        <v>1627</v>
      </c>
      <c r="B1628" s="18" t="n">
        <v>753423.274752266</v>
      </c>
      <c r="C1628" s="18" t="n">
        <v>0</v>
      </c>
      <c r="D1628" s="0" t="n">
        <v>0</v>
      </c>
      <c r="E1628" s="19" t="n">
        <v>42.5833333333333</v>
      </c>
    </row>
    <row r="1629" customFormat="false" ht="15" hidden="false" customHeight="false" outlineLevel="0" collapsed="false">
      <c r="A1629" s="0" t="n">
        <v>1628</v>
      </c>
      <c r="B1629" s="18" t="n">
        <v>928338.19859594</v>
      </c>
      <c r="C1629" s="18" t="n">
        <v>0</v>
      </c>
      <c r="D1629" s="0" t="n">
        <v>0</v>
      </c>
      <c r="E1629" s="19" t="n">
        <v>36.25</v>
      </c>
    </row>
    <row r="1630" customFormat="false" ht="15" hidden="false" customHeight="false" outlineLevel="0" collapsed="false">
      <c r="A1630" s="0" t="n">
        <v>1629</v>
      </c>
      <c r="B1630" s="18" t="n">
        <v>1165647.06669555</v>
      </c>
      <c r="C1630" s="18" t="n">
        <v>0</v>
      </c>
      <c r="D1630" s="0" t="n">
        <v>0</v>
      </c>
      <c r="E1630" s="19" t="n">
        <v>42.6666666666667</v>
      </c>
    </row>
    <row r="1631" customFormat="false" ht="15" hidden="false" customHeight="false" outlineLevel="0" collapsed="false">
      <c r="A1631" s="0" t="n">
        <v>1630</v>
      </c>
      <c r="B1631" s="18" t="n">
        <v>683957.068532326</v>
      </c>
      <c r="C1631" s="18" t="n">
        <v>2970889.3292522</v>
      </c>
      <c r="D1631" s="0" t="n">
        <v>1</v>
      </c>
    </row>
    <row r="1632" customFormat="false" ht="15" hidden="false" customHeight="false" outlineLevel="0" collapsed="false">
      <c r="A1632" s="0" t="n">
        <v>1631</v>
      </c>
      <c r="B1632" s="18" t="n">
        <v>1361315.40017504</v>
      </c>
      <c r="C1632" s="18" t="n">
        <v>132720.759002528</v>
      </c>
      <c r="D1632" s="0" t="n">
        <v>1</v>
      </c>
    </row>
    <row r="1633" customFormat="false" ht="15" hidden="false" customHeight="false" outlineLevel="0" collapsed="false">
      <c r="A1633" s="0" t="n">
        <v>1632</v>
      </c>
      <c r="B1633" s="18" t="n">
        <v>1009858.64924501</v>
      </c>
      <c r="C1633" s="18" t="n">
        <v>0</v>
      </c>
      <c r="D1633" s="0" t="n">
        <v>0</v>
      </c>
      <c r="E1633" s="19" t="n">
        <v>35.5833333333333</v>
      </c>
    </row>
    <row r="1634" customFormat="false" ht="15" hidden="false" customHeight="false" outlineLevel="0" collapsed="false">
      <c r="A1634" s="0" t="n">
        <v>1633</v>
      </c>
      <c r="B1634" s="18" t="n">
        <v>131404.880242122</v>
      </c>
      <c r="C1634" s="18" t="n">
        <v>0</v>
      </c>
      <c r="D1634" s="0" t="n">
        <v>0</v>
      </c>
      <c r="E1634" s="19" t="n">
        <v>27.4166666666667</v>
      </c>
    </row>
    <row r="1635" customFormat="false" ht="15" hidden="false" customHeight="false" outlineLevel="0" collapsed="false">
      <c r="A1635" s="0" t="n">
        <v>1634</v>
      </c>
      <c r="B1635" s="18" t="n">
        <v>448987.302014383</v>
      </c>
      <c r="C1635" s="18" t="n">
        <v>0</v>
      </c>
      <c r="D1635" s="0" t="n">
        <v>0</v>
      </c>
      <c r="E1635" s="19" t="n">
        <v>34.8333333333333</v>
      </c>
    </row>
    <row r="1636" customFormat="false" ht="15" hidden="false" customHeight="false" outlineLevel="0" collapsed="false">
      <c r="A1636" s="0" t="n">
        <v>1635</v>
      </c>
      <c r="B1636" s="18" t="n">
        <v>615096.70699226</v>
      </c>
      <c r="C1636" s="18" t="n">
        <v>0</v>
      </c>
      <c r="D1636" s="0" t="n">
        <v>0</v>
      </c>
      <c r="E1636" s="19" t="n">
        <v>35.9166666666667</v>
      </c>
    </row>
    <row r="1637" customFormat="false" ht="15" hidden="false" customHeight="false" outlineLevel="0" collapsed="false">
      <c r="A1637" s="0" t="n">
        <v>1636</v>
      </c>
      <c r="B1637" s="18" t="n">
        <v>682978.871826934</v>
      </c>
      <c r="C1637" s="18" t="n">
        <v>0</v>
      </c>
      <c r="D1637" s="0" t="n">
        <v>0</v>
      </c>
      <c r="E1637" s="19" t="n">
        <v>43</v>
      </c>
    </row>
    <row r="1638" customFormat="false" ht="15" hidden="false" customHeight="false" outlineLevel="0" collapsed="false">
      <c r="A1638" s="0" t="n">
        <v>1637</v>
      </c>
      <c r="B1638" s="18" t="n">
        <v>628778.964710086</v>
      </c>
      <c r="C1638" s="18" t="n">
        <v>0</v>
      </c>
      <c r="D1638" s="0" t="n">
        <v>0</v>
      </c>
      <c r="E1638" s="19" t="n">
        <v>35.5</v>
      </c>
    </row>
    <row r="1639" customFormat="false" ht="15" hidden="false" customHeight="false" outlineLevel="0" collapsed="false">
      <c r="A1639" s="0" t="n">
        <v>1638</v>
      </c>
      <c r="B1639" s="18" t="n">
        <v>1065778.83820889</v>
      </c>
      <c r="C1639" s="18" t="n">
        <v>0</v>
      </c>
      <c r="D1639" s="0" t="n">
        <v>0</v>
      </c>
      <c r="E1639" s="19" t="n">
        <v>49.5</v>
      </c>
    </row>
    <row r="1640" customFormat="false" ht="15" hidden="false" customHeight="false" outlineLevel="0" collapsed="false">
      <c r="A1640" s="0" t="n">
        <v>1639</v>
      </c>
      <c r="B1640" s="18" t="n">
        <v>720648.723594482</v>
      </c>
      <c r="C1640" s="18" t="n">
        <v>0</v>
      </c>
      <c r="D1640" s="0" t="n">
        <v>0</v>
      </c>
      <c r="E1640" s="19" t="n">
        <v>51.4166666666667</v>
      </c>
    </row>
    <row r="1641" customFormat="false" ht="15" hidden="false" customHeight="false" outlineLevel="0" collapsed="false">
      <c r="A1641" s="0" t="n">
        <v>1640</v>
      </c>
      <c r="B1641" s="18" t="n">
        <v>486114.108326083</v>
      </c>
      <c r="C1641" s="18" t="n">
        <v>0</v>
      </c>
      <c r="D1641" s="0" t="n">
        <v>0</v>
      </c>
      <c r="E1641" s="19" t="n">
        <v>30.75</v>
      </c>
    </row>
    <row r="1642" customFormat="false" ht="15" hidden="false" customHeight="false" outlineLevel="0" collapsed="false">
      <c r="A1642" s="0" t="n">
        <v>1641</v>
      </c>
      <c r="B1642" s="18" t="n">
        <v>1651004.89737929</v>
      </c>
      <c r="C1642" s="18" t="n">
        <v>4577741.73892785</v>
      </c>
      <c r="D1642" s="0" t="n">
        <v>1</v>
      </c>
    </row>
    <row r="1643" customFormat="false" ht="15" hidden="false" customHeight="false" outlineLevel="0" collapsed="false">
      <c r="A1643" s="0" t="n">
        <v>1642</v>
      </c>
      <c r="B1643" s="18" t="n">
        <v>637954.984017965</v>
      </c>
      <c r="C1643" s="18" t="n">
        <v>0</v>
      </c>
      <c r="D1643" s="0" t="n">
        <v>0</v>
      </c>
      <c r="E1643" s="19" t="n">
        <v>33</v>
      </c>
    </row>
    <row r="1644" customFormat="false" ht="15" hidden="false" customHeight="false" outlineLevel="0" collapsed="false">
      <c r="A1644" s="0" t="n">
        <v>1643</v>
      </c>
      <c r="B1644" s="18" t="n">
        <v>1719357.88118383</v>
      </c>
      <c r="C1644" s="18" t="n">
        <v>1894019.74567126</v>
      </c>
      <c r="D1644" s="0" t="n">
        <v>1</v>
      </c>
    </row>
    <row r="1645" customFormat="false" ht="15" hidden="false" customHeight="false" outlineLevel="0" collapsed="false">
      <c r="A1645" s="0" t="n">
        <v>1644</v>
      </c>
      <c r="B1645" s="18" t="n">
        <v>687296.392383615</v>
      </c>
      <c r="C1645" s="18" t="n">
        <v>0</v>
      </c>
      <c r="D1645" s="0" t="n">
        <v>0</v>
      </c>
      <c r="E1645" s="19" t="n">
        <v>40.25</v>
      </c>
    </row>
    <row r="1646" customFormat="false" ht="15" hidden="false" customHeight="false" outlineLevel="0" collapsed="false">
      <c r="A1646" s="0" t="n">
        <v>1645</v>
      </c>
      <c r="B1646" s="18" t="n">
        <v>907061.635757479</v>
      </c>
      <c r="C1646" s="18" t="n">
        <v>0</v>
      </c>
      <c r="D1646" s="0" t="n">
        <v>0</v>
      </c>
      <c r="E1646" s="19" t="n">
        <v>36.25</v>
      </c>
    </row>
    <row r="1647" customFormat="false" ht="15" hidden="false" customHeight="false" outlineLevel="0" collapsed="false">
      <c r="A1647" s="0" t="n">
        <v>1646</v>
      </c>
      <c r="B1647" s="18" t="n">
        <v>1043352.24658494</v>
      </c>
      <c r="C1647" s="18" t="n">
        <v>0</v>
      </c>
      <c r="D1647" s="0" t="n">
        <v>0</v>
      </c>
      <c r="E1647" s="19" t="n">
        <v>48.9166666666667</v>
      </c>
    </row>
    <row r="1648" customFormat="false" ht="15" hidden="false" customHeight="false" outlineLevel="0" collapsed="false">
      <c r="A1648" s="0" t="n">
        <v>1647</v>
      </c>
      <c r="B1648" s="18" t="n">
        <v>851930.516538318</v>
      </c>
      <c r="C1648" s="18" t="n">
        <v>0</v>
      </c>
      <c r="D1648" s="0" t="n">
        <v>0</v>
      </c>
      <c r="E1648" s="19" t="n">
        <v>42.8333333333333</v>
      </c>
    </row>
    <row r="1649" customFormat="false" ht="15" hidden="false" customHeight="false" outlineLevel="0" collapsed="false">
      <c r="A1649" s="0" t="n">
        <v>1648</v>
      </c>
      <c r="B1649" s="18" t="n">
        <v>430936.245379531</v>
      </c>
      <c r="C1649" s="18" t="n">
        <v>0</v>
      </c>
      <c r="D1649" s="0" t="n">
        <v>0</v>
      </c>
      <c r="E1649" s="19" t="n">
        <v>33.6666666666667</v>
      </c>
    </row>
    <row r="1650" customFormat="false" ht="15" hidden="false" customHeight="false" outlineLevel="0" collapsed="false">
      <c r="A1650" s="0" t="n">
        <v>1649</v>
      </c>
      <c r="B1650" s="18" t="n">
        <v>1378825.25208331</v>
      </c>
      <c r="C1650" s="18" t="n">
        <v>3173612.5750992</v>
      </c>
      <c r="D1650" s="0" t="n">
        <v>1</v>
      </c>
    </row>
    <row r="1651" customFormat="false" ht="15" hidden="false" customHeight="false" outlineLevel="0" collapsed="false">
      <c r="A1651" s="0" t="n">
        <v>1650</v>
      </c>
      <c r="B1651" s="18" t="n">
        <v>721919.04771289</v>
      </c>
      <c r="C1651" s="18" t="n">
        <v>2794395.02119396</v>
      </c>
      <c r="D1651" s="0" t="n">
        <v>1</v>
      </c>
    </row>
    <row r="1652" customFormat="false" ht="15" hidden="false" customHeight="false" outlineLevel="0" collapsed="false">
      <c r="A1652" s="0" t="n">
        <v>1651</v>
      </c>
      <c r="B1652" s="18" t="n">
        <v>542908.765081668</v>
      </c>
      <c r="C1652" s="18" t="n">
        <v>0</v>
      </c>
      <c r="D1652" s="0" t="n">
        <v>0</v>
      </c>
      <c r="E1652" s="19" t="n">
        <v>37.75</v>
      </c>
    </row>
    <row r="1653" customFormat="false" ht="15" hidden="false" customHeight="false" outlineLevel="0" collapsed="false">
      <c r="A1653" s="0" t="n">
        <v>1652</v>
      </c>
      <c r="B1653" s="18" t="n">
        <v>735379.180418581</v>
      </c>
      <c r="C1653" s="18" t="n">
        <v>0</v>
      </c>
      <c r="D1653" s="0" t="n">
        <v>0</v>
      </c>
      <c r="E1653" s="19" t="n">
        <v>38</v>
      </c>
    </row>
    <row r="1654" customFormat="false" ht="15" hidden="false" customHeight="false" outlineLevel="0" collapsed="false">
      <c r="A1654" s="0" t="n">
        <v>1653</v>
      </c>
      <c r="B1654" s="18" t="n">
        <v>2151228.4711054</v>
      </c>
      <c r="C1654" s="18" t="n">
        <v>21689400.8001976</v>
      </c>
      <c r="D1654" s="0" t="n">
        <v>1</v>
      </c>
    </row>
    <row r="1655" customFormat="false" ht="15" hidden="false" customHeight="false" outlineLevel="0" collapsed="false">
      <c r="A1655" s="0" t="n">
        <v>1654</v>
      </c>
      <c r="B1655" s="18" t="n">
        <v>1241004.26822856</v>
      </c>
      <c r="C1655" s="18" t="n">
        <v>0</v>
      </c>
      <c r="D1655" s="0" t="n">
        <v>0</v>
      </c>
      <c r="E1655" s="19" t="n">
        <v>41.75</v>
      </c>
    </row>
    <row r="1656" customFormat="false" ht="15" hidden="false" customHeight="false" outlineLevel="0" collapsed="false">
      <c r="A1656" s="0" t="n">
        <v>1655</v>
      </c>
      <c r="B1656" s="18" t="n">
        <v>1515496.42959813</v>
      </c>
      <c r="C1656" s="18" t="n">
        <v>6886162.98880619</v>
      </c>
      <c r="D1656" s="0" t="n">
        <v>1</v>
      </c>
    </row>
    <row r="1657" customFormat="false" ht="15" hidden="false" customHeight="false" outlineLevel="0" collapsed="false">
      <c r="A1657" s="0" t="n">
        <v>1656</v>
      </c>
      <c r="B1657" s="18" t="n">
        <v>1110318.68300073</v>
      </c>
      <c r="C1657" s="18" t="n">
        <v>1958681.54384399</v>
      </c>
      <c r="D1657" s="0" t="n">
        <v>1</v>
      </c>
    </row>
    <row r="1658" customFormat="false" ht="15" hidden="false" customHeight="false" outlineLevel="0" collapsed="false">
      <c r="A1658" s="0" t="n">
        <v>1657</v>
      </c>
      <c r="B1658" s="18" t="n">
        <v>851706.671802725</v>
      </c>
      <c r="C1658" s="18" t="n">
        <v>0</v>
      </c>
      <c r="D1658" s="0" t="n">
        <v>0</v>
      </c>
      <c r="E1658" s="19" t="n">
        <v>50.4166666666667</v>
      </c>
    </row>
    <row r="1659" customFormat="false" ht="15" hidden="false" customHeight="false" outlineLevel="0" collapsed="false">
      <c r="A1659" s="0" t="n">
        <v>1658</v>
      </c>
      <c r="B1659" s="18" t="n">
        <v>935155.948056878</v>
      </c>
      <c r="C1659" s="18" t="n">
        <v>0</v>
      </c>
      <c r="D1659" s="0" t="n">
        <v>0</v>
      </c>
      <c r="E1659" s="19" t="n">
        <v>53.8333333333333</v>
      </c>
    </row>
    <row r="1660" customFormat="false" ht="15" hidden="false" customHeight="false" outlineLevel="0" collapsed="false">
      <c r="A1660" s="0" t="n">
        <v>1659</v>
      </c>
      <c r="B1660" s="18" t="n">
        <v>1002028.20789898</v>
      </c>
      <c r="C1660" s="18" t="n">
        <v>11970870.3505647</v>
      </c>
      <c r="D1660" s="0" t="n">
        <v>1</v>
      </c>
    </row>
    <row r="1661" customFormat="false" ht="15" hidden="false" customHeight="false" outlineLevel="0" collapsed="false">
      <c r="A1661" s="0" t="n">
        <v>1660</v>
      </c>
      <c r="B1661" s="18" t="n">
        <v>601715.474355249</v>
      </c>
      <c r="C1661" s="18" t="n">
        <v>0</v>
      </c>
      <c r="D1661" s="0" t="n">
        <v>0</v>
      </c>
      <c r="E1661" s="19" t="n">
        <v>40.25</v>
      </c>
    </row>
    <row r="1662" customFormat="false" ht="15" hidden="false" customHeight="false" outlineLevel="0" collapsed="false">
      <c r="A1662" s="0" t="n">
        <v>1661</v>
      </c>
      <c r="B1662" s="18" t="n">
        <v>1347092.80690077</v>
      </c>
      <c r="C1662" s="18" t="n">
        <v>0</v>
      </c>
      <c r="D1662" s="0" t="n">
        <v>0</v>
      </c>
      <c r="E1662" s="19" t="n">
        <v>50.8333333333333</v>
      </c>
    </row>
    <row r="1663" customFormat="false" ht="15" hidden="false" customHeight="false" outlineLevel="0" collapsed="false">
      <c r="A1663" s="0" t="n">
        <v>1662</v>
      </c>
      <c r="B1663" s="18" t="n">
        <v>1899404.75858757</v>
      </c>
      <c r="C1663" s="18" t="n">
        <v>893929.764545944</v>
      </c>
      <c r="D1663" s="0" t="n">
        <v>1</v>
      </c>
    </row>
    <row r="1664" customFormat="false" ht="15" hidden="false" customHeight="false" outlineLevel="0" collapsed="false">
      <c r="A1664" s="0" t="n">
        <v>1663</v>
      </c>
      <c r="B1664" s="18" t="n">
        <v>912414.479099296</v>
      </c>
      <c r="C1664" s="18" t="n">
        <v>0</v>
      </c>
      <c r="D1664" s="0" t="n">
        <v>0</v>
      </c>
      <c r="E1664" s="19" t="n">
        <v>47.5833333333333</v>
      </c>
    </row>
    <row r="1665" customFormat="false" ht="15" hidden="false" customHeight="false" outlineLevel="0" collapsed="false">
      <c r="A1665" s="0" t="n">
        <v>1664</v>
      </c>
      <c r="B1665" s="18" t="n">
        <v>1921775.44048449</v>
      </c>
      <c r="C1665" s="18" t="n">
        <v>1775782.04600519</v>
      </c>
      <c r="D1665" s="0" t="n">
        <v>1</v>
      </c>
    </row>
    <row r="1666" customFormat="false" ht="15" hidden="false" customHeight="false" outlineLevel="0" collapsed="false">
      <c r="A1666" s="0" t="n">
        <v>1665</v>
      </c>
      <c r="B1666" s="18" t="n">
        <v>702705.817685002</v>
      </c>
      <c r="C1666" s="18" t="n">
        <v>0</v>
      </c>
      <c r="D1666" s="0" t="n">
        <v>0</v>
      </c>
      <c r="E1666" s="19" t="n">
        <v>42.5833333333333</v>
      </c>
    </row>
    <row r="1667" customFormat="false" ht="15" hidden="false" customHeight="false" outlineLevel="0" collapsed="false">
      <c r="A1667" s="0" t="n">
        <v>1666</v>
      </c>
      <c r="B1667" s="18" t="n">
        <v>1684567.18573321</v>
      </c>
      <c r="C1667" s="18" t="n">
        <v>11028116.5243035</v>
      </c>
      <c r="D1667" s="0" t="n">
        <v>1</v>
      </c>
    </row>
    <row r="1668" customFormat="false" ht="15" hidden="false" customHeight="false" outlineLevel="0" collapsed="false">
      <c r="A1668" s="0" t="n">
        <v>1667</v>
      </c>
      <c r="B1668" s="18" t="n">
        <v>893509.354039896</v>
      </c>
      <c r="C1668" s="18" t="n">
        <v>0</v>
      </c>
      <c r="D1668" s="0" t="n">
        <v>0</v>
      </c>
      <c r="E1668" s="19" t="n">
        <v>36.75</v>
      </c>
    </row>
    <row r="1669" customFormat="false" ht="15" hidden="false" customHeight="false" outlineLevel="0" collapsed="false">
      <c r="A1669" s="0" t="n">
        <v>1668</v>
      </c>
      <c r="B1669" s="18" t="n">
        <v>1091480.8658375</v>
      </c>
      <c r="C1669" s="18" t="n">
        <v>0</v>
      </c>
      <c r="D1669" s="0" t="n">
        <v>0</v>
      </c>
      <c r="E1669" s="19" t="n">
        <v>51.0833333333333</v>
      </c>
    </row>
    <row r="1670" customFormat="false" ht="15" hidden="false" customHeight="false" outlineLevel="0" collapsed="false">
      <c r="A1670" s="0" t="n">
        <v>1669</v>
      </c>
      <c r="B1670" s="18" t="n">
        <v>952125.682863873</v>
      </c>
      <c r="C1670" s="18" t="n">
        <v>456497.939126314</v>
      </c>
      <c r="D1670" s="0" t="n">
        <v>1</v>
      </c>
    </row>
    <row r="1671" customFormat="false" ht="15" hidden="false" customHeight="false" outlineLevel="0" collapsed="false">
      <c r="A1671" s="0" t="n">
        <v>1670</v>
      </c>
      <c r="B1671" s="18" t="n">
        <v>1682448.75560096</v>
      </c>
      <c r="C1671" s="18" t="n">
        <v>1387198.77442177</v>
      </c>
      <c r="D1671" s="0" t="n">
        <v>1</v>
      </c>
    </row>
    <row r="1672" customFormat="false" ht="15" hidden="false" customHeight="false" outlineLevel="0" collapsed="false">
      <c r="A1672" s="0" t="n">
        <v>1671</v>
      </c>
      <c r="B1672" s="18" t="n">
        <v>880580.892991011</v>
      </c>
      <c r="C1672" s="18" t="n">
        <v>0</v>
      </c>
      <c r="D1672" s="0" t="n">
        <v>0</v>
      </c>
      <c r="E1672" s="19" t="n">
        <v>43.3333333333333</v>
      </c>
    </row>
    <row r="1673" customFormat="false" ht="15" hidden="false" customHeight="false" outlineLevel="0" collapsed="false">
      <c r="A1673" s="0" t="n">
        <v>1672</v>
      </c>
      <c r="B1673" s="18" t="n">
        <v>1096311.08498674</v>
      </c>
      <c r="C1673" s="18" t="n">
        <v>0</v>
      </c>
      <c r="D1673" s="0" t="n">
        <v>0</v>
      </c>
      <c r="E1673" s="19" t="n">
        <v>42.5833333333333</v>
      </c>
    </row>
    <row r="1674" customFormat="false" ht="15" hidden="false" customHeight="false" outlineLevel="0" collapsed="false">
      <c r="A1674" s="0" t="n">
        <v>1673</v>
      </c>
      <c r="B1674" s="18" t="n">
        <v>1965334.26668036</v>
      </c>
      <c r="C1674" s="18" t="n">
        <v>6255677.82103794</v>
      </c>
      <c r="D1674" s="0" t="n">
        <v>1</v>
      </c>
    </row>
    <row r="1675" customFormat="false" ht="15" hidden="false" customHeight="false" outlineLevel="0" collapsed="false">
      <c r="A1675" s="0" t="n">
        <v>1674</v>
      </c>
      <c r="B1675" s="18" t="n">
        <v>415938.997988343</v>
      </c>
      <c r="C1675" s="18" t="n">
        <v>0</v>
      </c>
      <c r="D1675" s="0" t="n">
        <v>0</v>
      </c>
      <c r="E1675" s="19" t="n">
        <v>33.0833333333333</v>
      </c>
    </row>
    <row r="1676" customFormat="false" ht="15" hidden="false" customHeight="false" outlineLevel="0" collapsed="false">
      <c r="A1676" s="0" t="n">
        <v>1675</v>
      </c>
      <c r="B1676" s="18" t="n">
        <v>1061813.35358422</v>
      </c>
      <c r="C1676" s="18" t="n">
        <v>0</v>
      </c>
      <c r="D1676" s="0" t="n">
        <v>0</v>
      </c>
      <c r="E1676" s="19" t="n">
        <v>50.75</v>
      </c>
    </row>
    <row r="1677" customFormat="false" ht="15" hidden="false" customHeight="false" outlineLevel="0" collapsed="false">
      <c r="A1677" s="0" t="n">
        <v>1676</v>
      </c>
      <c r="B1677" s="18" t="n">
        <v>983524.080237654</v>
      </c>
      <c r="C1677" s="18" t="n">
        <v>0</v>
      </c>
      <c r="D1677" s="0" t="n">
        <v>0</v>
      </c>
      <c r="E1677" s="19" t="n">
        <v>40.5833333333333</v>
      </c>
    </row>
    <row r="1678" customFormat="false" ht="15" hidden="false" customHeight="false" outlineLevel="0" collapsed="false">
      <c r="A1678" s="0" t="n">
        <v>1677</v>
      </c>
      <c r="B1678" s="18" t="n">
        <v>508897.560560992</v>
      </c>
      <c r="C1678" s="18" t="n">
        <v>0</v>
      </c>
      <c r="D1678" s="0" t="n">
        <v>0</v>
      </c>
      <c r="E1678" s="19" t="n">
        <v>35.25</v>
      </c>
    </row>
    <row r="1679" customFormat="false" ht="15" hidden="false" customHeight="false" outlineLevel="0" collapsed="false">
      <c r="A1679" s="0" t="n">
        <v>1678</v>
      </c>
      <c r="B1679" s="18" t="n">
        <v>633595.778194539</v>
      </c>
      <c r="C1679" s="18" t="n">
        <v>0</v>
      </c>
      <c r="D1679" s="0" t="n">
        <v>0</v>
      </c>
      <c r="E1679" s="19" t="n">
        <v>37.75</v>
      </c>
    </row>
    <row r="1680" customFormat="false" ht="15" hidden="false" customHeight="false" outlineLevel="0" collapsed="false">
      <c r="A1680" s="0" t="n">
        <v>1679</v>
      </c>
      <c r="B1680" s="18" t="n">
        <v>1784887.51515984</v>
      </c>
      <c r="C1680" s="18" t="n">
        <v>10007349.3340233</v>
      </c>
      <c r="D1680" s="0" t="n">
        <v>1</v>
      </c>
    </row>
    <row r="1681" customFormat="false" ht="15" hidden="false" customHeight="false" outlineLevel="0" collapsed="false">
      <c r="A1681" s="0" t="n">
        <v>1680</v>
      </c>
      <c r="B1681" s="18" t="n">
        <v>405495.455988391</v>
      </c>
      <c r="C1681" s="18" t="n">
        <v>0</v>
      </c>
      <c r="D1681" s="0" t="n">
        <v>0</v>
      </c>
      <c r="E1681" s="19" t="n">
        <v>32</v>
      </c>
    </row>
    <row r="1682" customFormat="false" ht="15" hidden="false" customHeight="false" outlineLevel="0" collapsed="false">
      <c r="A1682" s="0" t="n">
        <v>1681</v>
      </c>
      <c r="B1682" s="18" t="n">
        <v>573557.481713957</v>
      </c>
      <c r="C1682" s="18" t="n">
        <v>0</v>
      </c>
      <c r="D1682" s="0" t="n">
        <v>0</v>
      </c>
      <c r="E1682" s="19" t="n">
        <v>40.0833333333333</v>
      </c>
    </row>
    <row r="1683" customFormat="false" ht="15" hidden="false" customHeight="false" outlineLevel="0" collapsed="false">
      <c r="A1683" s="0" t="n">
        <v>1682</v>
      </c>
      <c r="B1683" s="18" t="n">
        <v>1129457.52792584</v>
      </c>
      <c r="C1683" s="18" t="n">
        <v>24912.8553591116</v>
      </c>
      <c r="D1683" s="0" t="n">
        <v>1</v>
      </c>
    </row>
    <row r="1684" customFormat="false" ht="15" hidden="false" customHeight="false" outlineLevel="0" collapsed="false">
      <c r="A1684" s="0" t="n">
        <v>1683</v>
      </c>
      <c r="B1684" s="18" t="n">
        <v>2137587.69936889</v>
      </c>
      <c r="C1684" s="18" t="n">
        <v>4024358.09271753</v>
      </c>
      <c r="D1684" s="0" t="n">
        <v>1</v>
      </c>
    </row>
    <row r="1685" customFormat="false" ht="15" hidden="false" customHeight="false" outlineLevel="0" collapsed="false">
      <c r="A1685" s="0" t="n">
        <v>1684</v>
      </c>
      <c r="B1685" s="18" t="n">
        <v>897982.201839332</v>
      </c>
      <c r="C1685" s="18" t="n">
        <v>0</v>
      </c>
      <c r="D1685" s="0" t="n">
        <v>0</v>
      </c>
      <c r="E1685" s="19" t="n">
        <v>51.0833333333333</v>
      </c>
    </row>
    <row r="1686" customFormat="false" ht="15" hidden="false" customHeight="false" outlineLevel="0" collapsed="false">
      <c r="A1686" s="0" t="n">
        <v>1685</v>
      </c>
      <c r="B1686" s="18" t="n">
        <v>820688.242457193</v>
      </c>
      <c r="C1686" s="18" t="n">
        <v>0</v>
      </c>
      <c r="D1686" s="0" t="n">
        <v>0</v>
      </c>
      <c r="E1686" s="19" t="n">
        <v>38.1666666666667</v>
      </c>
    </row>
    <row r="1687" customFormat="false" ht="15" hidden="false" customHeight="false" outlineLevel="0" collapsed="false">
      <c r="A1687" s="0" t="n">
        <v>1686</v>
      </c>
      <c r="B1687" s="18" t="n">
        <v>1702797.69002554</v>
      </c>
      <c r="C1687" s="18" t="n">
        <v>12641910.2943971</v>
      </c>
      <c r="D1687" s="0" t="n">
        <v>1</v>
      </c>
    </row>
    <row r="1688" customFormat="false" ht="15" hidden="false" customHeight="false" outlineLevel="0" collapsed="false">
      <c r="A1688" s="0" t="n">
        <v>1687</v>
      </c>
      <c r="B1688" s="18" t="n">
        <v>660019.795253699</v>
      </c>
      <c r="C1688" s="18" t="n">
        <v>0</v>
      </c>
      <c r="D1688" s="0" t="n">
        <v>0</v>
      </c>
      <c r="E1688" s="19" t="n">
        <v>39.6666666666667</v>
      </c>
    </row>
    <row r="1689" customFormat="false" ht="15" hidden="false" customHeight="false" outlineLevel="0" collapsed="false">
      <c r="A1689" s="0" t="n">
        <v>1688</v>
      </c>
      <c r="B1689" s="18" t="n">
        <v>762730.627097537</v>
      </c>
      <c r="C1689" s="18" t="n">
        <v>0</v>
      </c>
      <c r="D1689" s="0" t="n">
        <v>0</v>
      </c>
      <c r="E1689" s="19" t="n">
        <v>40.8333333333333</v>
      </c>
    </row>
    <row r="1690" customFormat="false" ht="15" hidden="false" customHeight="false" outlineLevel="0" collapsed="false">
      <c r="A1690" s="0" t="n">
        <v>1689</v>
      </c>
      <c r="B1690" s="18" t="n">
        <v>645180.860379871</v>
      </c>
      <c r="C1690" s="18" t="n">
        <v>0</v>
      </c>
      <c r="D1690" s="0" t="n">
        <v>0</v>
      </c>
      <c r="E1690" s="19" t="n">
        <v>34.5833333333333</v>
      </c>
    </row>
    <row r="1691" customFormat="false" ht="15" hidden="false" customHeight="false" outlineLevel="0" collapsed="false">
      <c r="A1691" s="0" t="n">
        <v>1690</v>
      </c>
      <c r="B1691" s="18" t="n">
        <v>559162.532622</v>
      </c>
      <c r="C1691" s="18" t="n">
        <v>0</v>
      </c>
      <c r="D1691" s="0" t="n">
        <v>0</v>
      </c>
      <c r="E1691" s="19" t="n">
        <v>36.75</v>
      </c>
    </row>
    <row r="1692" customFormat="false" ht="15" hidden="false" customHeight="false" outlineLevel="0" collapsed="false">
      <c r="A1692" s="0" t="n">
        <v>1691</v>
      </c>
      <c r="B1692" s="18" t="n">
        <v>788826.687447834</v>
      </c>
      <c r="C1692" s="18" t="n">
        <v>0</v>
      </c>
      <c r="D1692" s="0" t="n">
        <v>0</v>
      </c>
      <c r="E1692" s="19" t="n">
        <v>37.9166666666667</v>
      </c>
    </row>
    <row r="1693" customFormat="false" ht="15" hidden="false" customHeight="false" outlineLevel="0" collapsed="false">
      <c r="A1693" s="0" t="n">
        <v>1692</v>
      </c>
      <c r="B1693" s="18" t="n">
        <v>1127213.93407694</v>
      </c>
      <c r="C1693" s="18" t="n">
        <v>0</v>
      </c>
      <c r="D1693" s="0" t="n">
        <v>0</v>
      </c>
      <c r="E1693" s="19" t="n">
        <v>43.4166666666667</v>
      </c>
    </row>
    <row r="1694" customFormat="false" ht="15" hidden="false" customHeight="false" outlineLevel="0" collapsed="false">
      <c r="A1694" s="0" t="n">
        <v>1693</v>
      </c>
      <c r="B1694" s="18" t="n">
        <v>478918.391759342</v>
      </c>
      <c r="C1694" s="18" t="n">
        <v>0</v>
      </c>
      <c r="D1694" s="0" t="n">
        <v>0</v>
      </c>
      <c r="E1694" s="19" t="n">
        <v>31</v>
      </c>
    </row>
    <row r="1695" customFormat="false" ht="15" hidden="false" customHeight="false" outlineLevel="0" collapsed="false">
      <c r="A1695" s="0" t="n">
        <v>1694</v>
      </c>
      <c r="B1695" s="18" t="n">
        <v>1264714.07137609</v>
      </c>
      <c r="C1695" s="18" t="n">
        <v>6899069.75392251</v>
      </c>
      <c r="D1695" s="0" t="n">
        <v>1</v>
      </c>
    </row>
    <row r="1696" customFormat="false" ht="15" hidden="false" customHeight="false" outlineLevel="0" collapsed="false">
      <c r="A1696" s="0" t="n">
        <v>1695</v>
      </c>
      <c r="B1696" s="18" t="n">
        <v>749322.929658046</v>
      </c>
      <c r="C1696" s="18" t="n">
        <v>0</v>
      </c>
      <c r="D1696" s="0" t="n">
        <v>0</v>
      </c>
      <c r="E1696" s="19" t="n">
        <v>33</v>
      </c>
    </row>
    <row r="1697" customFormat="false" ht="15" hidden="false" customHeight="false" outlineLevel="0" collapsed="false">
      <c r="A1697" s="0" t="n">
        <v>1696</v>
      </c>
      <c r="B1697" s="18" t="n">
        <v>474596.961525848</v>
      </c>
      <c r="C1697" s="18" t="n">
        <v>0</v>
      </c>
      <c r="D1697" s="0" t="n">
        <v>0</v>
      </c>
      <c r="E1697" s="19" t="n">
        <v>34.1666666666667</v>
      </c>
    </row>
    <row r="1698" customFormat="false" ht="15" hidden="false" customHeight="false" outlineLevel="0" collapsed="false">
      <c r="A1698" s="0" t="n">
        <v>1697</v>
      </c>
      <c r="B1698" s="18" t="n">
        <v>263077.674249786</v>
      </c>
      <c r="C1698" s="18" t="n">
        <v>0</v>
      </c>
      <c r="D1698" s="0" t="n">
        <v>0</v>
      </c>
      <c r="E1698" s="19" t="n">
        <v>29.75</v>
      </c>
    </row>
    <row r="1699" customFormat="false" ht="15" hidden="false" customHeight="false" outlineLevel="0" collapsed="false">
      <c r="A1699" s="0" t="n">
        <v>1698</v>
      </c>
      <c r="B1699" s="18" t="n">
        <v>2605481.31787819</v>
      </c>
      <c r="C1699" s="18" t="n">
        <v>7966752.07122739</v>
      </c>
      <c r="D1699" s="0" t="n">
        <v>1</v>
      </c>
    </row>
    <row r="1700" customFormat="false" ht="15" hidden="false" customHeight="false" outlineLevel="0" collapsed="false">
      <c r="A1700" s="0" t="n">
        <v>1699</v>
      </c>
      <c r="B1700" s="18" t="n">
        <v>921004.823989225</v>
      </c>
      <c r="C1700" s="18" t="n">
        <v>308092.768840704</v>
      </c>
      <c r="D1700" s="0" t="n">
        <v>1</v>
      </c>
    </row>
    <row r="1701" customFormat="false" ht="15" hidden="false" customHeight="false" outlineLevel="0" collapsed="false">
      <c r="A1701" s="0" t="n">
        <v>1700</v>
      </c>
      <c r="B1701" s="18" t="n">
        <v>1963529.20491758</v>
      </c>
      <c r="C1701" s="18" t="n">
        <v>7820498.03711869</v>
      </c>
      <c r="D1701" s="0" t="n">
        <v>1</v>
      </c>
    </row>
    <row r="1702" customFormat="false" ht="15" hidden="false" customHeight="false" outlineLevel="0" collapsed="false">
      <c r="A1702" s="0" t="n">
        <v>1701</v>
      </c>
      <c r="B1702" s="18" t="n">
        <v>997451.133249129</v>
      </c>
      <c r="C1702" s="18" t="n">
        <v>0</v>
      </c>
      <c r="D1702" s="0" t="n">
        <v>0</v>
      </c>
      <c r="E1702" s="19" t="n">
        <v>45.8333333333333</v>
      </c>
    </row>
    <row r="1703" customFormat="false" ht="15" hidden="false" customHeight="false" outlineLevel="0" collapsed="false">
      <c r="A1703" s="0" t="n">
        <v>1702</v>
      </c>
      <c r="B1703" s="18" t="n">
        <v>1219514.3965071</v>
      </c>
      <c r="C1703" s="18" t="n">
        <v>6558666.77982257</v>
      </c>
      <c r="D1703" s="0" t="n">
        <v>1</v>
      </c>
    </row>
    <row r="1704" customFormat="false" ht="15" hidden="false" customHeight="false" outlineLevel="0" collapsed="false">
      <c r="A1704" s="0" t="n">
        <v>1703</v>
      </c>
      <c r="B1704" s="18" t="n">
        <v>565791.999481564</v>
      </c>
      <c r="C1704" s="18" t="n">
        <v>0</v>
      </c>
      <c r="D1704" s="0" t="n">
        <v>0</v>
      </c>
      <c r="E1704" s="19" t="n">
        <v>31.8333333333333</v>
      </c>
    </row>
    <row r="1705" customFormat="false" ht="15" hidden="false" customHeight="false" outlineLevel="0" collapsed="false">
      <c r="A1705" s="0" t="n">
        <v>1704</v>
      </c>
      <c r="B1705" s="18" t="n">
        <v>724284.851480427</v>
      </c>
      <c r="C1705" s="18" t="n">
        <v>0</v>
      </c>
      <c r="D1705" s="0" t="n">
        <v>0</v>
      </c>
      <c r="E1705" s="19" t="n">
        <v>43.6666666666667</v>
      </c>
    </row>
    <row r="1706" customFormat="false" ht="15" hidden="false" customHeight="false" outlineLevel="0" collapsed="false">
      <c r="A1706" s="0" t="n">
        <v>1705</v>
      </c>
      <c r="B1706" s="18" t="n">
        <v>1350017.80267316</v>
      </c>
      <c r="C1706" s="18" t="n">
        <v>718092.547607968</v>
      </c>
      <c r="D1706" s="0" t="n">
        <v>1</v>
      </c>
    </row>
    <row r="1707" customFormat="false" ht="15" hidden="false" customHeight="false" outlineLevel="0" collapsed="false">
      <c r="A1707" s="0" t="n">
        <v>1706</v>
      </c>
      <c r="B1707" s="18" t="n">
        <v>457785.513535606</v>
      </c>
      <c r="C1707" s="18" t="n">
        <v>0</v>
      </c>
      <c r="D1707" s="0" t="n">
        <v>0</v>
      </c>
      <c r="E1707" s="19" t="n">
        <v>30.6666666666667</v>
      </c>
    </row>
    <row r="1708" customFormat="false" ht="15" hidden="false" customHeight="false" outlineLevel="0" collapsed="false">
      <c r="A1708" s="0" t="n">
        <v>1707</v>
      </c>
      <c r="B1708" s="18" t="n">
        <v>455695.72914233</v>
      </c>
      <c r="C1708" s="18" t="n">
        <v>0</v>
      </c>
      <c r="D1708" s="0" t="n">
        <v>0</v>
      </c>
      <c r="E1708" s="19" t="n">
        <v>30.5</v>
      </c>
    </row>
    <row r="1709" customFormat="false" ht="15" hidden="false" customHeight="false" outlineLevel="0" collapsed="false">
      <c r="A1709" s="0" t="n">
        <v>1708</v>
      </c>
      <c r="B1709" s="18" t="n">
        <v>588811.233476771</v>
      </c>
      <c r="C1709" s="18" t="n">
        <v>1251232.74783045</v>
      </c>
      <c r="D1709" s="0" t="n">
        <v>1</v>
      </c>
    </row>
    <row r="1710" customFormat="false" ht="15" hidden="false" customHeight="false" outlineLevel="0" collapsed="false">
      <c r="A1710" s="0" t="n">
        <v>1709</v>
      </c>
      <c r="B1710" s="18" t="n">
        <v>2393396.16407582</v>
      </c>
      <c r="C1710" s="18" t="n">
        <v>2531123.96139247</v>
      </c>
      <c r="D1710" s="0" t="n">
        <v>1</v>
      </c>
    </row>
    <row r="1711" customFormat="false" ht="15" hidden="false" customHeight="false" outlineLevel="0" collapsed="false">
      <c r="A1711" s="0" t="n">
        <v>1710</v>
      </c>
      <c r="B1711" s="18" t="n">
        <v>385813.077378447</v>
      </c>
      <c r="C1711" s="18" t="n">
        <v>0</v>
      </c>
      <c r="D1711" s="0" t="n">
        <v>0</v>
      </c>
      <c r="E1711" s="19" t="n">
        <v>30.0833333333333</v>
      </c>
    </row>
    <row r="1712" customFormat="false" ht="15" hidden="false" customHeight="false" outlineLevel="0" collapsed="false">
      <c r="A1712" s="0" t="n">
        <v>1711</v>
      </c>
      <c r="B1712" s="18" t="n">
        <v>1002123.12828508</v>
      </c>
      <c r="C1712" s="18" t="n">
        <v>0</v>
      </c>
      <c r="D1712" s="0" t="n">
        <v>0</v>
      </c>
      <c r="E1712" s="19" t="n">
        <v>50.6666666666667</v>
      </c>
    </row>
    <row r="1713" customFormat="false" ht="15" hidden="false" customHeight="false" outlineLevel="0" collapsed="false">
      <c r="A1713" s="0" t="n">
        <v>1712</v>
      </c>
      <c r="B1713" s="18" t="n">
        <v>503812.777948636</v>
      </c>
      <c r="C1713" s="18" t="n">
        <v>0</v>
      </c>
      <c r="D1713" s="0" t="n">
        <v>0</v>
      </c>
      <c r="E1713" s="19" t="n">
        <v>35.9166666666667</v>
      </c>
    </row>
    <row r="1714" customFormat="false" ht="15" hidden="false" customHeight="false" outlineLevel="0" collapsed="false">
      <c r="A1714" s="0" t="n">
        <v>1713</v>
      </c>
      <c r="B1714" s="18" t="n">
        <v>1009051.51732752</v>
      </c>
      <c r="C1714" s="18" t="n">
        <v>0</v>
      </c>
      <c r="D1714" s="0" t="n">
        <v>0</v>
      </c>
      <c r="E1714" s="19" t="n">
        <v>42.5833333333333</v>
      </c>
    </row>
    <row r="1715" customFormat="false" ht="15" hidden="false" customHeight="false" outlineLevel="0" collapsed="false">
      <c r="A1715" s="0" t="n">
        <v>1714</v>
      </c>
      <c r="B1715" s="18" t="n">
        <v>1204213.45796407</v>
      </c>
      <c r="C1715" s="18" t="n">
        <v>5323546.60752446</v>
      </c>
      <c r="D1715" s="0" t="n">
        <v>1</v>
      </c>
    </row>
    <row r="1716" customFormat="false" ht="15" hidden="false" customHeight="false" outlineLevel="0" collapsed="false">
      <c r="A1716" s="0" t="n">
        <v>1715</v>
      </c>
      <c r="B1716" s="18" t="n">
        <v>2986448.12862203</v>
      </c>
      <c r="C1716" s="18" t="n">
        <v>5124146.56425809</v>
      </c>
      <c r="D1716" s="0" t="n">
        <v>1</v>
      </c>
    </row>
    <row r="1717" customFormat="false" ht="15" hidden="false" customHeight="false" outlineLevel="0" collapsed="false">
      <c r="A1717" s="0" t="n">
        <v>1716</v>
      </c>
      <c r="B1717" s="18" t="n">
        <v>524974.937369855</v>
      </c>
      <c r="C1717" s="18" t="n">
        <v>0</v>
      </c>
      <c r="D1717" s="0" t="n">
        <v>0</v>
      </c>
      <c r="E1717" s="19" t="n">
        <v>33.25</v>
      </c>
    </row>
    <row r="1718" customFormat="false" ht="15" hidden="false" customHeight="false" outlineLevel="0" collapsed="false">
      <c r="A1718" s="0" t="n">
        <v>1717</v>
      </c>
      <c r="B1718" s="18" t="n">
        <v>261184.325051164</v>
      </c>
      <c r="C1718" s="18" t="n">
        <v>0</v>
      </c>
      <c r="D1718" s="0" t="n">
        <v>0</v>
      </c>
      <c r="E1718" s="19" t="n">
        <v>31.3333333333333</v>
      </c>
    </row>
    <row r="1719" customFormat="false" ht="15" hidden="false" customHeight="false" outlineLevel="0" collapsed="false">
      <c r="A1719" s="0" t="n">
        <v>1718</v>
      </c>
      <c r="B1719" s="18" t="n">
        <v>1305631.3859564</v>
      </c>
      <c r="C1719" s="18" t="n">
        <v>530455.083284769</v>
      </c>
      <c r="D1719" s="0" t="n">
        <v>1</v>
      </c>
    </row>
    <row r="1720" customFormat="false" ht="15" hidden="false" customHeight="false" outlineLevel="0" collapsed="false">
      <c r="A1720" s="0" t="n">
        <v>1719</v>
      </c>
      <c r="B1720" s="18" t="n">
        <v>1548333.00019312</v>
      </c>
      <c r="C1720" s="18" t="n">
        <v>0</v>
      </c>
      <c r="D1720" s="0" t="n">
        <v>0</v>
      </c>
      <c r="E1720" s="19" t="n">
        <v>42.5833333333333</v>
      </c>
    </row>
    <row r="1721" customFormat="false" ht="15" hidden="false" customHeight="false" outlineLevel="0" collapsed="false">
      <c r="A1721" s="0" t="n">
        <v>1720</v>
      </c>
      <c r="B1721" s="18" t="n">
        <v>1551271.13579745</v>
      </c>
      <c r="C1721" s="18" t="n">
        <v>2943182.9297581</v>
      </c>
      <c r="D1721" s="0" t="n">
        <v>1</v>
      </c>
    </row>
    <row r="1722" customFormat="false" ht="15" hidden="false" customHeight="false" outlineLevel="0" collapsed="false">
      <c r="A1722" s="0" t="n">
        <v>1721</v>
      </c>
      <c r="B1722" s="18" t="n">
        <v>699962.375448568</v>
      </c>
      <c r="C1722" s="18" t="n">
        <v>15462232.4265047</v>
      </c>
      <c r="D1722" s="0" t="n">
        <v>1</v>
      </c>
    </row>
    <row r="1723" customFormat="false" ht="15" hidden="false" customHeight="false" outlineLevel="0" collapsed="false">
      <c r="A1723" s="0" t="n">
        <v>1722</v>
      </c>
      <c r="B1723" s="18" t="n">
        <v>1322604.88113432</v>
      </c>
      <c r="C1723" s="18" t="n">
        <v>0</v>
      </c>
      <c r="D1723" s="0" t="n">
        <v>0</v>
      </c>
      <c r="E1723" s="19" t="n">
        <v>44.6666666666667</v>
      </c>
    </row>
    <row r="1724" customFormat="false" ht="15" hidden="false" customHeight="false" outlineLevel="0" collapsed="false">
      <c r="A1724" s="0" t="n">
        <v>1723</v>
      </c>
      <c r="B1724" s="18" t="n">
        <v>796842.217953753</v>
      </c>
      <c r="C1724" s="18" t="n">
        <v>0</v>
      </c>
      <c r="D1724" s="0" t="n">
        <v>0</v>
      </c>
      <c r="E1724" s="19" t="n">
        <v>51.5</v>
      </c>
    </row>
    <row r="1725" customFormat="false" ht="15" hidden="false" customHeight="false" outlineLevel="0" collapsed="false">
      <c r="A1725" s="0" t="n">
        <v>1724</v>
      </c>
      <c r="B1725" s="18" t="n">
        <v>640151.931797221</v>
      </c>
      <c r="C1725" s="18" t="n">
        <v>0</v>
      </c>
      <c r="D1725" s="0" t="n">
        <v>0</v>
      </c>
      <c r="E1725" s="19" t="n">
        <v>39.9166666666667</v>
      </c>
    </row>
    <row r="1726" customFormat="false" ht="15" hidden="false" customHeight="false" outlineLevel="0" collapsed="false">
      <c r="A1726" s="0" t="n">
        <v>1725</v>
      </c>
      <c r="B1726" s="18" t="n">
        <v>346840.620139704</v>
      </c>
      <c r="C1726" s="18" t="n">
        <v>0</v>
      </c>
      <c r="D1726" s="0" t="n">
        <v>0</v>
      </c>
      <c r="E1726" s="19" t="n">
        <v>30.25</v>
      </c>
    </row>
    <row r="1727" customFormat="false" ht="15" hidden="false" customHeight="false" outlineLevel="0" collapsed="false">
      <c r="A1727" s="0" t="n">
        <v>1726</v>
      </c>
      <c r="B1727" s="18" t="n">
        <v>266699.625824267</v>
      </c>
      <c r="C1727" s="18" t="n">
        <v>0</v>
      </c>
      <c r="D1727" s="0" t="n">
        <v>0</v>
      </c>
      <c r="E1727" s="19" t="n">
        <v>28.75</v>
      </c>
    </row>
    <row r="1728" customFormat="false" ht="15" hidden="false" customHeight="false" outlineLevel="0" collapsed="false">
      <c r="A1728" s="0" t="n">
        <v>1727</v>
      </c>
      <c r="B1728" s="18" t="n">
        <v>1412172.88523726</v>
      </c>
      <c r="C1728" s="18" t="n">
        <v>759247.915175954</v>
      </c>
      <c r="D1728" s="0" t="n">
        <v>1</v>
      </c>
    </row>
    <row r="1729" customFormat="false" ht="15" hidden="false" customHeight="false" outlineLevel="0" collapsed="false">
      <c r="A1729" s="0" t="n">
        <v>1728</v>
      </c>
      <c r="B1729" s="18" t="n">
        <v>706970.445528009</v>
      </c>
      <c r="C1729" s="18" t="n">
        <v>0</v>
      </c>
      <c r="D1729" s="0" t="n">
        <v>0</v>
      </c>
      <c r="E1729" s="19" t="n">
        <v>48.5</v>
      </c>
    </row>
    <row r="1730" customFormat="false" ht="15" hidden="false" customHeight="false" outlineLevel="0" collapsed="false">
      <c r="A1730" s="0" t="n">
        <v>1729</v>
      </c>
      <c r="B1730" s="18" t="n">
        <v>1504956.13852829</v>
      </c>
      <c r="C1730" s="18" t="n">
        <v>5721251.22298777</v>
      </c>
      <c r="D1730" s="0" t="n">
        <v>1</v>
      </c>
    </row>
    <row r="1731" customFormat="false" ht="15" hidden="false" customHeight="false" outlineLevel="0" collapsed="false">
      <c r="A1731" s="0" t="n">
        <v>1730</v>
      </c>
      <c r="B1731" s="18" t="n">
        <v>1764582.11193319</v>
      </c>
      <c r="C1731" s="18" t="n">
        <v>13662065.3197102</v>
      </c>
      <c r="D1731" s="0" t="n">
        <v>1</v>
      </c>
    </row>
    <row r="1732" customFormat="false" ht="15" hidden="false" customHeight="false" outlineLevel="0" collapsed="false">
      <c r="A1732" s="0" t="n">
        <v>1731</v>
      </c>
      <c r="B1732" s="18" t="n">
        <v>1487524.78182799</v>
      </c>
      <c r="C1732" s="18" t="n">
        <v>6846428.7711377</v>
      </c>
      <c r="D1732" s="0" t="n">
        <v>1</v>
      </c>
    </row>
    <row r="1733" customFormat="false" ht="15" hidden="false" customHeight="false" outlineLevel="0" collapsed="false">
      <c r="A1733" s="0" t="n">
        <v>1732</v>
      </c>
      <c r="B1733" s="18" t="n">
        <v>354423.924429861</v>
      </c>
      <c r="C1733" s="18" t="n">
        <v>0</v>
      </c>
      <c r="D1733" s="0" t="n">
        <v>0</v>
      </c>
      <c r="E1733" s="19" t="n">
        <v>31.25</v>
      </c>
    </row>
    <row r="1734" customFormat="false" ht="15" hidden="false" customHeight="false" outlineLevel="0" collapsed="false">
      <c r="A1734" s="0" t="n">
        <v>1733</v>
      </c>
      <c r="B1734" s="18" t="n">
        <v>1297106.44698851</v>
      </c>
      <c r="C1734" s="18" t="n">
        <v>6251194.75036004</v>
      </c>
      <c r="D1734" s="0" t="n">
        <v>1</v>
      </c>
    </row>
    <row r="1735" customFormat="false" ht="15" hidden="false" customHeight="false" outlineLevel="0" collapsed="false">
      <c r="A1735" s="0" t="n">
        <v>1734</v>
      </c>
      <c r="B1735" s="18" t="n">
        <v>1226459.87588109</v>
      </c>
      <c r="C1735" s="18" t="n">
        <v>1887223.01563708</v>
      </c>
      <c r="D1735" s="0" t="n">
        <v>1</v>
      </c>
    </row>
    <row r="1736" customFormat="false" ht="15" hidden="false" customHeight="false" outlineLevel="0" collapsed="false">
      <c r="A1736" s="0" t="n">
        <v>1735</v>
      </c>
      <c r="B1736" s="18" t="n">
        <v>1194341.67636046</v>
      </c>
      <c r="C1736" s="18" t="n">
        <v>4616666.24025187</v>
      </c>
      <c r="D1736" s="0" t="n">
        <v>1</v>
      </c>
    </row>
    <row r="1737" customFormat="false" ht="15" hidden="false" customHeight="false" outlineLevel="0" collapsed="false">
      <c r="A1737" s="0" t="n">
        <v>1736</v>
      </c>
      <c r="B1737" s="18" t="n">
        <v>1316660.7093328</v>
      </c>
      <c r="C1737" s="18" t="n">
        <v>4303415.82752344</v>
      </c>
      <c r="D1737" s="0" t="n">
        <v>1</v>
      </c>
    </row>
    <row r="1738" customFormat="false" ht="15" hidden="false" customHeight="false" outlineLevel="0" collapsed="false">
      <c r="A1738" s="0" t="n">
        <v>1737</v>
      </c>
      <c r="B1738" s="18" t="n">
        <v>762487.251423138</v>
      </c>
      <c r="C1738" s="18" t="n">
        <v>493456.757036856</v>
      </c>
      <c r="D1738" s="0" t="n">
        <v>1</v>
      </c>
    </row>
    <row r="1739" customFormat="false" ht="15" hidden="false" customHeight="false" outlineLevel="0" collapsed="false">
      <c r="A1739" s="0" t="n">
        <v>1738</v>
      </c>
      <c r="B1739" s="18" t="n">
        <v>605263.306815671</v>
      </c>
      <c r="C1739" s="18" t="n">
        <v>0</v>
      </c>
      <c r="D1739" s="0" t="n">
        <v>0</v>
      </c>
      <c r="E1739" s="19" t="n">
        <v>35.1666666666667</v>
      </c>
    </row>
    <row r="1740" customFormat="false" ht="15" hidden="false" customHeight="false" outlineLevel="0" collapsed="false">
      <c r="A1740" s="0" t="n">
        <v>1739</v>
      </c>
      <c r="B1740" s="18" t="n">
        <v>946455.073272466</v>
      </c>
      <c r="C1740" s="18" t="n">
        <v>101583.647169977</v>
      </c>
      <c r="D1740" s="0" t="n">
        <v>1</v>
      </c>
    </row>
    <row r="1741" customFormat="false" ht="15" hidden="false" customHeight="false" outlineLevel="0" collapsed="false">
      <c r="A1741" s="0" t="n">
        <v>1740</v>
      </c>
      <c r="B1741" s="18" t="n">
        <v>674401.888890623</v>
      </c>
      <c r="C1741" s="18" t="n">
        <v>0</v>
      </c>
      <c r="D1741" s="0" t="n">
        <v>0</v>
      </c>
      <c r="E1741" s="19" t="n">
        <v>35.1666666666667</v>
      </c>
    </row>
    <row r="1742" customFormat="false" ht="15" hidden="false" customHeight="false" outlineLevel="0" collapsed="false">
      <c r="A1742" s="0" t="n">
        <v>1741</v>
      </c>
      <c r="B1742" s="18" t="n">
        <v>747856.570817388</v>
      </c>
      <c r="C1742" s="18" t="n">
        <v>0</v>
      </c>
      <c r="D1742" s="0" t="n">
        <v>0</v>
      </c>
      <c r="E1742" s="19" t="n">
        <v>42.6666666666667</v>
      </c>
    </row>
    <row r="1743" customFormat="false" ht="15" hidden="false" customHeight="false" outlineLevel="0" collapsed="false">
      <c r="A1743" s="0" t="n">
        <v>1742</v>
      </c>
      <c r="B1743" s="18" t="n">
        <v>446947.019714276</v>
      </c>
      <c r="C1743" s="18" t="n">
        <v>0</v>
      </c>
      <c r="D1743" s="0" t="n">
        <v>0</v>
      </c>
      <c r="E1743" s="19" t="n">
        <v>35.3333333333333</v>
      </c>
    </row>
    <row r="1744" customFormat="false" ht="15" hidden="false" customHeight="false" outlineLevel="0" collapsed="false">
      <c r="A1744" s="0" t="n">
        <v>1743</v>
      </c>
      <c r="B1744" s="18" t="n">
        <v>761660.39311164</v>
      </c>
      <c r="C1744" s="18" t="n">
        <v>0</v>
      </c>
      <c r="D1744" s="0" t="n">
        <v>0</v>
      </c>
      <c r="E1744" s="19" t="n">
        <v>46.3333333333333</v>
      </c>
    </row>
    <row r="1745" customFormat="false" ht="15" hidden="false" customHeight="false" outlineLevel="0" collapsed="false">
      <c r="A1745" s="0" t="n">
        <v>1744</v>
      </c>
      <c r="B1745" s="18" t="n">
        <v>941920.60727424</v>
      </c>
      <c r="C1745" s="18" t="n">
        <v>6273713.6850788</v>
      </c>
      <c r="D1745" s="0" t="n">
        <v>1</v>
      </c>
    </row>
    <row r="1746" customFormat="false" ht="15" hidden="false" customHeight="false" outlineLevel="0" collapsed="false">
      <c r="A1746" s="0" t="n">
        <v>1745</v>
      </c>
      <c r="B1746" s="18" t="n">
        <v>1321126.0098242</v>
      </c>
      <c r="C1746" s="18" t="n">
        <v>0</v>
      </c>
      <c r="D1746" s="0" t="n">
        <v>0</v>
      </c>
      <c r="E1746" s="19" t="n">
        <v>44.5833333333333</v>
      </c>
    </row>
    <row r="1747" customFormat="false" ht="15" hidden="false" customHeight="false" outlineLevel="0" collapsed="false">
      <c r="A1747" s="0" t="n">
        <v>1746</v>
      </c>
      <c r="B1747" s="18" t="n">
        <v>785742.514791097</v>
      </c>
      <c r="C1747" s="18" t="n">
        <v>1072933.76332594</v>
      </c>
      <c r="D1747" s="0" t="n">
        <v>1</v>
      </c>
    </row>
    <row r="1748" customFormat="false" ht="15" hidden="false" customHeight="false" outlineLevel="0" collapsed="false">
      <c r="A1748" s="0" t="n">
        <v>1747</v>
      </c>
      <c r="B1748" s="18" t="n">
        <v>1129713.04086218</v>
      </c>
      <c r="C1748" s="18" t="n">
        <v>2617843.44117532</v>
      </c>
      <c r="D1748" s="0" t="n">
        <v>1</v>
      </c>
    </row>
    <row r="1749" customFormat="false" ht="15" hidden="false" customHeight="false" outlineLevel="0" collapsed="false">
      <c r="A1749" s="0" t="n">
        <v>1748</v>
      </c>
      <c r="B1749" s="18" t="n">
        <v>523246.732090965</v>
      </c>
      <c r="C1749" s="18" t="n">
        <v>0</v>
      </c>
      <c r="D1749" s="0" t="n">
        <v>0</v>
      </c>
      <c r="E1749" s="19" t="n">
        <v>39.5</v>
      </c>
    </row>
    <row r="1750" customFormat="false" ht="15" hidden="false" customHeight="false" outlineLevel="0" collapsed="false">
      <c r="A1750" s="0" t="n">
        <v>1749</v>
      </c>
      <c r="B1750" s="18" t="n">
        <v>772407.190947312</v>
      </c>
      <c r="C1750" s="18" t="n">
        <v>0</v>
      </c>
      <c r="D1750" s="0" t="n">
        <v>0</v>
      </c>
      <c r="E1750" s="19" t="n">
        <v>44.6666666666667</v>
      </c>
    </row>
    <row r="1751" customFormat="false" ht="15" hidden="false" customHeight="false" outlineLevel="0" collapsed="false">
      <c r="A1751" s="0" t="n">
        <v>1750</v>
      </c>
      <c r="B1751" s="18" t="n">
        <v>421193.070562979</v>
      </c>
      <c r="C1751" s="18" t="n">
        <v>0</v>
      </c>
      <c r="D1751" s="0" t="n">
        <v>0</v>
      </c>
      <c r="E1751" s="19" t="n">
        <v>32.3333333333333</v>
      </c>
    </row>
    <row r="1752" customFormat="false" ht="15" hidden="false" customHeight="false" outlineLevel="0" collapsed="false">
      <c r="A1752" s="0" t="n">
        <v>1751</v>
      </c>
      <c r="B1752" s="18" t="n">
        <v>352215.912679408</v>
      </c>
      <c r="C1752" s="18" t="n">
        <v>0</v>
      </c>
      <c r="D1752" s="0" t="n">
        <v>0</v>
      </c>
      <c r="E1752" s="19" t="n">
        <v>33.6666666666667</v>
      </c>
    </row>
    <row r="1753" customFormat="false" ht="15" hidden="false" customHeight="false" outlineLevel="0" collapsed="false">
      <c r="A1753" s="0" t="n">
        <v>1752</v>
      </c>
      <c r="B1753" s="18" t="n">
        <v>1601201.11885916</v>
      </c>
      <c r="C1753" s="18" t="n">
        <v>1274215.1475422</v>
      </c>
      <c r="D1753" s="0" t="n">
        <v>1</v>
      </c>
    </row>
    <row r="1754" customFormat="false" ht="15" hidden="false" customHeight="false" outlineLevel="0" collapsed="false">
      <c r="A1754" s="0" t="n">
        <v>1753</v>
      </c>
      <c r="B1754" s="18" t="n">
        <v>781991.173454537</v>
      </c>
      <c r="C1754" s="18" t="n">
        <v>0</v>
      </c>
      <c r="D1754" s="0" t="n">
        <v>0</v>
      </c>
      <c r="E1754" s="19" t="n">
        <v>46.8333333333333</v>
      </c>
    </row>
    <row r="1755" customFormat="false" ht="15" hidden="false" customHeight="false" outlineLevel="0" collapsed="false">
      <c r="A1755" s="0" t="n">
        <v>1754</v>
      </c>
      <c r="B1755" s="18" t="n">
        <v>1044568.82053435</v>
      </c>
      <c r="C1755" s="18" t="n">
        <v>0</v>
      </c>
      <c r="D1755" s="0" t="n">
        <v>0</v>
      </c>
      <c r="E1755" s="19" t="n">
        <v>45</v>
      </c>
    </row>
    <row r="1756" customFormat="false" ht="15" hidden="false" customHeight="false" outlineLevel="0" collapsed="false">
      <c r="A1756" s="0" t="n">
        <v>1755</v>
      </c>
      <c r="B1756" s="18" t="n">
        <v>793630.56580771</v>
      </c>
      <c r="C1756" s="18" t="n">
        <v>0</v>
      </c>
      <c r="D1756" s="0" t="n">
        <v>0</v>
      </c>
      <c r="E1756" s="19" t="n">
        <v>36.4166666666667</v>
      </c>
    </row>
    <row r="1757" customFormat="false" ht="15" hidden="false" customHeight="false" outlineLevel="0" collapsed="false">
      <c r="A1757" s="0" t="n">
        <v>1756</v>
      </c>
      <c r="B1757" s="18" t="n">
        <v>1087424.40555188</v>
      </c>
      <c r="C1757" s="18" t="n">
        <v>1000107.47787292</v>
      </c>
      <c r="D1757" s="0" t="n">
        <v>1</v>
      </c>
    </row>
    <row r="1758" customFormat="false" ht="15" hidden="false" customHeight="false" outlineLevel="0" collapsed="false">
      <c r="A1758" s="0" t="n">
        <v>1757</v>
      </c>
      <c r="B1758" s="18" t="n">
        <v>897082.033992495</v>
      </c>
      <c r="C1758" s="18" t="n">
        <v>1012115.74650148</v>
      </c>
      <c r="D1758" s="0" t="n">
        <v>1</v>
      </c>
    </row>
    <row r="1759" customFormat="false" ht="15" hidden="false" customHeight="false" outlineLevel="0" collapsed="false">
      <c r="A1759" s="0" t="n">
        <v>1758</v>
      </c>
      <c r="B1759" s="18" t="n">
        <v>857253.103218334</v>
      </c>
      <c r="C1759" s="18" t="n">
        <v>0</v>
      </c>
      <c r="D1759" s="0" t="n">
        <v>0</v>
      </c>
      <c r="E1759" s="19" t="n">
        <v>45.4166666666667</v>
      </c>
    </row>
    <row r="1760" customFormat="false" ht="15" hidden="false" customHeight="false" outlineLevel="0" collapsed="false">
      <c r="A1760" s="0" t="n">
        <v>1759</v>
      </c>
      <c r="B1760" s="18" t="n">
        <v>1514148.11619173</v>
      </c>
      <c r="C1760" s="18" t="n">
        <v>1324656.22155733</v>
      </c>
      <c r="D1760" s="0" t="n">
        <v>1</v>
      </c>
    </row>
    <row r="1761" customFormat="false" ht="15" hidden="false" customHeight="false" outlineLevel="0" collapsed="false">
      <c r="A1761" s="0" t="n">
        <v>1760</v>
      </c>
      <c r="B1761" s="18" t="n">
        <v>860990.183756181</v>
      </c>
      <c r="C1761" s="18" t="n">
        <v>0</v>
      </c>
      <c r="D1761" s="0" t="n">
        <v>0</v>
      </c>
      <c r="E1761" s="19" t="n">
        <v>44.3333333333333</v>
      </c>
    </row>
    <row r="1762" customFormat="false" ht="15" hidden="false" customHeight="false" outlineLevel="0" collapsed="false">
      <c r="A1762" s="0" t="n">
        <v>1761</v>
      </c>
      <c r="B1762" s="18" t="n">
        <v>1354222.14805545</v>
      </c>
      <c r="C1762" s="18" t="n">
        <v>2026201.53293039</v>
      </c>
      <c r="D1762" s="0" t="n">
        <v>1</v>
      </c>
    </row>
    <row r="1763" customFormat="false" ht="15" hidden="false" customHeight="false" outlineLevel="0" collapsed="false">
      <c r="A1763" s="0" t="n">
        <v>1762</v>
      </c>
      <c r="B1763" s="18" t="n">
        <v>653600.674285922</v>
      </c>
      <c r="C1763" s="18" t="n">
        <v>0</v>
      </c>
      <c r="D1763" s="0" t="n">
        <v>0</v>
      </c>
      <c r="E1763" s="19" t="n">
        <v>39.3333333333333</v>
      </c>
    </row>
    <row r="1764" customFormat="false" ht="15" hidden="false" customHeight="false" outlineLevel="0" collapsed="false">
      <c r="A1764" s="0" t="n">
        <v>1763</v>
      </c>
      <c r="B1764" s="18" t="n">
        <v>1355187.67775621</v>
      </c>
      <c r="C1764" s="18" t="n">
        <v>1403011.97209243</v>
      </c>
      <c r="D1764" s="0" t="n">
        <v>1</v>
      </c>
    </row>
    <row r="1765" customFormat="false" ht="15" hidden="false" customHeight="false" outlineLevel="0" collapsed="false">
      <c r="A1765" s="0" t="n">
        <v>1764</v>
      </c>
      <c r="B1765" s="18" t="n">
        <v>375545.285450699</v>
      </c>
      <c r="C1765" s="18" t="n">
        <v>0</v>
      </c>
      <c r="D1765" s="0" t="n">
        <v>0</v>
      </c>
      <c r="E1765" s="19" t="n">
        <v>32.5833333333333</v>
      </c>
    </row>
    <row r="1766" customFormat="false" ht="15" hidden="false" customHeight="false" outlineLevel="0" collapsed="false">
      <c r="A1766" s="0" t="n">
        <v>1765</v>
      </c>
      <c r="B1766" s="18" t="n">
        <v>1365975.70327916</v>
      </c>
      <c r="C1766" s="18" t="n">
        <v>3422994.97784137</v>
      </c>
      <c r="D1766" s="0" t="n">
        <v>1</v>
      </c>
    </row>
    <row r="1767" customFormat="false" ht="15" hidden="false" customHeight="false" outlineLevel="0" collapsed="false">
      <c r="A1767" s="0" t="n">
        <v>1766</v>
      </c>
      <c r="B1767" s="18" t="n">
        <v>742056.445618874</v>
      </c>
      <c r="C1767" s="18" t="n">
        <v>0</v>
      </c>
      <c r="D1767" s="0" t="n">
        <v>0</v>
      </c>
      <c r="E1767" s="19" t="n">
        <v>49.5</v>
      </c>
    </row>
    <row r="1768" customFormat="false" ht="15" hidden="false" customHeight="false" outlineLevel="0" collapsed="false">
      <c r="A1768" s="0" t="n">
        <v>1767</v>
      </c>
      <c r="B1768" s="18" t="n">
        <v>735941.693403515</v>
      </c>
      <c r="C1768" s="18" t="n">
        <v>0</v>
      </c>
      <c r="D1768" s="0" t="n">
        <v>0</v>
      </c>
      <c r="E1768" s="19" t="n">
        <v>37.9166666666667</v>
      </c>
    </row>
    <row r="1769" customFormat="false" ht="15" hidden="false" customHeight="false" outlineLevel="0" collapsed="false">
      <c r="A1769" s="0" t="n">
        <v>1768</v>
      </c>
      <c r="B1769" s="18" t="n">
        <v>850769.990545864</v>
      </c>
      <c r="C1769" s="18" t="n">
        <v>0</v>
      </c>
      <c r="D1769" s="0" t="n">
        <v>0</v>
      </c>
      <c r="E1769" s="19" t="n">
        <v>43.0833333333333</v>
      </c>
    </row>
    <row r="1770" customFormat="false" ht="15" hidden="false" customHeight="false" outlineLevel="0" collapsed="false">
      <c r="A1770" s="0" t="n">
        <v>1769</v>
      </c>
      <c r="B1770" s="18" t="n">
        <v>853057.114349774</v>
      </c>
      <c r="C1770" s="18" t="n">
        <v>0</v>
      </c>
      <c r="D1770" s="0" t="n">
        <v>0</v>
      </c>
      <c r="E1770" s="19" t="n">
        <v>54.9166666666667</v>
      </c>
    </row>
    <row r="1771" customFormat="false" ht="15" hidden="false" customHeight="false" outlineLevel="0" collapsed="false">
      <c r="A1771" s="0" t="n">
        <v>1770</v>
      </c>
      <c r="B1771" s="18" t="n">
        <v>1219947.71795818</v>
      </c>
      <c r="C1771" s="18" t="n">
        <v>3924454.52950954</v>
      </c>
      <c r="D1771" s="0" t="n">
        <v>1</v>
      </c>
    </row>
    <row r="1772" customFormat="false" ht="15" hidden="false" customHeight="false" outlineLevel="0" collapsed="false">
      <c r="A1772" s="0" t="n">
        <v>1771</v>
      </c>
      <c r="B1772" s="18" t="n">
        <v>991172.671994787</v>
      </c>
      <c r="C1772" s="18" t="n">
        <v>0</v>
      </c>
      <c r="D1772" s="0" t="n">
        <v>0</v>
      </c>
      <c r="E1772" s="19" t="n">
        <v>50.5833333333333</v>
      </c>
    </row>
    <row r="1773" customFormat="false" ht="15" hidden="false" customHeight="false" outlineLevel="0" collapsed="false">
      <c r="A1773" s="0" t="n">
        <v>1772</v>
      </c>
      <c r="B1773" s="18" t="n">
        <v>594410.907892586</v>
      </c>
      <c r="C1773" s="18" t="n">
        <v>0</v>
      </c>
      <c r="D1773" s="0" t="n">
        <v>0</v>
      </c>
      <c r="E1773" s="19" t="n">
        <v>45.1666666666667</v>
      </c>
    </row>
    <row r="1774" customFormat="false" ht="15" hidden="false" customHeight="false" outlineLevel="0" collapsed="false">
      <c r="A1774" s="0" t="n">
        <v>1773</v>
      </c>
      <c r="B1774" s="18" t="n">
        <v>1253836.66243002</v>
      </c>
      <c r="C1774" s="18" t="n">
        <v>888499.840181576</v>
      </c>
      <c r="D1774" s="0" t="n">
        <v>1</v>
      </c>
    </row>
    <row r="1775" customFormat="false" ht="15" hidden="false" customHeight="false" outlineLevel="0" collapsed="false">
      <c r="A1775" s="0" t="n">
        <v>1774</v>
      </c>
      <c r="B1775" s="18" t="n">
        <v>580827.621612039</v>
      </c>
      <c r="C1775" s="18" t="n">
        <v>0</v>
      </c>
      <c r="D1775" s="0" t="n">
        <v>0</v>
      </c>
      <c r="E1775" s="19" t="n">
        <v>33.4166666666667</v>
      </c>
    </row>
    <row r="1776" customFormat="false" ht="15" hidden="false" customHeight="false" outlineLevel="0" collapsed="false">
      <c r="A1776" s="0" t="n">
        <v>1775</v>
      </c>
      <c r="B1776" s="18" t="n">
        <v>452306.128715748</v>
      </c>
      <c r="C1776" s="18" t="n">
        <v>0</v>
      </c>
      <c r="D1776" s="0" t="n">
        <v>0</v>
      </c>
      <c r="E1776" s="19" t="n">
        <v>36</v>
      </c>
    </row>
    <row r="1777" customFormat="false" ht="15" hidden="false" customHeight="false" outlineLevel="0" collapsed="false">
      <c r="A1777" s="0" t="n">
        <v>1776</v>
      </c>
      <c r="B1777" s="18" t="n">
        <v>6082350.3735107</v>
      </c>
      <c r="C1777" s="18" t="n">
        <v>21210960.549909</v>
      </c>
      <c r="D1777" s="0" t="n">
        <v>1</v>
      </c>
    </row>
    <row r="1778" customFormat="false" ht="15" hidden="false" customHeight="false" outlineLevel="0" collapsed="false">
      <c r="A1778" s="0" t="n">
        <v>1777</v>
      </c>
      <c r="B1778" s="18" t="n">
        <v>778612.704769353</v>
      </c>
      <c r="C1778" s="18" t="n">
        <v>0</v>
      </c>
      <c r="D1778" s="0" t="n">
        <v>0</v>
      </c>
      <c r="E1778" s="19" t="n">
        <v>47.3333333333333</v>
      </c>
    </row>
    <row r="1779" customFormat="false" ht="15" hidden="false" customHeight="false" outlineLevel="0" collapsed="false">
      <c r="A1779" s="0" t="n">
        <v>1778</v>
      </c>
      <c r="B1779" s="18" t="n">
        <v>1016982.31550049</v>
      </c>
      <c r="C1779" s="18" t="n">
        <v>0</v>
      </c>
      <c r="D1779" s="0" t="n">
        <v>0</v>
      </c>
      <c r="E1779" s="19" t="n">
        <v>40.3333333333333</v>
      </c>
    </row>
    <row r="1780" customFormat="false" ht="15" hidden="false" customHeight="false" outlineLevel="0" collapsed="false">
      <c r="A1780" s="0" t="n">
        <v>1779</v>
      </c>
      <c r="B1780" s="18" t="n">
        <v>1336949.82262426</v>
      </c>
      <c r="C1780" s="18" t="n">
        <v>0</v>
      </c>
      <c r="D1780" s="0" t="n">
        <v>0</v>
      </c>
      <c r="E1780" s="19" t="n">
        <v>54.5833333333333</v>
      </c>
    </row>
    <row r="1781" customFormat="false" ht="15" hidden="false" customHeight="false" outlineLevel="0" collapsed="false">
      <c r="A1781" s="0" t="n">
        <v>1780</v>
      </c>
      <c r="B1781" s="18" t="n">
        <v>1534804.32937653</v>
      </c>
      <c r="C1781" s="18" t="n">
        <v>0</v>
      </c>
      <c r="D1781" s="0" t="n">
        <v>0</v>
      </c>
      <c r="E1781" s="19" t="n">
        <v>47.6666666666667</v>
      </c>
    </row>
    <row r="1782" customFormat="false" ht="15" hidden="false" customHeight="false" outlineLevel="0" collapsed="false">
      <c r="A1782" s="0" t="n">
        <v>1781</v>
      </c>
      <c r="B1782" s="18" t="n">
        <v>924609.861453142</v>
      </c>
      <c r="C1782" s="18" t="n">
        <v>89564.4320340546</v>
      </c>
      <c r="D1782" s="0" t="n">
        <v>1</v>
      </c>
    </row>
    <row r="1783" customFormat="false" ht="15" hidden="false" customHeight="false" outlineLevel="0" collapsed="false">
      <c r="A1783" s="0" t="n">
        <v>1782</v>
      </c>
      <c r="B1783" s="18" t="n">
        <v>1105437.70153533</v>
      </c>
      <c r="C1783" s="18" t="n">
        <v>0</v>
      </c>
      <c r="D1783" s="0" t="n">
        <v>0</v>
      </c>
      <c r="E1783" s="19" t="n">
        <v>38.5833333333333</v>
      </c>
    </row>
    <row r="1784" customFormat="false" ht="15" hidden="false" customHeight="false" outlineLevel="0" collapsed="false">
      <c r="A1784" s="0" t="n">
        <v>1783</v>
      </c>
      <c r="B1784" s="18" t="n">
        <v>533403.100685266</v>
      </c>
      <c r="C1784" s="18" t="n">
        <v>0</v>
      </c>
      <c r="D1784" s="0" t="n">
        <v>0</v>
      </c>
      <c r="E1784" s="19" t="n">
        <v>40</v>
      </c>
    </row>
    <row r="1785" customFormat="false" ht="15" hidden="false" customHeight="false" outlineLevel="0" collapsed="false">
      <c r="A1785" s="0" t="n">
        <v>1784</v>
      </c>
      <c r="B1785" s="18" t="n">
        <v>448594.187606844</v>
      </c>
      <c r="C1785" s="18" t="n">
        <v>0</v>
      </c>
      <c r="D1785" s="0" t="n">
        <v>0</v>
      </c>
      <c r="E1785" s="19" t="n">
        <v>31.1666666666667</v>
      </c>
    </row>
    <row r="1786" customFormat="false" ht="15" hidden="false" customHeight="false" outlineLevel="0" collapsed="false">
      <c r="A1786" s="0" t="n">
        <v>1785</v>
      </c>
      <c r="B1786" s="18" t="n">
        <v>581324.345562832</v>
      </c>
      <c r="C1786" s="18" t="n">
        <v>0</v>
      </c>
      <c r="D1786" s="0" t="n">
        <v>0</v>
      </c>
      <c r="E1786" s="19" t="n">
        <v>45</v>
      </c>
    </row>
    <row r="1787" customFormat="false" ht="15" hidden="false" customHeight="false" outlineLevel="0" collapsed="false">
      <c r="A1787" s="0" t="n">
        <v>1786</v>
      </c>
      <c r="B1787" s="18" t="n">
        <v>1804170.72804294</v>
      </c>
      <c r="C1787" s="18" t="n">
        <v>6702068.06500354</v>
      </c>
      <c r="D1787" s="0" t="n">
        <v>1</v>
      </c>
    </row>
    <row r="1788" customFormat="false" ht="15" hidden="false" customHeight="false" outlineLevel="0" collapsed="false">
      <c r="A1788" s="0" t="n">
        <v>1787</v>
      </c>
      <c r="B1788" s="18" t="n">
        <v>710753.74487065</v>
      </c>
      <c r="C1788" s="18" t="n">
        <v>0</v>
      </c>
      <c r="D1788" s="0" t="n">
        <v>0</v>
      </c>
      <c r="E1788" s="19" t="n">
        <v>40</v>
      </c>
    </row>
    <row r="1789" customFormat="false" ht="15" hidden="false" customHeight="false" outlineLevel="0" collapsed="false">
      <c r="A1789" s="0" t="n">
        <v>1788</v>
      </c>
      <c r="B1789" s="18" t="n">
        <v>481433.366988072</v>
      </c>
      <c r="C1789" s="18" t="n">
        <v>0</v>
      </c>
      <c r="D1789" s="0" t="n">
        <v>0</v>
      </c>
      <c r="E1789" s="19" t="n">
        <v>32.8333333333333</v>
      </c>
    </row>
    <row r="1790" customFormat="false" ht="15" hidden="false" customHeight="false" outlineLevel="0" collapsed="false">
      <c r="A1790" s="0" t="n">
        <v>1789</v>
      </c>
      <c r="B1790" s="18" t="n">
        <v>1261588.85041817</v>
      </c>
      <c r="C1790" s="18" t="n">
        <v>0</v>
      </c>
      <c r="D1790" s="0" t="n">
        <v>0</v>
      </c>
      <c r="E1790" s="19" t="n">
        <v>46.4166666666667</v>
      </c>
    </row>
    <row r="1791" customFormat="false" ht="15" hidden="false" customHeight="false" outlineLevel="0" collapsed="false">
      <c r="A1791" s="0" t="n">
        <v>1790</v>
      </c>
      <c r="B1791" s="18" t="n">
        <v>815452.838261762</v>
      </c>
      <c r="C1791" s="18" t="n">
        <v>0</v>
      </c>
      <c r="D1791" s="0" t="n">
        <v>0</v>
      </c>
      <c r="E1791" s="19" t="n">
        <v>33.4166666666667</v>
      </c>
    </row>
    <row r="1792" customFormat="false" ht="15" hidden="false" customHeight="false" outlineLevel="0" collapsed="false">
      <c r="A1792" s="0" t="n">
        <v>1791</v>
      </c>
      <c r="B1792" s="18" t="n">
        <v>1198562.49202743</v>
      </c>
      <c r="C1792" s="18" t="n">
        <v>365081.438143519</v>
      </c>
      <c r="D1792" s="0" t="n">
        <v>1</v>
      </c>
    </row>
    <row r="1793" customFormat="false" ht="15" hidden="false" customHeight="false" outlineLevel="0" collapsed="false">
      <c r="A1793" s="0" t="n">
        <v>1792</v>
      </c>
      <c r="B1793" s="18" t="n">
        <v>3255944.87445456</v>
      </c>
      <c r="C1793" s="18" t="n">
        <v>34074254.3522766</v>
      </c>
      <c r="D1793" s="0" t="n">
        <v>1</v>
      </c>
    </row>
    <row r="1794" customFormat="false" ht="15" hidden="false" customHeight="false" outlineLevel="0" collapsed="false">
      <c r="A1794" s="0" t="n">
        <v>1793</v>
      </c>
      <c r="B1794" s="18" t="n">
        <v>486679.845111603</v>
      </c>
      <c r="C1794" s="18" t="n">
        <v>0</v>
      </c>
      <c r="D1794" s="0" t="n">
        <v>0</v>
      </c>
      <c r="E1794" s="19" t="n">
        <v>37.4166666666667</v>
      </c>
    </row>
    <row r="1795" customFormat="false" ht="15" hidden="false" customHeight="false" outlineLevel="0" collapsed="false">
      <c r="A1795" s="0" t="n">
        <v>1794</v>
      </c>
      <c r="B1795" s="18" t="n">
        <v>862248.918614517</v>
      </c>
      <c r="C1795" s="18" t="n">
        <v>1679095.99729582</v>
      </c>
      <c r="D1795" s="0" t="n">
        <v>1</v>
      </c>
    </row>
    <row r="1796" customFormat="false" ht="15" hidden="false" customHeight="false" outlineLevel="0" collapsed="false">
      <c r="A1796" s="0" t="n">
        <v>1795</v>
      </c>
      <c r="B1796" s="18" t="n">
        <v>723602.634240778</v>
      </c>
      <c r="C1796" s="18" t="n">
        <v>0</v>
      </c>
      <c r="D1796" s="0" t="n">
        <v>0</v>
      </c>
      <c r="E1796" s="19" t="n">
        <v>45.4166666666667</v>
      </c>
    </row>
    <row r="1797" customFormat="false" ht="15" hidden="false" customHeight="false" outlineLevel="0" collapsed="false">
      <c r="A1797" s="0" t="n">
        <v>1796</v>
      </c>
      <c r="B1797" s="18" t="n">
        <v>391352.029328082</v>
      </c>
      <c r="C1797" s="18" t="n">
        <v>0</v>
      </c>
      <c r="D1797" s="0" t="n">
        <v>0</v>
      </c>
      <c r="E1797" s="19" t="n">
        <v>33</v>
      </c>
    </row>
    <row r="1798" customFormat="false" ht="15" hidden="false" customHeight="false" outlineLevel="0" collapsed="false">
      <c r="A1798" s="0" t="n">
        <v>1797</v>
      </c>
      <c r="B1798" s="18" t="n">
        <v>256518.135421926</v>
      </c>
      <c r="C1798" s="18" t="n">
        <v>0</v>
      </c>
      <c r="D1798" s="0" t="n">
        <v>0</v>
      </c>
      <c r="E1798" s="19" t="n">
        <v>29</v>
      </c>
    </row>
    <row r="1799" customFormat="false" ht="15" hidden="false" customHeight="false" outlineLevel="0" collapsed="false">
      <c r="A1799" s="0" t="n">
        <v>1798</v>
      </c>
      <c r="B1799" s="18" t="n">
        <v>713541.547063363</v>
      </c>
      <c r="C1799" s="18" t="n">
        <v>0</v>
      </c>
      <c r="D1799" s="0" t="n">
        <v>0</v>
      </c>
      <c r="E1799" s="19" t="n">
        <v>36.5</v>
      </c>
    </row>
    <row r="1800" customFormat="false" ht="15" hidden="false" customHeight="false" outlineLevel="0" collapsed="false">
      <c r="A1800" s="0" t="n">
        <v>1799</v>
      </c>
      <c r="B1800" s="18" t="n">
        <v>1323963.09239755</v>
      </c>
      <c r="C1800" s="18" t="n">
        <v>0</v>
      </c>
      <c r="D1800" s="0" t="n">
        <v>0</v>
      </c>
      <c r="E1800" s="19" t="n">
        <v>46</v>
      </c>
    </row>
    <row r="1801" customFormat="false" ht="15" hidden="false" customHeight="false" outlineLevel="0" collapsed="false">
      <c r="A1801" s="0" t="n">
        <v>1800</v>
      </c>
      <c r="B1801" s="18" t="n">
        <v>1137136.82874065</v>
      </c>
      <c r="C1801" s="18" t="n">
        <v>0</v>
      </c>
      <c r="D1801" s="0" t="n">
        <v>0</v>
      </c>
      <c r="E1801" s="19" t="n">
        <v>54.5833333333333</v>
      </c>
    </row>
    <row r="1802" customFormat="false" ht="15" hidden="false" customHeight="false" outlineLevel="0" collapsed="false">
      <c r="A1802" s="0" t="n">
        <v>1801</v>
      </c>
      <c r="B1802" s="18" t="n">
        <v>1581904.61446396</v>
      </c>
      <c r="C1802" s="18" t="n">
        <v>20215595.4783974</v>
      </c>
      <c r="D1802" s="0" t="n">
        <v>1</v>
      </c>
    </row>
    <row r="1803" customFormat="false" ht="15" hidden="false" customHeight="false" outlineLevel="0" collapsed="false">
      <c r="A1803" s="0" t="n">
        <v>1802</v>
      </c>
      <c r="B1803" s="18" t="n">
        <v>1902740.26985701</v>
      </c>
      <c r="C1803" s="18" t="n">
        <v>5910615.70472767</v>
      </c>
      <c r="D1803" s="0" t="n">
        <v>1</v>
      </c>
    </row>
    <row r="1804" customFormat="false" ht="15" hidden="false" customHeight="false" outlineLevel="0" collapsed="false">
      <c r="A1804" s="0" t="n">
        <v>1803</v>
      </c>
      <c r="B1804" s="18" t="n">
        <v>3043626.50140209</v>
      </c>
      <c r="C1804" s="18" t="n">
        <v>4561161.34446024</v>
      </c>
      <c r="D1804" s="0" t="n">
        <v>1</v>
      </c>
    </row>
    <row r="1805" customFormat="false" ht="15" hidden="false" customHeight="false" outlineLevel="0" collapsed="false">
      <c r="A1805" s="0" t="n">
        <v>1804</v>
      </c>
      <c r="B1805" s="18" t="n">
        <v>1884929.53952747</v>
      </c>
      <c r="C1805" s="18" t="n">
        <v>58596429.7899472</v>
      </c>
      <c r="D1805" s="0" t="n">
        <v>1</v>
      </c>
    </row>
    <row r="1806" customFormat="false" ht="15" hidden="false" customHeight="false" outlineLevel="0" collapsed="false">
      <c r="A1806" s="0" t="n">
        <v>1805</v>
      </c>
      <c r="B1806" s="18" t="n">
        <v>407843.782656393</v>
      </c>
      <c r="C1806" s="18" t="n">
        <v>0</v>
      </c>
      <c r="D1806" s="0" t="n">
        <v>0</v>
      </c>
      <c r="E1806" s="19" t="n">
        <v>31.8333333333333</v>
      </c>
    </row>
    <row r="1807" customFormat="false" ht="15" hidden="false" customHeight="false" outlineLevel="0" collapsed="false">
      <c r="A1807" s="0" t="n">
        <v>1806</v>
      </c>
      <c r="B1807" s="18" t="n">
        <v>1103800.14403891</v>
      </c>
      <c r="C1807" s="18" t="n">
        <v>1154026.56828897</v>
      </c>
      <c r="D1807" s="0" t="n">
        <v>1</v>
      </c>
    </row>
    <row r="1808" customFormat="false" ht="15" hidden="false" customHeight="false" outlineLevel="0" collapsed="false">
      <c r="A1808" s="0" t="n">
        <v>1807</v>
      </c>
      <c r="B1808" s="18" t="n">
        <v>789845.411146567</v>
      </c>
      <c r="C1808" s="18" t="n">
        <v>0</v>
      </c>
      <c r="D1808" s="0" t="n">
        <v>0</v>
      </c>
      <c r="E1808" s="19" t="n">
        <v>37.75</v>
      </c>
    </row>
    <row r="1809" customFormat="false" ht="15" hidden="false" customHeight="false" outlineLevel="0" collapsed="false">
      <c r="A1809" s="0" t="n">
        <v>1808</v>
      </c>
      <c r="B1809" s="18" t="n">
        <v>1854594.13823561</v>
      </c>
      <c r="C1809" s="18" t="n">
        <v>5588898.53465839</v>
      </c>
      <c r="D1809" s="0" t="n">
        <v>1</v>
      </c>
    </row>
    <row r="1810" customFormat="false" ht="15" hidden="false" customHeight="false" outlineLevel="0" collapsed="false">
      <c r="A1810" s="0" t="n">
        <v>1809</v>
      </c>
      <c r="B1810" s="18" t="n">
        <v>922427.600787993</v>
      </c>
      <c r="C1810" s="18" t="n">
        <v>0</v>
      </c>
      <c r="D1810" s="0" t="n">
        <v>0</v>
      </c>
      <c r="E1810" s="19" t="n">
        <v>37.4166666666667</v>
      </c>
    </row>
    <row r="1811" customFormat="false" ht="15" hidden="false" customHeight="false" outlineLevel="0" collapsed="false">
      <c r="A1811" s="0" t="n">
        <v>1810</v>
      </c>
      <c r="B1811" s="18" t="n">
        <v>1027585.93277124</v>
      </c>
      <c r="C1811" s="18" t="n">
        <v>636029.225424337</v>
      </c>
      <c r="D1811" s="0" t="n">
        <v>1</v>
      </c>
    </row>
    <row r="1812" customFormat="false" ht="15" hidden="false" customHeight="false" outlineLevel="0" collapsed="false">
      <c r="A1812" s="0" t="n">
        <v>1811</v>
      </c>
      <c r="B1812" s="18" t="n">
        <v>960771.932962204</v>
      </c>
      <c r="C1812" s="18" t="n">
        <v>0</v>
      </c>
      <c r="D1812" s="0" t="n">
        <v>0</v>
      </c>
      <c r="E1812" s="19" t="n">
        <v>41.75</v>
      </c>
    </row>
    <row r="1813" customFormat="false" ht="15" hidden="false" customHeight="false" outlineLevel="0" collapsed="false">
      <c r="A1813" s="0" t="n">
        <v>1812</v>
      </c>
      <c r="B1813" s="18" t="n">
        <v>678897.841774007</v>
      </c>
      <c r="C1813" s="18" t="n">
        <v>0</v>
      </c>
      <c r="D1813" s="0" t="n">
        <v>0</v>
      </c>
      <c r="E1813" s="19" t="n">
        <v>34.5833333333333</v>
      </c>
    </row>
    <row r="1814" customFormat="false" ht="15" hidden="false" customHeight="false" outlineLevel="0" collapsed="false">
      <c r="A1814" s="0" t="n">
        <v>1813</v>
      </c>
      <c r="B1814" s="18" t="n">
        <v>677277.837852844</v>
      </c>
      <c r="C1814" s="18" t="n">
        <v>0</v>
      </c>
      <c r="D1814" s="0" t="n">
        <v>0</v>
      </c>
      <c r="E1814" s="19" t="n">
        <v>37.5833333333333</v>
      </c>
    </row>
    <row r="1815" customFormat="false" ht="15" hidden="false" customHeight="false" outlineLevel="0" collapsed="false">
      <c r="A1815" s="0" t="n">
        <v>1814</v>
      </c>
      <c r="B1815" s="18" t="n">
        <v>1175787.19853758</v>
      </c>
      <c r="C1815" s="18" t="n">
        <v>0</v>
      </c>
      <c r="D1815" s="0" t="n">
        <v>0</v>
      </c>
      <c r="E1815" s="19" t="n">
        <v>43.4166666666667</v>
      </c>
    </row>
    <row r="1816" customFormat="false" ht="15" hidden="false" customHeight="false" outlineLevel="0" collapsed="false">
      <c r="A1816" s="0" t="n">
        <v>1815</v>
      </c>
      <c r="B1816" s="18" t="n">
        <v>1548438.95038681</v>
      </c>
      <c r="C1816" s="18" t="n">
        <v>1201055.49852848</v>
      </c>
      <c r="D1816" s="0" t="n">
        <v>1</v>
      </c>
    </row>
    <row r="1817" customFormat="false" ht="15" hidden="false" customHeight="false" outlineLevel="0" collapsed="false">
      <c r="A1817" s="0" t="n">
        <v>1816</v>
      </c>
      <c r="B1817" s="18" t="n">
        <v>4099134.05883737</v>
      </c>
      <c r="C1817" s="18" t="n">
        <v>21755956.0428799</v>
      </c>
      <c r="D1817" s="0" t="n">
        <v>1</v>
      </c>
    </row>
    <row r="1818" customFormat="false" ht="15" hidden="false" customHeight="false" outlineLevel="0" collapsed="false">
      <c r="A1818" s="0" t="n">
        <v>1817</v>
      </c>
      <c r="B1818" s="18" t="n">
        <v>3440566.53114128</v>
      </c>
      <c r="C1818" s="18" t="n">
        <v>31747707.5107669</v>
      </c>
      <c r="D1818" s="0" t="n">
        <v>1</v>
      </c>
    </row>
    <row r="1819" customFormat="false" ht="15" hidden="false" customHeight="false" outlineLevel="0" collapsed="false">
      <c r="A1819" s="0" t="n">
        <v>1818</v>
      </c>
      <c r="B1819" s="18" t="n">
        <v>1208002.44713466</v>
      </c>
      <c r="C1819" s="18" t="n">
        <v>0</v>
      </c>
      <c r="D1819" s="0" t="n">
        <v>0</v>
      </c>
      <c r="E1819" s="19" t="n">
        <v>45.1666666666667</v>
      </c>
    </row>
    <row r="1820" customFormat="false" ht="15" hidden="false" customHeight="false" outlineLevel="0" collapsed="false">
      <c r="A1820" s="0" t="n">
        <v>1819</v>
      </c>
      <c r="B1820" s="18" t="n">
        <v>4190578.94044629</v>
      </c>
      <c r="C1820" s="18" t="n">
        <v>85219117.75523</v>
      </c>
      <c r="D1820" s="0" t="n">
        <v>1</v>
      </c>
    </row>
    <row r="1821" customFormat="false" ht="15" hidden="false" customHeight="false" outlineLevel="0" collapsed="false">
      <c r="A1821" s="0" t="n">
        <v>1820</v>
      </c>
      <c r="B1821" s="18" t="n">
        <v>619911.361710061</v>
      </c>
      <c r="C1821" s="18" t="n">
        <v>0</v>
      </c>
      <c r="D1821" s="0" t="n">
        <v>0</v>
      </c>
      <c r="E1821" s="19" t="n">
        <v>31.1666666666667</v>
      </c>
    </row>
    <row r="1822" customFormat="false" ht="15" hidden="false" customHeight="false" outlineLevel="0" collapsed="false">
      <c r="A1822" s="0" t="n">
        <v>1821</v>
      </c>
      <c r="B1822" s="18" t="n">
        <v>568260.241579051</v>
      </c>
      <c r="C1822" s="18" t="n">
        <v>0</v>
      </c>
      <c r="D1822" s="0" t="n">
        <v>0</v>
      </c>
      <c r="E1822" s="19" t="n">
        <v>35.3333333333333</v>
      </c>
    </row>
    <row r="1823" customFormat="false" ht="15" hidden="false" customHeight="false" outlineLevel="0" collapsed="false">
      <c r="A1823" s="0" t="n">
        <v>1822</v>
      </c>
      <c r="B1823" s="18" t="n">
        <v>1391428.63055974</v>
      </c>
      <c r="C1823" s="18" t="n">
        <v>5987920.99955801</v>
      </c>
      <c r="D1823" s="0" t="n">
        <v>1</v>
      </c>
    </row>
    <row r="1824" customFormat="false" ht="15" hidden="false" customHeight="false" outlineLevel="0" collapsed="false">
      <c r="A1824" s="0" t="n">
        <v>1823</v>
      </c>
      <c r="B1824" s="18" t="n">
        <v>2726688.99091986</v>
      </c>
      <c r="C1824" s="18" t="n">
        <v>786782.680085262</v>
      </c>
      <c r="D1824" s="0" t="n">
        <v>1</v>
      </c>
    </row>
    <row r="1825" customFormat="false" ht="15" hidden="false" customHeight="false" outlineLevel="0" collapsed="false">
      <c r="A1825" s="0" t="n">
        <v>1824</v>
      </c>
      <c r="B1825" s="18" t="n">
        <v>1619651.27774918</v>
      </c>
      <c r="C1825" s="18" t="n">
        <v>2560337.85129842</v>
      </c>
      <c r="D1825" s="0" t="n">
        <v>1</v>
      </c>
    </row>
    <row r="1826" customFormat="false" ht="15" hidden="false" customHeight="false" outlineLevel="0" collapsed="false">
      <c r="A1826" s="0" t="n">
        <v>1825</v>
      </c>
      <c r="B1826" s="18" t="n">
        <v>1619634.48917752</v>
      </c>
      <c r="C1826" s="18" t="n">
        <v>43513203.9492886</v>
      </c>
      <c r="D1826" s="0" t="n">
        <v>1</v>
      </c>
    </row>
    <row r="1827" customFormat="false" ht="15" hidden="false" customHeight="false" outlineLevel="0" collapsed="false">
      <c r="A1827" s="0" t="n">
        <v>1826</v>
      </c>
      <c r="B1827" s="18" t="n">
        <v>929559.087906725</v>
      </c>
      <c r="C1827" s="18" t="n">
        <v>3577482.96332521</v>
      </c>
      <c r="D1827" s="0" t="n">
        <v>1</v>
      </c>
    </row>
    <row r="1828" customFormat="false" ht="15" hidden="false" customHeight="false" outlineLevel="0" collapsed="false">
      <c r="A1828" s="0" t="n">
        <v>1827</v>
      </c>
      <c r="B1828" s="18" t="n">
        <v>533621.767021627</v>
      </c>
      <c r="C1828" s="18" t="n">
        <v>0</v>
      </c>
      <c r="D1828" s="0" t="n">
        <v>0</v>
      </c>
      <c r="E1828" s="19" t="n">
        <v>36.0833333333333</v>
      </c>
    </row>
    <row r="1829" customFormat="false" ht="15" hidden="false" customHeight="false" outlineLevel="0" collapsed="false">
      <c r="A1829" s="0" t="n">
        <v>1828</v>
      </c>
      <c r="B1829" s="18" t="n">
        <v>736056.866432391</v>
      </c>
      <c r="C1829" s="18" t="n">
        <v>0</v>
      </c>
      <c r="D1829" s="0" t="n">
        <v>0</v>
      </c>
      <c r="E1829" s="19" t="n">
        <v>36.4166666666667</v>
      </c>
    </row>
    <row r="1830" customFormat="false" ht="15" hidden="false" customHeight="false" outlineLevel="0" collapsed="false">
      <c r="A1830" s="0" t="n">
        <v>1829</v>
      </c>
      <c r="B1830" s="18" t="n">
        <v>1023580.35919813</v>
      </c>
      <c r="C1830" s="18" t="n">
        <v>158182.646085184</v>
      </c>
      <c r="D1830" s="0" t="n">
        <v>1</v>
      </c>
    </row>
    <row r="1831" customFormat="false" ht="15" hidden="false" customHeight="false" outlineLevel="0" collapsed="false">
      <c r="A1831" s="0" t="n">
        <v>1830</v>
      </c>
      <c r="B1831" s="18" t="n">
        <v>1870378.91607055</v>
      </c>
      <c r="C1831" s="18" t="n">
        <v>2938111.8149399</v>
      </c>
      <c r="D1831" s="0" t="n">
        <v>1</v>
      </c>
    </row>
    <row r="1832" customFormat="false" ht="15" hidden="false" customHeight="false" outlineLevel="0" collapsed="false">
      <c r="A1832" s="0" t="n">
        <v>1831</v>
      </c>
      <c r="B1832" s="18" t="n">
        <v>1191435.98975797</v>
      </c>
      <c r="C1832" s="18" t="n">
        <v>0</v>
      </c>
      <c r="D1832" s="0" t="n">
        <v>0</v>
      </c>
      <c r="E1832" s="19" t="n">
        <v>45.5833333333333</v>
      </c>
    </row>
    <row r="1833" customFormat="false" ht="15" hidden="false" customHeight="false" outlineLevel="0" collapsed="false">
      <c r="A1833" s="0" t="n">
        <v>1832</v>
      </c>
      <c r="B1833" s="18" t="n">
        <v>1538337.66000066</v>
      </c>
      <c r="C1833" s="18" t="n">
        <v>3838375.60406723</v>
      </c>
      <c r="D1833" s="0" t="n">
        <v>1</v>
      </c>
    </row>
    <row r="1834" customFormat="false" ht="15" hidden="false" customHeight="false" outlineLevel="0" collapsed="false">
      <c r="A1834" s="0" t="n">
        <v>1833</v>
      </c>
      <c r="B1834" s="18" t="n">
        <v>601022.517937528</v>
      </c>
      <c r="C1834" s="18" t="n">
        <v>0</v>
      </c>
      <c r="D1834" s="0" t="n">
        <v>0</v>
      </c>
      <c r="E1834" s="19" t="n">
        <v>38.3333333333333</v>
      </c>
    </row>
    <row r="1835" customFormat="false" ht="15" hidden="false" customHeight="false" outlineLevel="0" collapsed="false">
      <c r="A1835" s="0" t="n">
        <v>1834</v>
      </c>
      <c r="B1835" s="18" t="n">
        <v>402895.543990057</v>
      </c>
      <c r="C1835" s="18" t="n">
        <v>0</v>
      </c>
      <c r="D1835" s="0" t="n">
        <v>0</v>
      </c>
      <c r="E1835" s="19" t="n">
        <v>38.5833333333333</v>
      </c>
    </row>
    <row r="1836" customFormat="false" ht="15" hidden="false" customHeight="false" outlineLevel="0" collapsed="false">
      <c r="A1836" s="0" t="n">
        <v>1835</v>
      </c>
      <c r="B1836" s="18" t="n">
        <v>1969005.3307594</v>
      </c>
      <c r="C1836" s="18" t="n">
        <v>15219184.6107663</v>
      </c>
      <c r="D1836" s="0" t="n">
        <v>1</v>
      </c>
    </row>
    <row r="1837" customFormat="false" ht="15" hidden="false" customHeight="false" outlineLevel="0" collapsed="false">
      <c r="A1837" s="0" t="n">
        <v>1836</v>
      </c>
      <c r="B1837" s="18" t="n">
        <v>939697.195114741</v>
      </c>
      <c r="C1837" s="18" t="n">
        <v>0</v>
      </c>
      <c r="D1837" s="0" t="n">
        <v>0</v>
      </c>
      <c r="E1837" s="19" t="n">
        <v>45.6666666666667</v>
      </c>
    </row>
    <row r="1838" customFormat="false" ht="15" hidden="false" customHeight="false" outlineLevel="0" collapsed="false">
      <c r="A1838" s="0" t="n">
        <v>1837</v>
      </c>
      <c r="B1838" s="18" t="n">
        <v>919766.110173703</v>
      </c>
      <c r="C1838" s="18" t="n">
        <v>0</v>
      </c>
      <c r="D1838" s="0" t="n">
        <v>0</v>
      </c>
      <c r="E1838" s="19" t="n">
        <v>42.9166666666667</v>
      </c>
    </row>
    <row r="1839" customFormat="false" ht="15" hidden="false" customHeight="false" outlineLevel="0" collapsed="false">
      <c r="A1839" s="0" t="n">
        <v>1838</v>
      </c>
      <c r="B1839" s="18" t="n">
        <v>664451.637687434</v>
      </c>
      <c r="C1839" s="18" t="n">
        <v>0</v>
      </c>
      <c r="D1839" s="0" t="n">
        <v>0</v>
      </c>
      <c r="E1839" s="19" t="n">
        <v>45.5833333333333</v>
      </c>
    </row>
    <row r="1840" customFormat="false" ht="15" hidden="false" customHeight="false" outlineLevel="0" collapsed="false">
      <c r="A1840" s="0" t="n">
        <v>1839</v>
      </c>
      <c r="B1840" s="18" t="n">
        <v>1159374.24348835</v>
      </c>
      <c r="C1840" s="18" t="n">
        <v>1661278.6069704</v>
      </c>
      <c r="D1840" s="0" t="n">
        <v>1</v>
      </c>
    </row>
    <row r="1841" customFormat="false" ht="15" hidden="false" customHeight="false" outlineLevel="0" collapsed="false">
      <c r="A1841" s="0" t="n">
        <v>1840</v>
      </c>
      <c r="B1841" s="18" t="n">
        <v>2091498.15202724</v>
      </c>
      <c r="C1841" s="18" t="n">
        <v>4629517.07670762</v>
      </c>
      <c r="D1841" s="0" t="n">
        <v>1</v>
      </c>
    </row>
    <row r="1842" customFormat="false" ht="15" hidden="false" customHeight="false" outlineLevel="0" collapsed="false">
      <c r="A1842" s="0" t="n">
        <v>1841</v>
      </c>
      <c r="B1842" s="18" t="n">
        <v>1696182.59600456</v>
      </c>
      <c r="C1842" s="18" t="n">
        <v>3873251.21331382</v>
      </c>
      <c r="D1842" s="0" t="n">
        <v>1</v>
      </c>
    </row>
    <row r="1843" customFormat="false" ht="15" hidden="false" customHeight="false" outlineLevel="0" collapsed="false">
      <c r="A1843" s="0" t="n">
        <v>1842</v>
      </c>
      <c r="B1843" s="18" t="n">
        <v>910716.606036267</v>
      </c>
      <c r="C1843" s="18" t="n">
        <v>0</v>
      </c>
      <c r="D1843" s="0" t="n">
        <v>0</v>
      </c>
      <c r="E1843" s="19" t="n">
        <v>53.1666666666667</v>
      </c>
    </row>
    <row r="1844" customFormat="false" ht="15" hidden="false" customHeight="false" outlineLevel="0" collapsed="false">
      <c r="A1844" s="0" t="n">
        <v>1843</v>
      </c>
      <c r="B1844" s="18" t="n">
        <v>1435004.77957196</v>
      </c>
      <c r="C1844" s="18" t="n">
        <v>9168166.9115447</v>
      </c>
      <c r="D1844" s="0" t="n">
        <v>1</v>
      </c>
    </row>
    <row r="1845" customFormat="false" ht="15" hidden="false" customHeight="false" outlineLevel="0" collapsed="false">
      <c r="A1845" s="0" t="n">
        <v>1844</v>
      </c>
      <c r="B1845" s="18" t="n">
        <v>668038.781401076</v>
      </c>
      <c r="C1845" s="18" t="n">
        <v>0</v>
      </c>
      <c r="D1845" s="0" t="n">
        <v>0</v>
      </c>
      <c r="E1845" s="19" t="n">
        <v>34.1666666666667</v>
      </c>
    </row>
    <row r="1846" customFormat="false" ht="15" hidden="false" customHeight="false" outlineLevel="0" collapsed="false">
      <c r="A1846" s="0" t="n">
        <v>1845</v>
      </c>
      <c r="B1846" s="18" t="n">
        <v>639282.439239731</v>
      </c>
      <c r="C1846" s="18" t="n">
        <v>0</v>
      </c>
      <c r="D1846" s="0" t="n">
        <v>0</v>
      </c>
      <c r="E1846" s="19" t="n">
        <v>33.0833333333333</v>
      </c>
    </row>
    <row r="1847" customFormat="false" ht="15" hidden="false" customHeight="false" outlineLevel="0" collapsed="false">
      <c r="A1847" s="0" t="n">
        <v>1846</v>
      </c>
      <c r="B1847" s="18" t="n">
        <v>1139205.48576829</v>
      </c>
      <c r="C1847" s="18" t="n">
        <v>0</v>
      </c>
      <c r="D1847" s="0" t="n">
        <v>0</v>
      </c>
      <c r="E1847" s="19" t="n">
        <v>49.5833333333333</v>
      </c>
    </row>
    <row r="1848" customFormat="false" ht="15" hidden="false" customHeight="false" outlineLevel="0" collapsed="false">
      <c r="A1848" s="0" t="n">
        <v>1847</v>
      </c>
      <c r="B1848" s="18" t="n">
        <v>249285.072137009</v>
      </c>
      <c r="C1848" s="18" t="n">
        <v>0</v>
      </c>
      <c r="D1848" s="0" t="n">
        <v>0</v>
      </c>
      <c r="E1848" s="19" t="n">
        <v>30.25</v>
      </c>
    </row>
    <row r="1849" customFormat="false" ht="15" hidden="false" customHeight="false" outlineLevel="0" collapsed="false">
      <c r="A1849" s="0" t="n">
        <v>1848</v>
      </c>
      <c r="B1849" s="18" t="n">
        <v>589996.972706033</v>
      </c>
      <c r="C1849" s="18" t="n">
        <v>0</v>
      </c>
      <c r="D1849" s="0" t="n">
        <v>0</v>
      </c>
      <c r="E1849" s="19" t="n">
        <v>35.9166666666667</v>
      </c>
    </row>
    <row r="1850" customFormat="false" ht="15" hidden="false" customHeight="false" outlineLevel="0" collapsed="false">
      <c r="A1850" s="0" t="n">
        <v>1849</v>
      </c>
      <c r="B1850" s="18" t="n">
        <v>1559037.36049495</v>
      </c>
      <c r="C1850" s="18" t="n">
        <v>2849438.48560074</v>
      </c>
      <c r="D1850" s="0" t="n">
        <v>1</v>
      </c>
    </row>
    <row r="1851" customFormat="false" ht="15" hidden="false" customHeight="false" outlineLevel="0" collapsed="false">
      <c r="A1851" s="0" t="n">
        <v>1850</v>
      </c>
      <c r="B1851" s="18" t="n">
        <v>1275363.45092701</v>
      </c>
      <c r="C1851" s="18" t="n">
        <v>10947065.1695138</v>
      </c>
      <c r="D1851" s="0" t="n">
        <v>1</v>
      </c>
    </row>
    <row r="1852" customFormat="false" ht="15" hidden="false" customHeight="false" outlineLevel="0" collapsed="false">
      <c r="A1852" s="0" t="n">
        <v>1851</v>
      </c>
      <c r="B1852" s="18" t="n">
        <v>1034574.33555475</v>
      </c>
      <c r="C1852" s="18" t="n">
        <v>1497356.52767442</v>
      </c>
      <c r="D1852" s="0" t="n">
        <v>1</v>
      </c>
    </row>
    <row r="1853" customFormat="false" ht="15" hidden="false" customHeight="false" outlineLevel="0" collapsed="false">
      <c r="A1853" s="0" t="n">
        <v>1852</v>
      </c>
      <c r="B1853" s="18" t="n">
        <v>833838.595121931</v>
      </c>
      <c r="C1853" s="18" t="n">
        <v>0</v>
      </c>
      <c r="D1853" s="0" t="n">
        <v>0</v>
      </c>
      <c r="E1853" s="19" t="n">
        <v>39.9166666666667</v>
      </c>
    </row>
    <row r="1854" customFormat="false" ht="15" hidden="false" customHeight="false" outlineLevel="0" collapsed="false">
      <c r="A1854" s="0" t="n">
        <v>1853</v>
      </c>
      <c r="B1854" s="18" t="n">
        <v>850541.145152019</v>
      </c>
      <c r="C1854" s="18" t="n">
        <v>0</v>
      </c>
      <c r="D1854" s="0" t="n">
        <v>0</v>
      </c>
      <c r="E1854" s="19" t="n">
        <v>48.0833333333333</v>
      </c>
    </row>
    <row r="1855" customFormat="false" ht="15" hidden="false" customHeight="false" outlineLevel="0" collapsed="false">
      <c r="A1855" s="0" t="n">
        <v>1854</v>
      </c>
      <c r="B1855" s="18" t="n">
        <v>781514.082241799</v>
      </c>
      <c r="C1855" s="18" t="n">
        <v>0</v>
      </c>
      <c r="D1855" s="0" t="n">
        <v>0</v>
      </c>
      <c r="E1855" s="19" t="n">
        <v>39.6666666666667</v>
      </c>
    </row>
    <row r="1856" customFormat="false" ht="15" hidden="false" customHeight="false" outlineLevel="0" collapsed="false">
      <c r="A1856" s="0" t="n">
        <v>1855</v>
      </c>
      <c r="B1856" s="18" t="n">
        <v>447300.275561377</v>
      </c>
      <c r="C1856" s="18" t="n">
        <v>0</v>
      </c>
      <c r="D1856" s="0" t="n">
        <v>0</v>
      </c>
      <c r="E1856" s="19" t="n">
        <v>33.75</v>
      </c>
    </row>
    <row r="1857" customFormat="false" ht="15" hidden="false" customHeight="false" outlineLevel="0" collapsed="false">
      <c r="A1857" s="0" t="n">
        <v>1856</v>
      </c>
      <c r="B1857" s="18" t="n">
        <v>1285666.45423071</v>
      </c>
      <c r="C1857" s="18" t="n">
        <v>0</v>
      </c>
      <c r="D1857" s="0" t="n">
        <v>0</v>
      </c>
      <c r="E1857" s="19" t="n">
        <v>38.75</v>
      </c>
    </row>
    <row r="1858" customFormat="false" ht="15" hidden="false" customHeight="false" outlineLevel="0" collapsed="false">
      <c r="A1858" s="0" t="n">
        <v>1857</v>
      </c>
      <c r="B1858" s="18" t="n">
        <v>1236882.60700443</v>
      </c>
      <c r="C1858" s="18" t="n">
        <v>92975.1395936549</v>
      </c>
      <c r="D1858" s="0" t="n">
        <v>1</v>
      </c>
    </row>
    <row r="1859" customFormat="false" ht="15" hidden="false" customHeight="false" outlineLevel="0" collapsed="false">
      <c r="A1859" s="0" t="n">
        <v>1858</v>
      </c>
      <c r="B1859" s="18" t="n">
        <v>602680.435469278</v>
      </c>
      <c r="C1859" s="18" t="n">
        <v>0</v>
      </c>
      <c r="D1859" s="0" t="n">
        <v>0</v>
      </c>
      <c r="E1859" s="19" t="n">
        <v>35.5</v>
      </c>
    </row>
    <row r="1860" customFormat="false" ht="15" hidden="false" customHeight="false" outlineLevel="0" collapsed="false">
      <c r="A1860" s="0" t="n">
        <v>1859</v>
      </c>
      <c r="B1860" s="18" t="n">
        <v>700073.902346069</v>
      </c>
      <c r="C1860" s="18" t="n">
        <v>0</v>
      </c>
      <c r="D1860" s="0" t="n">
        <v>0</v>
      </c>
      <c r="E1860" s="19" t="n">
        <v>43.6666666666667</v>
      </c>
    </row>
    <row r="1861" customFormat="false" ht="15" hidden="false" customHeight="false" outlineLevel="0" collapsed="false">
      <c r="A1861" s="0" t="n">
        <v>1860</v>
      </c>
      <c r="B1861" s="18" t="n">
        <v>1307158.06749456</v>
      </c>
      <c r="C1861" s="18" t="n">
        <v>7076448.21770541</v>
      </c>
      <c r="D1861" s="0" t="n">
        <v>1</v>
      </c>
    </row>
    <row r="1862" customFormat="false" ht="15" hidden="false" customHeight="false" outlineLevel="0" collapsed="false">
      <c r="A1862" s="0" t="n">
        <v>1861</v>
      </c>
      <c r="B1862" s="18" t="n">
        <v>1311342.9252803</v>
      </c>
      <c r="C1862" s="18" t="n">
        <v>0</v>
      </c>
      <c r="D1862" s="0" t="n">
        <v>0</v>
      </c>
      <c r="E1862" s="19" t="n">
        <v>40.8333333333333</v>
      </c>
    </row>
    <row r="1863" customFormat="false" ht="15" hidden="false" customHeight="false" outlineLevel="0" collapsed="false">
      <c r="A1863" s="0" t="n">
        <v>1862</v>
      </c>
      <c r="B1863" s="18" t="n">
        <v>398838.19809655</v>
      </c>
      <c r="C1863" s="18" t="n">
        <v>0</v>
      </c>
      <c r="D1863" s="0" t="n">
        <v>0</v>
      </c>
      <c r="E1863" s="19" t="n">
        <v>31.0833333333333</v>
      </c>
    </row>
    <row r="1864" customFormat="false" ht="15" hidden="false" customHeight="false" outlineLevel="0" collapsed="false">
      <c r="A1864" s="0" t="n">
        <v>1863</v>
      </c>
      <c r="B1864" s="18" t="n">
        <v>1498751.27475673</v>
      </c>
      <c r="C1864" s="18" t="n">
        <v>3028790.37531828</v>
      </c>
      <c r="D1864" s="0" t="n">
        <v>1</v>
      </c>
    </row>
    <row r="1865" customFormat="false" ht="15" hidden="false" customHeight="false" outlineLevel="0" collapsed="false">
      <c r="A1865" s="0" t="n">
        <v>1864</v>
      </c>
      <c r="B1865" s="18" t="n">
        <v>811179.14932551</v>
      </c>
      <c r="C1865" s="18" t="n">
        <v>0</v>
      </c>
      <c r="D1865" s="0" t="n">
        <v>0</v>
      </c>
      <c r="E1865" s="19" t="n">
        <v>45.4166666666667</v>
      </c>
    </row>
    <row r="1866" customFormat="false" ht="15" hidden="false" customHeight="false" outlineLevel="0" collapsed="false">
      <c r="A1866" s="0" t="n">
        <v>1865</v>
      </c>
      <c r="B1866" s="18" t="n">
        <v>347833.018202928</v>
      </c>
      <c r="C1866" s="18" t="n">
        <v>0</v>
      </c>
      <c r="D1866" s="0" t="n">
        <v>0</v>
      </c>
      <c r="E1866" s="19" t="n">
        <v>33.4166666666667</v>
      </c>
    </row>
    <row r="1867" customFormat="false" ht="15" hidden="false" customHeight="false" outlineLevel="0" collapsed="false">
      <c r="A1867" s="0" t="n">
        <v>1866</v>
      </c>
      <c r="B1867" s="18" t="n">
        <v>797672.349082606</v>
      </c>
      <c r="C1867" s="18" t="n">
        <v>0</v>
      </c>
      <c r="D1867" s="0" t="n">
        <v>0</v>
      </c>
      <c r="E1867" s="19" t="n">
        <v>38.75</v>
      </c>
    </row>
    <row r="1868" customFormat="false" ht="15" hidden="false" customHeight="false" outlineLevel="0" collapsed="false">
      <c r="A1868" s="0" t="n">
        <v>1867</v>
      </c>
      <c r="B1868" s="18" t="n">
        <v>1212880.930779</v>
      </c>
      <c r="C1868" s="18" t="n">
        <v>0</v>
      </c>
      <c r="D1868" s="0" t="n">
        <v>0</v>
      </c>
      <c r="E1868" s="19" t="n">
        <v>39.0833333333333</v>
      </c>
    </row>
    <row r="1869" customFormat="false" ht="15" hidden="false" customHeight="false" outlineLevel="0" collapsed="false">
      <c r="A1869" s="0" t="n">
        <v>1868</v>
      </c>
      <c r="B1869" s="18" t="n">
        <v>586809.8259048</v>
      </c>
      <c r="C1869" s="18" t="n">
        <v>0</v>
      </c>
      <c r="D1869" s="0" t="n">
        <v>0</v>
      </c>
      <c r="E1869" s="19" t="n">
        <v>36.75</v>
      </c>
    </row>
    <row r="1870" customFormat="false" ht="15" hidden="false" customHeight="false" outlineLevel="0" collapsed="false">
      <c r="A1870" s="0" t="n">
        <v>1869</v>
      </c>
      <c r="B1870" s="18" t="n">
        <v>848904.609406562</v>
      </c>
      <c r="C1870" s="18" t="n">
        <v>364575.759404089</v>
      </c>
      <c r="D1870" s="0" t="n">
        <v>1</v>
      </c>
    </row>
    <row r="1871" customFormat="false" ht="15" hidden="false" customHeight="false" outlineLevel="0" collapsed="false">
      <c r="A1871" s="0" t="n">
        <v>1870</v>
      </c>
      <c r="B1871" s="18" t="n">
        <v>978043.154484912</v>
      </c>
      <c r="C1871" s="18" t="n">
        <v>0</v>
      </c>
      <c r="D1871" s="0" t="n">
        <v>0</v>
      </c>
      <c r="E1871" s="19" t="n">
        <v>50.0833333333333</v>
      </c>
    </row>
    <row r="1872" customFormat="false" ht="15" hidden="false" customHeight="false" outlineLevel="0" collapsed="false">
      <c r="A1872" s="0" t="n">
        <v>1871</v>
      </c>
      <c r="B1872" s="18" t="n">
        <v>2067704.59220141</v>
      </c>
      <c r="C1872" s="18" t="n">
        <v>3141082.48108767</v>
      </c>
      <c r="D1872" s="0" t="n">
        <v>1</v>
      </c>
    </row>
    <row r="1873" customFormat="false" ht="15" hidden="false" customHeight="false" outlineLevel="0" collapsed="false">
      <c r="A1873" s="0" t="n">
        <v>1872</v>
      </c>
      <c r="B1873" s="18" t="n">
        <v>1259534.61141257</v>
      </c>
      <c r="C1873" s="18" t="n">
        <v>12301774.746367</v>
      </c>
      <c r="D1873" s="0" t="n">
        <v>1</v>
      </c>
    </row>
    <row r="1874" customFormat="false" ht="15" hidden="false" customHeight="false" outlineLevel="0" collapsed="false">
      <c r="A1874" s="0" t="n">
        <v>1873</v>
      </c>
      <c r="B1874" s="18" t="n">
        <v>464987.995700405</v>
      </c>
      <c r="C1874" s="18" t="n">
        <v>0</v>
      </c>
      <c r="D1874" s="0" t="n">
        <v>0</v>
      </c>
      <c r="E1874" s="19" t="n">
        <v>42.3333333333333</v>
      </c>
    </row>
    <row r="1875" customFormat="false" ht="15" hidden="false" customHeight="false" outlineLevel="0" collapsed="false">
      <c r="A1875" s="0" t="n">
        <v>1874</v>
      </c>
      <c r="B1875" s="18" t="n">
        <v>1191229.66739845</v>
      </c>
      <c r="C1875" s="18" t="n">
        <v>0</v>
      </c>
      <c r="D1875" s="0" t="n">
        <v>0</v>
      </c>
      <c r="E1875" s="19" t="n">
        <v>52.1666666666667</v>
      </c>
    </row>
    <row r="1876" customFormat="false" ht="15" hidden="false" customHeight="false" outlineLevel="0" collapsed="false">
      <c r="A1876" s="0" t="n">
        <v>1875</v>
      </c>
      <c r="B1876" s="18" t="n">
        <v>814694.051959869</v>
      </c>
      <c r="C1876" s="18" t="n">
        <v>0</v>
      </c>
      <c r="D1876" s="0" t="n">
        <v>0</v>
      </c>
      <c r="E1876" s="19" t="n">
        <v>39.0833333333333</v>
      </c>
    </row>
    <row r="1877" customFormat="false" ht="15" hidden="false" customHeight="false" outlineLevel="0" collapsed="false">
      <c r="A1877" s="0" t="n">
        <v>1876</v>
      </c>
      <c r="B1877" s="18" t="n">
        <v>969688.069478421</v>
      </c>
      <c r="C1877" s="18" t="n">
        <v>0</v>
      </c>
      <c r="D1877" s="0" t="n">
        <v>0</v>
      </c>
      <c r="E1877" s="19" t="n">
        <v>46.75</v>
      </c>
    </row>
    <row r="1878" customFormat="false" ht="15" hidden="false" customHeight="false" outlineLevel="0" collapsed="false">
      <c r="A1878" s="0" t="n">
        <v>1877</v>
      </c>
      <c r="B1878" s="18" t="n">
        <v>882117.529119308</v>
      </c>
      <c r="C1878" s="18" t="n">
        <v>0</v>
      </c>
      <c r="D1878" s="0" t="n">
        <v>0</v>
      </c>
      <c r="E1878" s="19" t="n">
        <v>43.9166666666667</v>
      </c>
    </row>
    <row r="1879" customFormat="false" ht="15" hidden="false" customHeight="false" outlineLevel="0" collapsed="false">
      <c r="A1879" s="0" t="n">
        <v>1878</v>
      </c>
      <c r="B1879" s="18" t="n">
        <v>2790999.63574032</v>
      </c>
      <c r="C1879" s="18" t="n">
        <v>5628798.94825691</v>
      </c>
      <c r="D1879" s="0" t="n">
        <v>1</v>
      </c>
    </row>
    <row r="1880" customFormat="false" ht="15" hidden="false" customHeight="false" outlineLevel="0" collapsed="false">
      <c r="A1880" s="0" t="n">
        <v>1879</v>
      </c>
      <c r="B1880" s="18" t="n">
        <v>597100.152742796</v>
      </c>
      <c r="C1880" s="18" t="n">
        <v>0</v>
      </c>
      <c r="D1880" s="0" t="n">
        <v>0</v>
      </c>
      <c r="E1880" s="19" t="n">
        <v>38</v>
      </c>
    </row>
    <row r="1881" customFormat="false" ht="15" hidden="false" customHeight="false" outlineLevel="0" collapsed="false">
      <c r="A1881" s="0" t="n">
        <v>1880</v>
      </c>
      <c r="B1881" s="18" t="n">
        <v>526134.938781332</v>
      </c>
      <c r="C1881" s="18" t="n">
        <v>0</v>
      </c>
      <c r="D1881" s="0" t="n">
        <v>0</v>
      </c>
      <c r="E1881" s="19" t="n">
        <v>33.8333333333333</v>
      </c>
    </row>
    <row r="1882" customFormat="false" ht="15" hidden="false" customHeight="false" outlineLevel="0" collapsed="false">
      <c r="A1882" s="0" t="n">
        <v>1881</v>
      </c>
      <c r="B1882" s="18" t="n">
        <v>1756759.54903681</v>
      </c>
      <c r="C1882" s="18" t="n">
        <v>3145286.72232148</v>
      </c>
      <c r="D1882" s="0" t="n">
        <v>1</v>
      </c>
    </row>
    <row r="1883" customFormat="false" ht="15" hidden="false" customHeight="false" outlineLevel="0" collapsed="false">
      <c r="A1883" s="0" t="n">
        <v>1882</v>
      </c>
      <c r="B1883" s="18" t="n">
        <v>1043621.43102389</v>
      </c>
      <c r="C1883" s="18" t="n">
        <v>0</v>
      </c>
      <c r="D1883" s="0" t="n">
        <v>0</v>
      </c>
      <c r="E1883" s="19" t="n">
        <v>47.75</v>
      </c>
    </row>
    <row r="1884" customFormat="false" ht="15" hidden="false" customHeight="false" outlineLevel="0" collapsed="false">
      <c r="A1884" s="0" t="n">
        <v>1883</v>
      </c>
      <c r="B1884" s="18" t="n">
        <v>1043609.23823699</v>
      </c>
      <c r="C1884" s="18" t="n">
        <v>770226.926075376</v>
      </c>
      <c r="D1884" s="0" t="n">
        <v>1</v>
      </c>
    </row>
    <row r="1885" customFormat="false" ht="15" hidden="false" customHeight="false" outlineLevel="0" collapsed="false">
      <c r="A1885" s="0" t="n">
        <v>1884</v>
      </c>
      <c r="B1885" s="18" t="n">
        <v>1152238.34135153</v>
      </c>
      <c r="C1885" s="18" t="n">
        <v>5153454.82890505</v>
      </c>
      <c r="D1885" s="0" t="n">
        <v>1</v>
      </c>
    </row>
    <row r="1886" customFormat="false" ht="15" hidden="false" customHeight="false" outlineLevel="0" collapsed="false">
      <c r="A1886" s="0" t="n">
        <v>1885</v>
      </c>
      <c r="B1886" s="18" t="n">
        <v>755163.272173278</v>
      </c>
      <c r="C1886" s="18" t="n">
        <v>0</v>
      </c>
      <c r="D1886" s="0" t="n">
        <v>0</v>
      </c>
      <c r="E1886" s="19" t="n">
        <v>46.3333333333333</v>
      </c>
    </row>
    <row r="1887" customFormat="false" ht="15" hidden="false" customHeight="false" outlineLevel="0" collapsed="false">
      <c r="A1887" s="0" t="n">
        <v>1886</v>
      </c>
      <c r="B1887" s="18" t="n">
        <v>2151780.31049053</v>
      </c>
      <c r="C1887" s="18" t="n">
        <v>725752.395753894</v>
      </c>
      <c r="D1887" s="0" t="n">
        <v>1</v>
      </c>
    </row>
    <row r="1888" customFormat="false" ht="15" hidden="false" customHeight="false" outlineLevel="0" collapsed="false">
      <c r="A1888" s="0" t="n">
        <v>1887</v>
      </c>
      <c r="B1888" s="18" t="n">
        <v>790367.856891089</v>
      </c>
      <c r="C1888" s="18" t="n">
        <v>0</v>
      </c>
      <c r="D1888" s="0" t="n">
        <v>0</v>
      </c>
      <c r="E1888" s="19" t="n">
        <v>53.9166666666667</v>
      </c>
    </row>
    <row r="1889" customFormat="false" ht="15" hidden="false" customHeight="false" outlineLevel="0" collapsed="false">
      <c r="A1889" s="0" t="n">
        <v>1888</v>
      </c>
      <c r="B1889" s="18" t="n">
        <v>825146.090705949</v>
      </c>
      <c r="C1889" s="18" t="n">
        <v>0</v>
      </c>
      <c r="D1889" s="0" t="n">
        <v>0</v>
      </c>
      <c r="E1889" s="19" t="n">
        <v>40.5</v>
      </c>
    </row>
    <row r="1890" customFormat="false" ht="15" hidden="false" customHeight="false" outlineLevel="0" collapsed="false">
      <c r="A1890" s="0" t="n">
        <v>1889</v>
      </c>
      <c r="B1890" s="18" t="n">
        <v>403279.946967685</v>
      </c>
      <c r="C1890" s="18" t="n">
        <v>0</v>
      </c>
      <c r="D1890" s="0" t="n">
        <v>0</v>
      </c>
      <c r="E1890" s="19" t="n">
        <v>34.8333333333333</v>
      </c>
    </row>
    <row r="1891" customFormat="false" ht="15" hidden="false" customHeight="false" outlineLevel="0" collapsed="false">
      <c r="A1891" s="0" t="n">
        <v>1890</v>
      </c>
      <c r="B1891" s="18" t="n">
        <v>650575.586910723</v>
      </c>
      <c r="C1891" s="18" t="n">
        <v>0</v>
      </c>
      <c r="D1891" s="0" t="n">
        <v>0</v>
      </c>
      <c r="E1891" s="19" t="n">
        <v>36.5833333333333</v>
      </c>
    </row>
    <row r="1892" customFormat="false" ht="15" hidden="false" customHeight="false" outlineLevel="0" collapsed="false">
      <c r="A1892" s="0" t="n">
        <v>1891</v>
      </c>
      <c r="B1892" s="18" t="n">
        <v>817766.443632179</v>
      </c>
      <c r="C1892" s="18" t="n">
        <v>0</v>
      </c>
      <c r="D1892" s="0" t="n">
        <v>0</v>
      </c>
      <c r="E1892" s="19" t="n">
        <v>35.8333333333333</v>
      </c>
    </row>
    <row r="1893" customFormat="false" ht="15" hidden="false" customHeight="false" outlineLevel="0" collapsed="false">
      <c r="A1893" s="0" t="n">
        <v>1892</v>
      </c>
      <c r="B1893" s="18" t="n">
        <v>963622.284446354</v>
      </c>
      <c r="C1893" s="18" t="n">
        <v>0</v>
      </c>
      <c r="D1893" s="0" t="n">
        <v>0</v>
      </c>
      <c r="E1893" s="19" t="n">
        <v>40.0833333333333</v>
      </c>
    </row>
    <row r="1894" customFormat="false" ht="15" hidden="false" customHeight="false" outlineLevel="0" collapsed="false">
      <c r="A1894" s="0" t="n">
        <v>1893</v>
      </c>
      <c r="B1894" s="18" t="n">
        <v>890596.84442796</v>
      </c>
      <c r="C1894" s="18" t="n">
        <v>0</v>
      </c>
      <c r="D1894" s="0" t="n">
        <v>0</v>
      </c>
      <c r="E1894" s="19" t="n">
        <v>42.75</v>
      </c>
    </row>
    <row r="1895" customFormat="false" ht="15" hidden="false" customHeight="false" outlineLevel="0" collapsed="false">
      <c r="A1895" s="0" t="n">
        <v>1894</v>
      </c>
      <c r="B1895" s="18" t="n">
        <v>381708.97149064</v>
      </c>
      <c r="C1895" s="18" t="n">
        <v>0</v>
      </c>
      <c r="D1895" s="0" t="n">
        <v>0</v>
      </c>
      <c r="E1895" s="19" t="n">
        <v>31.5833333333333</v>
      </c>
    </row>
    <row r="1896" customFormat="false" ht="15" hidden="false" customHeight="false" outlineLevel="0" collapsed="false">
      <c r="A1896" s="0" t="n">
        <v>1895</v>
      </c>
      <c r="B1896" s="18" t="n">
        <v>469604.380871605</v>
      </c>
      <c r="C1896" s="18" t="n">
        <v>0</v>
      </c>
      <c r="D1896" s="0" t="n">
        <v>0</v>
      </c>
      <c r="E1896" s="19" t="n">
        <v>31.0833333333333</v>
      </c>
    </row>
    <row r="1897" customFormat="false" ht="15" hidden="false" customHeight="false" outlineLevel="0" collapsed="false">
      <c r="A1897" s="0" t="n">
        <v>1896</v>
      </c>
      <c r="B1897" s="18" t="n">
        <v>953351.467935265</v>
      </c>
      <c r="C1897" s="18" t="n">
        <v>519430.829000188</v>
      </c>
      <c r="D1897" s="0" t="n">
        <v>1</v>
      </c>
    </row>
    <row r="1898" customFormat="false" ht="15" hidden="false" customHeight="false" outlineLevel="0" collapsed="false">
      <c r="A1898" s="0" t="n">
        <v>1897</v>
      </c>
      <c r="B1898" s="18" t="n">
        <v>1680078.62298663</v>
      </c>
      <c r="C1898" s="18" t="n">
        <v>31779911.9000095</v>
      </c>
      <c r="D1898" s="0" t="n">
        <v>1</v>
      </c>
    </row>
    <row r="1899" customFormat="false" ht="15" hidden="false" customHeight="false" outlineLevel="0" collapsed="false">
      <c r="A1899" s="0" t="n">
        <v>1898</v>
      </c>
      <c r="B1899" s="18" t="n">
        <v>1214998.12125711</v>
      </c>
      <c r="C1899" s="18" t="n">
        <v>2874547.18694878</v>
      </c>
      <c r="D1899" s="0" t="n">
        <v>1</v>
      </c>
    </row>
    <row r="1900" customFormat="false" ht="15" hidden="false" customHeight="false" outlineLevel="0" collapsed="false">
      <c r="A1900" s="0" t="n">
        <v>1899</v>
      </c>
      <c r="B1900" s="18" t="n">
        <v>648849.699019534</v>
      </c>
      <c r="C1900" s="18" t="n">
        <v>0</v>
      </c>
      <c r="D1900" s="0" t="n">
        <v>0</v>
      </c>
      <c r="E1900" s="19" t="n">
        <v>43.8333333333333</v>
      </c>
    </row>
    <row r="1901" customFormat="false" ht="15" hidden="false" customHeight="false" outlineLevel="0" collapsed="false">
      <c r="A1901" s="0" t="n">
        <v>1900</v>
      </c>
      <c r="B1901" s="18" t="n">
        <v>305644.107214021</v>
      </c>
      <c r="C1901" s="18" t="n">
        <v>0</v>
      </c>
      <c r="D1901" s="0" t="n">
        <v>0</v>
      </c>
      <c r="E1901" s="19" t="n">
        <v>30</v>
      </c>
    </row>
    <row r="1902" customFormat="false" ht="15" hidden="false" customHeight="false" outlineLevel="0" collapsed="false">
      <c r="A1902" s="0" t="n">
        <v>1901</v>
      </c>
      <c r="B1902" s="18" t="n">
        <v>1299906.58298569</v>
      </c>
      <c r="C1902" s="18" t="n">
        <v>0</v>
      </c>
      <c r="D1902" s="0" t="n">
        <v>0</v>
      </c>
      <c r="E1902" s="19" t="n">
        <v>41.1666666666667</v>
      </c>
    </row>
    <row r="1903" customFormat="false" ht="15" hidden="false" customHeight="false" outlineLevel="0" collapsed="false">
      <c r="A1903" s="0" t="n">
        <v>1902</v>
      </c>
      <c r="B1903" s="18" t="n">
        <v>1433365.13073981</v>
      </c>
      <c r="C1903" s="18" t="n">
        <v>2191395.36347097</v>
      </c>
      <c r="D1903" s="0" t="n">
        <v>1</v>
      </c>
    </row>
    <row r="1904" customFormat="false" ht="15" hidden="false" customHeight="false" outlineLevel="0" collapsed="false">
      <c r="A1904" s="0" t="n">
        <v>1903</v>
      </c>
      <c r="B1904" s="18" t="n">
        <v>1980733.70891284</v>
      </c>
      <c r="C1904" s="18" t="n">
        <v>24001995.0483337</v>
      </c>
      <c r="D1904" s="0" t="n">
        <v>1</v>
      </c>
    </row>
    <row r="1905" customFormat="false" ht="15" hidden="false" customHeight="false" outlineLevel="0" collapsed="false">
      <c r="A1905" s="0" t="n">
        <v>1904</v>
      </c>
      <c r="B1905" s="18" t="n">
        <v>686075.695181454</v>
      </c>
      <c r="C1905" s="18" t="n">
        <v>0</v>
      </c>
      <c r="D1905" s="0" t="n">
        <v>0</v>
      </c>
      <c r="E1905" s="19" t="n">
        <v>42.8333333333333</v>
      </c>
    </row>
    <row r="1906" customFormat="false" ht="15" hidden="false" customHeight="false" outlineLevel="0" collapsed="false">
      <c r="A1906" s="0" t="n">
        <v>1905</v>
      </c>
      <c r="B1906" s="18" t="n">
        <v>774671.165344788</v>
      </c>
      <c r="C1906" s="18" t="n">
        <v>0</v>
      </c>
      <c r="D1906" s="0" t="n">
        <v>0</v>
      </c>
      <c r="E1906" s="19" t="n">
        <v>40.25</v>
      </c>
    </row>
    <row r="1907" customFormat="false" ht="15" hidden="false" customHeight="false" outlineLevel="0" collapsed="false">
      <c r="A1907" s="0" t="n">
        <v>1906</v>
      </c>
      <c r="B1907" s="18" t="n">
        <v>1885606.65286263</v>
      </c>
      <c r="C1907" s="18" t="n">
        <v>3749372.12891807</v>
      </c>
      <c r="D1907" s="0" t="n">
        <v>1</v>
      </c>
    </row>
    <row r="1908" customFormat="false" ht="15" hidden="false" customHeight="false" outlineLevel="0" collapsed="false">
      <c r="A1908" s="0" t="n">
        <v>1907</v>
      </c>
      <c r="B1908" s="18" t="n">
        <v>437723.060328277</v>
      </c>
      <c r="C1908" s="18" t="n">
        <v>0</v>
      </c>
      <c r="D1908" s="0" t="n">
        <v>0</v>
      </c>
      <c r="E1908" s="19" t="n">
        <v>31.25</v>
      </c>
    </row>
    <row r="1909" customFormat="false" ht="15" hidden="false" customHeight="false" outlineLevel="0" collapsed="false">
      <c r="A1909" s="0" t="n">
        <v>1908</v>
      </c>
      <c r="B1909" s="18" t="n">
        <v>570823.264789302</v>
      </c>
      <c r="C1909" s="18" t="n">
        <v>0</v>
      </c>
      <c r="D1909" s="0" t="n">
        <v>0</v>
      </c>
      <c r="E1909" s="19" t="n">
        <v>40.9166666666667</v>
      </c>
    </row>
    <row r="1910" customFormat="false" ht="15" hidden="false" customHeight="false" outlineLevel="0" collapsed="false">
      <c r="A1910" s="0" t="n">
        <v>1909</v>
      </c>
      <c r="B1910" s="18" t="n">
        <v>949121.553762668</v>
      </c>
      <c r="C1910" s="18" t="n">
        <v>0</v>
      </c>
      <c r="D1910" s="0" t="n">
        <v>0</v>
      </c>
      <c r="E1910" s="19" t="n">
        <v>45.0833333333333</v>
      </c>
    </row>
    <row r="1911" customFormat="false" ht="15" hidden="false" customHeight="false" outlineLevel="0" collapsed="false">
      <c r="A1911" s="0" t="n">
        <v>1910</v>
      </c>
      <c r="B1911" s="18" t="n">
        <v>1399627.70777154</v>
      </c>
      <c r="C1911" s="18" t="n">
        <v>5234916.32158748</v>
      </c>
      <c r="D1911" s="0" t="n">
        <v>1</v>
      </c>
    </row>
    <row r="1912" customFormat="false" ht="15" hidden="false" customHeight="false" outlineLevel="0" collapsed="false">
      <c r="A1912" s="0" t="n">
        <v>1911</v>
      </c>
      <c r="B1912" s="18" t="n">
        <v>1061749.62294012</v>
      </c>
      <c r="C1912" s="18" t="n">
        <v>175042.375526296</v>
      </c>
      <c r="D1912" s="0" t="n">
        <v>1</v>
      </c>
    </row>
    <row r="1913" customFormat="false" ht="15" hidden="false" customHeight="false" outlineLevel="0" collapsed="false">
      <c r="A1913" s="0" t="n">
        <v>1912</v>
      </c>
      <c r="B1913" s="18" t="n">
        <v>973517.722360997</v>
      </c>
      <c r="C1913" s="18" t="n">
        <v>0</v>
      </c>
      <c r="D1913" s="0" t="n">
        <v>0</v>
      </c>
      <c r="E1913" s="19" t="n">
        <v>50.8333333333333</v>
      </c>
    </row>
    <row r="1914" customFormat="false" ht="15" hidden="false" customHeight="false" outlineLevel="0" collapsed="false">
      <c r="A1914" s="0" t="n">
        <v>1913</v>
      </c>
      <c r="B1914" s="18" t="n">
        <v>716904.072207821</v>
      </c>
      <c r="C1914" s="18" t="n">
        <v>0</v>
      </c>
      <c r="D1914" s="0" t="n">
        <v>0</v>
      </c>
      <c r="E1914" s="19" t="n">
        <v>34.4166666666667</v>
      </c>
    </row>
    <row r="1915" customFormat="false" ht="15" hidden="false" customHeight="false" outlineLevel="0" collapsed="false">
      <c r="A1915" s="0" t="n">
        <v>1914</v>
      </c>
      <c r="B1915" s="18" t="n">
        <v>1077730.04983336</v>
      </c>
      <c r="C1915" s="18" t="n">
        <v>0</v>
      </c>
      <c r="D1915" s="0" t="n">
        <v>0</v>
      </c>
      <c r="E1915" s="19" t="n">
        <v>49.3333333333333</v>
      </c>
    </row>
    <row r="1916" customFormat="false" ht="15" hidden="false" customHeight="false" outlineLevel="0" collapsed="false">
      <c r="A1916" s="0" t="n">
        <v>1915</v>
      </c>
      <c r="B1916" s="18" t="n">
        <v>583297.327928852</v>
      </c>
      <c r="C1916" s="18" t="n">
        <v>0</v>
      </c>
      <c r="D1916" s="0" t="n">
        <v>0</v>
      </c>
      <c r="E1916" s="19" t="n">
        <v>37.8333333333333</v>
      </c>
    </row>
    <row r="1917" customFormat="false" ht="15" hidden="false" customHeight="false" outlineLevel="0" collapsed="false">
      <c r="A1917" s="0" t="n">
        <v>1916</v>
      </c>
      <c r="B1917" s="18" t="n">
        <v>1536593.60249085</v>
      </c>
      <c r="C1917" s="18" t="n">
        <v>0</v>
      </c>
      <c r="D1917" s="0" t="n">
        <v>0</v>
      </c>
      <c r="E1917" s="19" t="n">
        <v>42.0833333333333</v>
      </c>
    </row>
    <row r="1918" customFormat="false" ht="15" hidden="false" customHeight="false" outlineLevel="0" collapsed="false">
      <c r="A1918" s="0" t="n">
        <v>1917</v>
      </c>
      <c r="B1918" s="18" t="n">
        <v>977884.126279709</v>
      </c>
      <c r="C1918" s="18" t="n">
        <v>544487.463209951</v>
      </c>
      <c r="D1918" s="0" t="n">
        <v>1</v>
      </c>
    </row>
    <row r="1919" customFormat="false" ht="15" hidden="false" customHeight="false" outlineLevel="0" collapsed="false">
      <c r="A1919" s="0" t="n">
        <v>1918</v>
      </c>
      <c r="B1919" s="18" t="n">
        <v>744317.809134633</v>
      </c>
      <c r="C1919" s="18" t="n">
        <v>0</v>
      </c>
      <c r="D1919" s="0" t="n">
        <v>0</v>
      </c>
      <c r="E1919" s="19" t="n">
        <v>40.3333333333333</v>
      </c>
    </row>
    <row r="1920" customFormat="false" ht="15" hidden="false" customHeight="false" outlineLevel="0" collapsed="false">
      <c r="A1920" s="0" t="n">
        <v>1919</v>
      </c>
      <c r="B1920" s="18" t="n">
        <v>257983.429371083</v>
      </c>
      <c r="C1920" s="18" t="n">
        <v>0</v>
      </c>
      <c r="D1920" s="0" t="n">
        <v>0</v>
      </c>
      <c r="E1920" s="19" t="n">
        <v>29.8333333333333</v>
      </c>
    </row>
    <row r="1921" customFormat="false" ht="15" hidden="false" customHeight="false" outlineLevel="0" collapsed="false">
      <c r="A1921" s="0" t="n">
        <v>1920</v>
      </c>
      <c r="B1921" s="18" t="n">
        <v>1240715.18085223</v>
      </c>
      <c r="C1921" s="18" t="n">
        <v>653149.428263034</v>
      </c>
      <c r="D1921" s="0" t="n">
        <v>1</v>
      </c>
    </row>
    <row r="1922" customFormat="false" ht="15" hidden="false" customHeight="false" outlineLevel="0" collapsed="false">
      <c r="A1922" s="0" t="n">
        <v>1921</v>
      </c>
      <c r="B1922" s="18" t="n">
        <v>1311390.23113814</v>
      </c>
      <c r="C1922" s="18" t="n">
        <v>3281125.51421596</v>
      </c>
      <c r="D1922" s="0" t="n">
        <v>1</v>
      </c>
    </row>
    <row r="1923" customFormat="false" ht="15" hidden="false" customHeight="false" outlineLevel="0" collapsed="false">
      <c r="A1923" s="0" t="n">
        <v>1922</v>
      </c>
      <c r="B1923" s="18" t="n">
        <v>515626.533852856</v>
      </c>
      <c r="C1923" s="18" t="n">
        <v>0</v>
      </c>
      <c r="D1923" s="0" t="n">
        <v>0</v>
      </c>
      <c r="E1923" s="19" t="n">
        <v>35.9166666666667</v>
      </c>
    </row>
    <row r="1924" customFormat="false" ht="15" hidden="false" customHeight="false" outlineLevel="0" collapsed="false">
      <c r="A1924" s="0" t="n">
        <v>1923</v>
      </c>
      <c r="B1924" s="18" t="n">
        <v>1353328.63526837</v>
      </c>
      <c r="C1924" s="18" t="n">
        <v>4353417.60036487</v>
      </c>
      <c r="D1924" s="0" t="n">
        <v>1</v>
      </c>
    </row>
    <row r="1925" customFormat="false" ht="15" hidden="false" customHeight="false" outlineLevel="0" collapsed="false">
      <c r="A1925" s="0" t="n">
        <v>1924</v>
      </c>
      <c r="B1925" s="18" t="n">
        <v>3110042.33381477</v>
      </c>
      <c r="C1925" s="18" t="n">
        <v>15572711.0740007</v>
      </c>
      <c r="D1925" s="0" t="n">
        <v>1</v>
      </c>
    </row>
    <row r="1926" customFormat="false" ht="15" hidden="false" customHeight="false" outlineLevel="0" collapsed="false">
      <c r="A1926" s="0" t="n">
        <v>1925</v>
      </c>
      <c r="B1926" s="18" t="n">
        <v>858048.944810284</v>
      </c>
      <c r="C1926" s="18" t="n">
        <v>0</v>
      </c>
      <c r="D1926" s="0" t="n">
        <v>0</v>
      </c>
      <c r="E1926" s="19" t="n">
        <v>43.4166666666667</v>
      </c>
    </row>
    <row r="1927" customFormat="false" ht="15" hidden="false" customHeight="false" outlineLevel="0" collapsed="false">
      <c r="A1927" s="0" t="n">
        <v>1926</v>
      </c>
      <c r="B1927" s="18" t="n">
        <v>719522.190112906</v>
      </c>
      <c r="C1927" s="18" t="n">
        <v>0</v>
      </c>
      <c r="D1927" s="0" t="n">
        <v>0</v>
      </c>
      <c r="E1927" s="19" t="n">
        <v>37.5833333333333</v>
      </c>
    </row>
    <row r="1928" customFormat="false" ht="15" hidden="false" customHeight="false" outlineLevel="0" collapsed="false">
      <c r="A1928" s="0" t="n">
        <v>1927</v>
      </c>
      <c r="B1928" s="18" t="n">
        <v>630803.087514244</v>
      </c>
      <c r="C1928" s="18" t="n">
        <v>0</v>
      </c>
      <c r="D1928" s="0" t="n">
        <v>0</v>
      </c>
      <c r="E1928" s="19" t="n">
        <v>37.6666666666667</v>
      </c>
    </row>
    <row r="1929" customFormat="false" ht="15" hidden="false" customHeight="false" outlineLevel="0" collapsed="false">
      <c r="A1929" s="0" t="n">
        <v>1928</v>
      </c>
      <c r="B1929" s="18" t="n">
        <v>479630.732195749</v>
      </c>
      <c r="C1929" s="18" t="n">
        <v>0</v>
      </c>
      <c r="D1929" s="0" t="n">
        <v>0</v>
      </c>
      <c r="E1929" s="19" t="n">
        <v>34.5</v>
      </c>
    </row>
    <row r="1930" customFormat="false" ht="15" hidden="false" customHeight="false" outlineLevel="0" collapsed="false">
      <c r="A1930" s="0" t="n">
        <v>1929</v>
      </c>
      <c r="B1930" s="18" t="n">
        <v>1192515.28122262</v>
      </c>
      <c r="C1930" s="18" t="n">
        <v>0</v>
      </c>
      <c r="D1930" s="0" t="n">
        <v>0</v>
      </c>
      <c r="E1930" s="19" t="n">
        <v>43.5833333333333</v>
      </c>
    </row>
    <row r="1931" customFormat="false" ht="15" hidden="false" customHeight="false" outlineLevel="0" collapsed="false">
      <c r="A1931" s="0" t="n">
        <v>1930</v>
      </c>
      <c r="B1931" s="18" t="n">
        <v>1471362.53647646</v>
      </c>
      <c r="C1931" s="18" t="n">
        <v>3269771.26137397</v>
      </c>
      <c r="D1931" s="0" t="n">
        <v>1</v>
      </c>
    </row>
    <row r="1932" customFormat="false" ht="15" hidden="false" customHeight="false" outlineLevel="0" collapsed="false">
      <c r="A1932" s="0" t="n">
        <v>1931</v>
      </c>
      <c r="B1932" s="18" t="n">
        <v>782808.262054842</v>
      </c>
      <c r="C1932" s="18" t="n">
        <v>0</v>
      </c>
      <c r="D1932" s="0" t="n">
        <v>0</v>
      </c>
      <c r="E1932" s="19" t="n">
        <v>52.5833333333333</v>
      </c>
    </row>
    <row r="1933" customFormat="false" ht="15" hidden="false" customHeight="false" outlineLevel="0" collapsed="false">
      <c r="A1933" s="0" t="n">
        <v>1932</v>
      </c>
      <c r="B1933" s="18" t="n">
        <v>1666131.62572627</v>
      </c>
      <c r="C1933" s="18" t="n">
        <v>131373.258536435</v>
      </c>
      <c r="D1933" s="0" t="n">
        <v>1</v>
      </c>
    </row>
    <row r="1934" customFormat="false" ht="15" hidden="false" customHeight="false" outlineLevel="0" collapsed="false">
      <c r="A1934" s="0" t="n">
        <v>1933</v>
      </c>
      <c r="B1934" s="18" t="n">
        <v>1078472.88518486</v>
      </c>
      <c r="C1934" s="18" t="n">
        <v>0</v>
      </c>
      <c r="D1934" s="0" t="n">
        <v>0</v>
      </c>
      <c r="E1934" s="19" t="n">
        <v>52.5833333333333</v>
      </c>
    </row>
    <row r="1935" customFormat="false" ht="15" hidden="false" customHeight="false" outlineLevel="0" collapsed="false">
      <c r="A1935" s="0" t="n">
        <v>1934</v>
      </c>
      <c r="B1935" s="18" t="n">
        <v>560974.089191977</v>
      </c>
      <c r="C1935" s="18" t="n">
        <v>0</v>
      </c>
      <c r="D1935" s="0" t="n">
        <v>0</v>
      </c>
      <c r="E1935" s="19" t="n">
        <v>40.25</v>
      </c>
    </row>
    <row r="1936" customFormat="false" ht="15" hidden="false" customHeight="false" outlineLevel="0" collapsed="false">
      <c r="A1936" s="0" t="n">
        <v>1935</v>
      </c>
      <c r="B1936" s="18" t="n">
        <v>827851.314412333</v>
      </c>
      <c r="C1936" s="18" t="n">
        <v>2016628.45859528</v>
      </c>
      <c r="D1936" s="0" t="n">
        <v>1</v>
      </c>
    </row>
    <row r="1937" customFormat="false" ht="15" hidden="false" customHeight="false" outlineLevel="0" collapsed="false">
      <c r="A1937" s="0" t="n">
        <v>1936</v>
      </c>
      <c r="B1937" s="18" t="n">
        <v>892680.447907163</v>
      </c>
      <c r="C1937" s="18" t="n">
        <v>6782672.64449164</v>
      </c>
      <c r="D1937" s="0" t="n">
        <v>1</v>
      </c>
    </row>
    <row r="1938" customFormat="false" ht="15" hidden="false" customHeight="false" outlineLevel="0" collapsed="false">
      <c r="A1938" s="0" t="n">
        <v>1937</v>
      </c>
      <c r="B1938" s="18" t="n">
        <v>1368095.80050538</v>
      </c>
      <c r="C1938" s="18" t="n">
        <v>1654452.4812288</v>
      </c>
      <c r="D1938" s="0" t="n">
        <v>1</v>
      </c>
    </row>
    <row r="1939" customFormat="false" ht="15" hidden="false" customHeight="false" outlineLevel="0" collapsed="false">
      <c r="A1939" s="0" t="n">
        <v>1938</v>
      </c>
      <c r="B1939" s="18" t="n">
        <v>785426.257101652</v>
      </c>
      <c r="C1939" s="18" t="n">
        <v>0</v>
      </c>
      <c r="D1939" s="0" t="n">
        <v>0</v>
      </c>
      <c r="E1939" s="19" t="n">
        <v>46.4166666666667</v>
      </c>
    </row>
    <row r="1940" customFormat="false" ht="15" hidden="false" customHeight="false" outlineLevel="0" collapsed="false">
      <c r="A1940" s="0" t="n">
        <v>1939</v>
      </c>
      <c r="B1940" s="18" t="n">
        <v>468880.516787001</v>
      </c>
      <c r="C1940" s="18" t="n">
        <v>0</v>
      </c>
      <c r="D1940" s="0" t="n">
        <v>0</v>
      </c>
      <c r="E1940" s="19" t="n">
        <v>37.0833333333333</v>
      </c>
    </row>
    <row r="1941" customFormat="false" ht="15" hidden="false" customHeight="false" outlineLevel="0" collapsed="false">
      <c r="A1941" s="0" t="n">
        <v>1940</v>
      </c>
      <c r="B1941" s="18" t="n">
        <v>527665.89460973</v>
      </c>
      <c r="C1941" s="18" t="n">
        <v>0</v>
      </c>
      <c r="D1941" s="0" t="n">
        <v>0</v>
      </c>
      <c r="E1941" s="19" t="n">
        <v>34.4166666666667</v>
      </c>
    </row>
    <row r="1942" customFormat="false" ht="15" hidden="false" customHeight="false" outlineLevel="0" collapsed="false">
      <c r="A1942" s="0" t="n">
        <v>1941</v>
      </c>
      <c r="B1942" s="18" t="n">
        <v>1331161.54804445</v>
      </c>
      <c r="C1942" s="18" t="n">
        <v>1361390.52123039</v>
      </c>
      <c r="D1942" s="0" t="n">
        <v>1</v>
      </c>
    </row>
    <row r="1943" customFormat="false" ht="15" hidden="false" customHeight="false" outlineLevel="0" collapsed="false">
      <c r="A1943" s="0" t="n">
        <v>1942</v>
      </c>
      <c r="B1943" s="18" t="n">
        <v>663229.577270666</v>
      </c>
      <c r="C1943" s="18" t="n">
        <v>0</v>
      </c>
      <c r="D1943" s="0" t="n">
        <v>0</v>
      </c>
      <c r="E1943" s="19" t="n">
        <v>36.5833333333333</v>
      </c>
    </row>
    <row r="1944" customFormat="false" ht="15" hidden="false" customHeight="false" outlineLevel="0" collapsed="false">
      <c r="A1944" s="0" t="n">
        <v>1943</v>
      </c>
      <c r="B1944" s="18" t="n">
        <v>513722.380948447</v>
      </c>
      <c r="C1944" s="18" t="n">
        <v>0</v>
      </c>
      <c r="D1944" s="0" t="n">
        <v>0</v>
      </c>
      <c r="E1944" s="19" t="n">
        <v>35.6666666666667</v>
      </c>
    </row>
    <row r="1945" customFormat="false" ht="15" hidden="false" customHeight="false" outlineLevel="0" collapsed="false">
      <c r="A1945" s="0" t="n">
        <v>1944</v>
      </c>
      <c r="B1945" s="18" t="n">
        <v>1625707.85168835</v>
      </c>
      <c r="C1945" s="18" t="n">
        <v>6446.65917940467</v>
      </c>
      <c r="D1945" s="0" t="n">
        <v>1</v>
      </c>
    </row>
    <row r="1946" customFormat="false" ht="15" hidden="false" customHeight="false" outlineLevel="0" collapsed="false">
      <c r="A1946" s="0" t="n">
        <v>1945</v>
      </c>
      <c r="B1946" s="18" t="n">
        <v>579563.873122427</v>
      </c>
      <c r="C1946" s="18" t="n">
        <v>0</v>
      </c>
      <c r="D1946" s="0" t="n">
        <v>0</v>
      </c>
      <c r="E1946" s="19" t="n">
        <v>40.25</v>
      </c>
    </row>
    <row r="1947" customFormat="false" ht="15" hidden="false" customHeight="false" outlineLevel="0" collapsed="false">
      <c r="A1947" s="0" t="n">
        <v>1946</v>
      </c>
      <c r="B1947" s="18" t="n">
        <v>1499482.74311692</v>
      </c>
      <c r="C1947" s="18" t="n">
        <v>0</v>
      </c>
      <c r="D1947" s="0" t="n">
        <v>0</v>
      </c>
      <c r="E1947" s="19" t="n">
        <v>47.6666666666667</v>
      </c>
    </row>
    <row r="1948" customFormat="false" ht="15" hidden="false" customHeight="false" outlineLevel="0" collapsed="false">
      <c r="A1948" s="0" t="n">
        <v>1947</v>
      </c>
      <c r="B1948" s="18" t="n">
        <v>700653.322701467</v>
      </c>
      <c r="C1948" s="18" t="n">
        <v>0</v>
      </c>
      <c r="D1948" s="0" t="n">
        <v>0</v>
      </c>
      <c r="E1948" s="19" t="n">
        <v>39.75</v>
      </c>
    </row>
    <row r="1949" customFormat="false" ht="15" hidden="false" customHeight="false" outlineLevel="0" collapsed="false">
      <c r="A1949" s="0" t="n">
        <v>1948</v>
      </c>
      <c r="B1949" s="18" t="n">
        <v>1821971.1391479</v>
      </c>
      <c r="C1949" s="18" t="n">
        <v>5144394.92382815</v>
      </c>
      <c r="D1949" s="0" t="n">
        <v>1</v>
      </c>
    </row>
    <row r="1950" customFormat="false" ht="15" hidden="false" customHeight="false" outlineLevel="0" collapsed="false">
      <c r="A1950" s="0" t="n">
        <v>1949</v>
      </c>
      <c r="B1950" s="18" t="n">
        <v>968701.17376602</v>
      </c>
      <c r="C1950" s="18" t="n">
        <v>0</v>
      </c>
      <c r="D1950" s="0" t="n">
        <v>0</v>
      </c>
      <c r="E1950" s="19" t="n">
        <v>43.75</v>
      </c>
    </row>
    <row r="1951" customFormat="false" ht="15" hidden="false" customHeight="false" outlineLevel="0" collapsed="false">
      <c r="A1951" s="0" t="n">
        <v>1950</v>
      </c>
      <c r="B1951" s="18" t="n">
        <v>677133.932490078</v>
      </c>
      <c r="C1951" s="18" t="n">
        <v>0</v>
      </c>
      <c r="D1951" s="0" t="n">
        <v>0</v>
      </c>
      <c r="E1951" s="19" t="n">
        <v>40.6666666666667</v>
      </c>
    </row>
    <row r="1952" customFormat="false" ht="15" hidden="false" customHeight="false" outlineLevel="0" collapsed="false">
      <c r="A1952" s="0" t="n">
        <v>1951</v>
      </c>
      <c r="B1952" s="18" t="n">
        <v>1406470.48307193</v>
      </c>
      <c r="C1952" s="18" t="n">
        <v>97786.2104359349</v>
      </c>
      <c r="D1952" s="0" t="n">
        <v>1</v>
      </c>
    </row>
    <row r="1953" customFormat="false" ht="15" hidden="false" customHeight="false" outlineLevel="0" collapsed="false">
      <c r="A1953" s="0" t="n">
        <v>1952</v>
      </c>
      <c r="B1953" s="18" t="n">
        <v>2150860.70741996</v>
      </c>
      <c r="C1953" s="18" t="n">
        <v>2825218.28200521</v>
      </c>
      <c r="D1953" s="0" t="n">
        <v>1</v>
      </c>
    </row>
    <row r="1954" customFormat="false" ht="15" hidden="false" customHeight="false" outlineLevel="0" collapsed="false">
      <c r="A1954" s="0" t="n">
        <v>1953</v>
      </c>
      <c r="B1954" s="18" t="n">
        <v>695344.283181957</v>
      </c>
      <c r="C1954" s="18" t="n">
        <v>0</v>
      </c>
      <c r="D1954" s="0" t="n">
        <v>0</v>
      </c>
      <c r="E1954" s="19" t="n">
        <v>42.1666666666667</v>
      </c>
    </row>
    <row r="1955" customFormat="false" ht="15" hidden="false" customHeight="false" outlineLevel="0" collapsed="false">
      <c r="A1955" s="0" t="n">
        <v>1954</v>
      </c>
      <c r="B1955" s="18" t="n">
        <v>1234136.86778944</v>
      </c>
      <c r="C1955" s="18" t="n">
        <v>1968843.64807456</v>
      </c>
      <c r="D1955" s="0" t="n">
        <v>1</v>
      </c>
    </row>
    <row r="1956" customFormat="false" ht="15" hidden="false" customHeight="false" outlineLevel="0" collapsed="false">
      <c r="A1956" s="0" t="n">
        <v>1955</v>
      </c>
      <c r="B1956" s="18" t="n">
        <v>1210989.13927521</v>
      </c>
      <c r="C1956" s="18" t="n">
        <v>4636101.80659586</v>
      </c>
      <c r="D1956" s="0" t="n">
        <v>1</v>
      </c>
    </row>
    <row r="1957" customFormat="false" ht="15" hidden="false" customHeight="false" outlineLevel="0" collapsed="false">
      <c r="A1957" s="0" t="n">
        <v>1956</v>
      </c>
      <c r="B1957" s="18" t="n">
        <v>1030626.22364082</v>
      </c>
      <c r="C1957" s="18" t="n">
        <v>0</v>
      </c>
      <c r="D1957" s="0" t="n">
        <v>0</v>
      </c>
      <c r="E1957" s="19" t="n">
        <v>45.6666666666667</v>
      </c>
    </row>
    <row r="1958" customFormat="false" ht="15" hidden="false" customHeight="false" outlineLevel="0" collapsed="false">
      <c r="A1958" s="0" t="n">
        <v>1957</v>
      </c>
      <c r="B1958" s="18" t="n">
        <v>726512.178171089</v>
      </c>
      <c r="C1958" s="18" t="n">
        <v>0</v>
      </c>
      <c r="D1958" s="0" t="n">
        <v>0</v>
      </c>
      <c r="E1958" s="19" t="n">
        <v>45.3333333333333</v>
      </c>
    </row>
    <row r="1959" customFormat="false" ht="15" hidden="false" customHeight="false" outlineLevel="0" collapsed="false">
      <c r="A1959" s="0" t="n">
        <v>1958</v>
      </c>
      <c r="B1959" s="18" t="n">
        <v>1447787.99947764</v>
      </c>
      <c r="C1959" s="18" t="n">
        <v>3472338.3010443</v>
      </c>
      <c r="D1959" s="0" t="n">
        <v>1</v>
      </c>
    </row>
    <row r="1960" customFormat="false" ht="15" hidden="false" customHeight="false" outlineLevel="0" collapsed="false">
      <c r="A1960" s="0" t="n">
        <v>1959</v>
      </c>
      <c r="B1960" s="18" t="n">
        <v>1034623.95022209</v>
      </c>
      <c r="C1960" s="18" t="n">
        <v>0</v>
      </c>
      <c r="D1960" s="0" t="n">
        <v>0</v>
      </c>
      <c r="E1960" s="19" t="n">
        <v>37.9166666666667</v>
      </c>
    </row>
    <row r="1961" customFormat="false" ht="15" hidden="false" customHeight="false" outlineLevel="0" collapsed="false">
      <c r="A1961" s="0" t="n">
        <v>1960</v>
      </c>
      <c r="B1961" s="18" t="n">
        <v>3071284.76136898</v>
      </c>
      <c r="C1961" s="18" t="n">
        <v>7605383.28981002</v>
      </c>
      <c r="D1961" s="0" t="n">
        <v>1</v>
      </c>
    </row>
    <row r="1962" customFormat="false" ht="15" hidden="false" customHeight="false" outlineLevel="0" collapsed="false">
      <c r="A1962" s="0" t="n">
        <v>1961</v>
      </c>
      <c r="B1962" s="18" t="n">
        <v>576532.858180025</v>
      </c>
      <c r="C1962" s="18" t="n">
        <v>0</v>
      </c>
      <c r="D1962" s="0" t="n">
        <v>0</v>
      </c>
      <c r="E1962" s="19" t="n">
        <v>34.25</v>
      </c>
    </row>
    <row r="1963" customFormat="false" ht="15" hidden="false" customHeight="false" outlineLevel="0" collapsed="false">
      <c r="A1963" s="0" t="n">
        <v>1962</v>
      </c>
      <c r="B1963" s="18" t="n">
        <v>437514.272164782</v>
      </c>
      <c r="C1963" s="18" t="n">
        <v>0</v>
      </c>
      <c r="D1963" s="0" t="n">
        <v>0</v>
      </c>
      <c r="E1963" s="19" t="n">
        <v>34.0833333333333</v>
      </c>
    </row>
    <row r="1964" customFormat="false" ht="15" hidden="false" customHeight="false" outlineLevel="0" collapsed="false">
      <c r="A1964" s="0" t="n">
        <v>1963</v>
      </c>
      <c r="B1964" s="18" t="n">
        <v>653805.380090227</v>
      </c>
      <c r="C1964" s="18" t="n">
        <v>0</v>
      </c>
      <c r="D1964" s="0" t="n">
        <v>0</v>
      </c>
      <c r="E1964" s="19" t="n">
        <v>35.0833333333333</v>
      </c>
    </row>
    <row r="1965" customFormat="false" ht="15" hidden="false" customHeight="false" outlineLevel="0" collapsed="false">
      <c r="A1965" s="0" t="n">
        <v>1964</v>
      </c>
      <c r="B1965" s="18" t="n">
        <v>846087.593236608</v>
      </c>
      <c r="C1965" s="18" t="n">
        <v>0</v>
      </c>
      <c r="D1965" s="0" t="n">
        <v>0</v>
      </c>
      <c r="E1965" s="19" t="n">
        <v>41.9166666666667</v>
      </c>
    </row>
    <row r="1966" customFormat="false" ht="15" hidden="false" customHeight="false" outlineLevel="0" collapsed="false">
      <c r="A1966" s="0" t="n">
        <v>1965</v>
      </c>
      <c r="B1966" s="18" t="n">
        <v>619417.265511842</v>
      </c>
      <c r="C1966" s="18" t="n">
        <v>0</v>
      </c>
      <c r="D1966" s="0" t="n">
        <v>0</v>
      </c>
      <c r="E1966" s="19" t="n">
        <v>53.1666666666667</v>
      </c>
    </row>
    <row r="1967" customFormat="false" ht="15" hidden="false" customHeight="false" outlineLevel="0" collapsed="false">
      <c r="A1967" s="0" t="n">
        <v>1966</v>
      </c>
      <c r="B1967" s="18" t="n">
        <v>1292870.68711317</v>
      </c>
      <c r="C1967" s="18" t="n">
        <v>3361088.48958302</v>
      </c>
      <c r="D1967" s="0" t="n">
        <v>1</v>
      </c>
    </row>
    <row r="1968" customFormat="false" ht="15" hidden="false" customHeight="false" outlineLevel="0" collapsed="false">
      <c r="A1968" s="0" t="n">
        <v>1967</v>
      </c>
      <c r="B1968" s="18" t="n">
        <v>747482.911218405</v>
      </c>
      <c r="C1968" s="18" t="n">
        <v>9183251.74458921</v>
      </c>
      <c r="D1968" s="0" t="n">
        <v>1</v>
      </c>
    </row>
    <row r="1969" customFormat="false" ht="15" hidden="false" customHeight="false" outlineLevel="0" collapsed="false">
      <c r="A1969" s="0" t="n">
        <v>1968</v>
      </c>
      <c r="B1969" s="18" t="n">
        <v>999939.248811683</v>
      </c>
      <c r="C1969" s="18" t="n">
        <v>3835832.23347165</v>
      </c>
      <c r="D1969" s="0" t="n">
        <v>1</v>
      </c>
    </row>
    <row r="1970" customFormat="false" ht="15" hidden="false" customHeight="false" outlineLevel="0" collapsed="false">
      <c r="A1970" s="0" t="n">
        <v>1969</v>
      </c>
      <c r="B1970" s="18" t="n">
        <v>1320092.99874673</v>
      </c>
      <c r="C1970" s="18" t="n">
        <v>0</v>
      </c>
      <c r="D1970" s="0" t="n">
        <v>0</v>
      </c>
      <c r="E1970" s="19" t="n">
        <v>40.6666666666667</v>
      </c>
    </row>
    <row r="1971" customFormat="false" ht="15" hidden="false" customHeight="false" outlineLevel="0" collapsed="false">
      <c r="A1971" s="0" t="n">
        <v>1970</v>
      </c>
      <c r="B1971" s="18" t="n">
        <v>1427237.23187005</v>
      </c>
      <c r="C1971" s="18" t="n">
        <v>218782.000568866</v>
      </c>
      <c r="D1971" s="0" t="n">
        <v>1</v>
      </c>
    </row>
    <row r="1972" customFormat="false" ht="15" hidden="false" customHeight="false" outlineLevel="0" collapsed="false">
      <c r="A1972" s="0" t="n">
        <v>1971</v>
      </c>
      <c r="B1972" s="18" t="n">
        <v>734811.031313989</v>
      </c>
      <c r="C1972" s="18" t="n">
        <v>0</v>
      </c>
      <c r="D1972" s="0" t="n">
        <v>0</v>
      </c>
      <c r="E1972" s="19" t="n">
        <v>34.6666666666667</v>
      </c>
    </row>
    <row r="1973" customFormat="false" ht="15" hidden="false" customHeight="false" outlineLevel="0" collapsed="false">
      <c r="A1973" s="0" t="n">
        <v>1972</v>
      </c>
      <c r="B1973" s="18" t="n">
        <v>1508959.50658137</v>
      </c>
      <c r="C1973" s="18" t="n">
        <v>0</v>
      </c>
      <c r="D1973" s="0" t="n">
        <v>0</v>
      </c>
      <c r="E1973" s="19" t="n">
        <v>48.8333333333333</v>
      </c>
    </row>
    <row r="1974" customFormat="false" ht="15" hidden="false" customHeight="false" outlineLevel="0" collapsed="false">
      <c r="A1974" s="0" t="n">
        <v>1973</v>
      </c>
      <c r="B1974" s="18" t="n">
        <v>1708818.69621778</v>
      </c>
      <c r="C1974" s="18" t="n">
        <v>16907548.9587427</v>
      </c>
      <c r="D1974" s="0" t="n">
        <v>1</v>
      </c>
    </row>
    <row r="1975" customFormat="false" ht="15" hidden="false" customHeight="false" outlineLevel="0" collapsed="false">
      <c r="A1975" s="0" t="n">
        <v>1974</v>
      </c>
      <c r="B1975" s="18" t="n">
        <v>1179754.95618224</v>
      </c>
      <c r="C1975" s="18" t="n">
        <v>0</v>
      </c>
      <c r="D1975" s="0" t="n">
        <v>0</v>
      </c>
      <c r="E1975" s="19" t="n">
        <v>50.4166666666667</v>
      </c>
    </row>
    <row r="1976" customFormat="false" ht="15" hidden="false" customHeight="false" outlineLevel="0" collapsed="false">
      <c r="A1976" s="0" t="n">
        <v>1975</v>
      </c>
      <c r="B1976" s="18" t="n">
        <v>638270.321705498</v>
      </c>
      <c r="C1976" s="18" t="n">
        <v>0</v>
      </c>
      <c r="D1976" s="0" t="n">
        <v>0</v>
      </c>
      <c r="E1976" s="19" t="n">
        <v>39.5</v>
      </c>
    </row>
    <row r="1977" customFormat="false" ht="15" hidden="false" customHeight="false" outlineLevel="0" collapsed="false">
      <c r="A1977" s="0" t="n">
        <v>1976</v>
      </c>
      <c r="B1977" s="18" t="n">
        <v>2305168.90502322</v>
      </c>
      <c r="C1977" s="18" t="n">
        <v>8789203.65497017</v>
      </c>
      <c r="D1977" s="0" t="n">
        <v>1</v>
      </c>
    </row>
    <row r="1978" customFormat="false" ht="15" hidden="false" customHeight="false" outlineLevel="0" collapsed="false">
      <c r="A1978" s="0" t="n">
        <v>1977</v>
      </c>
      <c r="B1978" s="18" t="n">
        <v>1640046.44256349</v>
      </c>
      <c r="C1978" s="18" t="n">
        <v>243302.747318589</v>
      </c>
      <c r="D1978" s="0" t="n">
        <v>1</v>
      </c>
    </row>
    <row r="1979" customFormat="false" ht="15" hidden="false" customHeight="false" outlineLevel="0" collapsed="false">
      <c r="A1979" s="0" t="n">
        <v>1978</v>
      </c>
      <c r="B1979" s="18" t="n">
        <v>611037.134710979</v>
      </c>
      <c r="C1979" s="18" t="n">
        <v>0</v>
      </c>
      <c r="D1979" s="0" t="n">
        <v>0</v>
      </c>
      <c r="E1979" s="19" t="n">
        <v>31.8333333333333</v>
      </c>
    </row>
    <row r="1980" customFormat="false" ht="15" hidden="false" customHeight="false" outlineLevel="0" collapsed="false">
      <c r="A1980" s="0" t="n">
        <v>1979</v>
      </c>
      <c r="B1980" s="18" t="n">
        <v>260653.241798499</v>
      </c>
      <c r="C1980" s="18" t="n">
        <v>0</v>
      </c>
      <c r="D1980" s="0" t="n">
        <v>0</v>
      </c>
      <c r="E1980" s="19" t="n">
        <v>31</v>
      </c>
    </row>
    <row r="1981" customFormat="false" ht="15" hidden="false" customHeight="false" outlineLevel="0" collapsed="false">
      <c r="A1981" s="0" t="n">
        <v>1980</v>
      </c>
      <c r="B1981" s="18" t="n">
        <v>540712.798759164</v>
      </c>
      <c r="C1981" s="18" t="n">
        <v>0</v>
      </c>
      <c r="D1981" s="0" t="n">
        <v>0</v>
      </c>
      <c r="E1981" s="19" t="n">
        <v>34.0833333333333</v>
      </c>
    </row>
    <row r="1982" customFormat="false" ht="15" hidden="false" customHeight="false" outlineLevel="0" collapsed="false">
      <c r="A1982" s="0" t="n">
        <v>1981</v>
      </c>
      <c r="B1982" s="18" t="n">
        <v>1343054.9994843</v>
      </c>
      <c r="C1982" s="18" t="n">
        <v>4537318.61363586</v>
      </c>
      <c r="D1982" s="0" t="n">
        <v>1</v>
      </c>
    </row>
    <row r="1983" customFormat="false" ht="15" hidden="false" customHeight="false" outlineLevel="0" collapsed="false">
      <c r="A1983" s="0" t="n">
        <v>1982</v>
      </c>
      <c r="B1983" s="18" t="n">
        <v>683056.20181577</v>
      </c>
      <c r="C1983" s="18" t="n">
        <v>0</v>
      </c>
      <c r="D1983" s="0" t="n">
        <v>0</v>
      </c>
      <c r="E1983" s="19" t="n">
        <v>36.25</v>
      </c>
    </row>
    <row r="1984" customFormat="false" ht="15" hidden="false" customHeight="false" outlineLevel="0" collapsed="false">
      <c r="A1984" s="0" t="n">
        <v>1983</v>
      </c>
      <c r="B1984" s="18" t="n">
        <v>553564.675156894</v>
      </c>
      <c r="C1984" s="18" t="n">
        <v>0</v>
      </c>
      <c r="D1984" s="0" t="n">
        <v>0</v>
      </c>
      <c r="E1984" s="19" t="n">
        <v>35.9166666666667</v>
      </c>
    </row>
    <row r="1985" customFormat="false" ht="15" hidden="false" customHeight="false" outlineLevel="0" collapsed="false">
      <c r="A1985" s="0" t="n">
        <v>1984</v>
      </c>
      <c r="B1985" s="18" t="n">
        <v>437722.659414293</v>
      </c>
      <c r="C1985" s="18" t="n">
        <v>0</v>
      </c>
      <c r="D1985" s="0" t="n">
        <v>0</v>
      </c>
      <c r="E1985" s="19" t="n">
        <v>34.5833333333333</v>
      </c>
    </row>
    <row r="1986" customFormat="false" ht="15" hidden="false" customHeight="false" outlineLevel="0" collapsed="false">
      <c r="A1986" s="0" t="n">
        <v>1985</v>
      </c>
      <c r="B1986" s="18" t="n">
        <v>719045.669795626</v>
      </c>
      <c r="C1986" s="18" t="n">
        <v>0</v>
      </c>
      <c r="D1986" s="0" t="n">
        <v>0</v>
      </c>
      <c r="E1986" s="19" t="n">
        <v>38</v>
      </c>
    </row>
    <row r="1987" customFormat="false" ht="15" hidden="false" customHeight="false" outlineLevel="0" collapsed="false">
      <c r="A1987" s="0" t="n">
        <v>1986</v>
      </c>
      <c r="B1987" s="18" t="n">
        <v>1485770.43750583</v>
      </c>
      <c r="C1987" s="18" t="n">
        <v>0</v>
      </c>
      <c r="D1987" s="0" t="n">
        <v>0</v>
      </c>
      <c r="E1987" s="19" t="n">
        <v>48.75</v>
      </c>
    </row>
    <row r="1988" customFormat="false" ht="15" hidden="false" customHeight="false" outlineLevel="0" collapsed="false">
      <c r="A1988" s="0" t="n">
        <v>1987</v>
      </c>
      <c r="B1988" s="18" t="n">
        <v>882139.643377986</v>
      </c>
      <c r="C1988" s="18" t="n">
        <v>0</v>
      </c>
      <c r="D1988" s="0" t="n">
        <v>0</v>
      </c>
      <c r="E1988" s="19" t="n">
        <v>47.25</v>
      </c>
    </row>
    <row r="1989" customFormat="false" ht="15" hidden="false" customHeight="false" outlineLevel="0" collapsed="false">
      <c r="A1989" s="0" t="n">
        <v>1988</v>
      </c>
      <c r="B1989" s="18" t="n">
        <v>322232.422295785</v>
      </c>
      <c r="C1989" s="18" t="n">
        <v>0</v>
      </c>
      <c r="D1989" s="0" t="n">
        <v>0</v>
      </c>
      <c r="E1989" s="19" t="n">
        <v>32</v>
      </c>
    </row>
    <row r="1990" customFormat="false" ht="15" hidden="false" customHeight="false" outlineLevel="0" collapsed="false">
      <c r="A1990" s="0" t="n">
        <v>1989</v>
      </c>
      <c r="B1990" s="18" t="n">
        <v>678208.053401469</v>
      </c>
      <c r="C1990" s="18" t="n">
        <v>0</v>
      </c>
      <c r="D1990" s="0" t="n">
        <v>0</v>
      </c>
      <c r="E1990" s="19" t="n">
        <v>39</v>
      </c>
    </row>
    <row r="1991" customFormat="false" ht="15" hidden="false" customHeight="false" outlineLevel="0" collapsed="false">
      <c r="A1991" s="0" t="n">
        <v>1990</v>
      </c>
      <c r="B1991" s="18" t="n">
        <v>1236299.02689515</v>
      </c>
      <c r="C1991" s="18" t="n">
        <v>2133661.18867571</v>
      </c>
      <c r="D1991" s="0" t="n">
        <v>1</v>
      </c>
    </row>
    <row r="1992" customFormat="false" ht="15" hidden="false" customHeight="false" outlineLevel="0" collapsed="false">
      <c r="A1992" s="0" t="n">
        <v>1991</v>
      </c>
      <c r="B1992" s="18" t="n">
        <v>898700.743297607</v>
      </c>
      <c r="C1992" s="18" t="n">
        <v>4270789.65389272</v>
      </c>
      <c r="D1992" s="0" t="n">
        <v>1</v>
      </c>
    </row>
    <row r="1993" customFormat="false" ht="15" hidden="false" customHeight="false" outlineLevel="0" collapsed="false">
      <c r="A1993" s="0" t="n">
        <v>1992</v>
      </c>
      <c r="B1993" s="18" t="n">
        <v>1025805.92235268</v>
      </c>
      <c r="C1993" s="18" t="n">
        <v>832346.898246129</v>
      </c>
      <c r="D1993" s="0" t="n">
        <v>1</v>
      </c>
    </row>
    <row r="1994" customFormat="false" ht="15" hidden="false" customHeight="false" outlineLevel="0" collapsed="false">
      <c r="A1994" s="0" t="n">
        <v>1993</v>
      </c>
      <c r="B1994" s="18" t="n">
        <v>946125.233286267</v>
      </c>
      <c r="C1994" s="18" t="n">
        <v>0</v>
      </c>
      <c r="D1994" s="0" t="n">
        <v>0</v>
      </c>
      <c r="E1994" s="19" t="n">
        <v>51.1666666666667</v>
      </c>
    </row>
    <row r="1995" customFormat="false" ht="15" hidden="false" customHeight="false" outlineLevel="0" collapsed="false">
      <c r="A1995" s="0" t="n">
        <v>1994</v>
      </c>
      <c r="B1995" s="18" t="n">
        <v>1062542.57561524</v>
      </c>
      <c r="C1995" s="18" t="n">
        <v>0</v>
      </c>
      <c r="D1995" s="0" t="n">
        <v>0</v>
      </c>
      <c r="E1995" s="19" t="n">
        <v>41.3333333333333</v>
      </c>
    </row>
    <row r="1996" customFormat="false" ht="15" hidden="false" customHeight="false" outlineLevel="0" collapsed="false">
      <c r="A1996" s="0" t="n">
        <v>1995</v>
      </c>
      <c r="B1996" s="18" t="n">
        <v>1151322.76025904</v>
      </c>
      <c r="C1996" s="18" t="n">
        <v>3041467.1942134</v>
      </c>
      <c r="D1996" s="0" t="n">
        <v>1</v>
      </c>
    </row>
    <row r="1997" customFormat="false" ht="15" hidden="false" customHeight="false" outlineLevel="0" collapsed="false">
      <c r="A1997" s="0" t="n">
        <v>1996</v>
      </c>
      <c r="B1997" s="18" t="n">
        <v>1278408.71746256</v>
      </c>
      <c r="C1997" s="18" t="n">
        <v>1617512.47000807</v>
      </c>
      <c r="D1997" s="0" t="n">
        <v>1</v>
      </c>
    </row>
    <row r="1998" customFormat="false" ht="15" hidden="false" customHeight="false" outlineLevel="0" collapsed="false">
      <c r="A1998" s="0" t="n">
        <v>1997</v>
      </c>
      <c r="B1998" s="18" t="n">
        <v>386916.967722261</v>
      </c>
      <c r="C1998" s="18" t="n">
        <v>0</v>
      </c>
      <c r="D1998" s="0" t="n">
        <v>0</v>
      </c>
      <c r="E1998" s="19" t="n">
        <v>31</v>
      </c>
    </row>
    <row r="1999" customFormat="false" ht="15" hidden="false" customHeight="false" outlineLevel="0" collapsed="false">
      <c r="A1999" s="0" t="n">
        <v>1998</v>
      </c>
      <c r="B1999" s="18" t="n">
        <v>1451555.79347771</v>
      </c>
      <c r="C1999" s="18" t="n">
        <v>10382991.0968053</v>
      </c>
      <c r="D1999" s="0" t="n">
        <v>1</v>
      </c>
    </row>
    <row r="2000" customFormat="false" ht="15" hidden="false" customHeight="false" outlineLevel="0" collapsed="false">
      <c r="A2000" s="0" t="n">
        <v>1999</v>
      </c>
      <c r="B2000" s="18" t="n">
        <v>333369.617298615</v>
      </c>
      <c r="C2000" s="18" t="n">
        <v>0</v>
      </c>
      <c r="D2000" s="0" t="n">
        <v>0</v>
      </c>
      <c r="E2000" s="19" t="n">
        <v>30.1666666666667</v>
      </c>
    </row>
    <row r="2001" customFormat="false" ht="15" hidden="false" customHeight="false" outlineLevel="0" collapsed="false">
      <c r="A2001" s="0" t="n">
        <v>2000</v>
      </c>
      <c r="B2001" s="18" t="n">
        <v>1452470.11286171</v>
      </c>
      <c r="C2001" s="18" t="n">
        <v>1516066.33082824</v>
      </c>
      <c r="D2001" s="0" t="n">
        <v>1</v>
      </c>
    </row>
    <row r="2002" customFormat="false" ht="15" hidden="false" customHeight="false" outlineLevel="0" collapsed="false">
      <c r="A2002" s="0" t="n">
        <v>2001</v>
      </c>
      <c r="B2002" s="18" t="n">
        <v>674016.542948277</v>
      </c>
      <c r="C2002" s="18" t="n">
        <v>0</v>
      </c>
      <c r="D2002" s="0" t="n">
        <v>0</v>
      </c>
      <c r="E2002" s="19" t="n">
        <v>41</v>
      </c>
    </row>
    <row r="2003" customFormat="false" ht="15" hidden="false" customHeight="false" outlineLevel="0" collapsed="false">
      <c r="A2003" s="0" t="n">
        <v>2002</v>
      </c>
      <c r="B2003" s="18" t="n">
        <v>756072.195071593</v>
      </c>
      <c r="C2003" s="18" t="n">
        <v>0</v>
      </c>
      <c r="D2003" s="0" t="n">
        <v>0</v>
      </c>
      <c r="E2003" s="19" t="n">
        <v>34.5</v>
      </c>
    </row>
    <row r="2004" customFormat="false" ht="15" hidden="false" customHeight="false" outlineLevel="0" collapsed="false">
      <c r="A2004" s="0" t="n">
        <v>2003</v>
      </c>
      <c r="B2004" s="18" t="n">
        <v>550845.289441527</v>
      </c>
      <c r="C2004" s="18" t="n">
        <v>0</v>
      </c>
      <c r="D2004" s="0" t="n">
        <v>0</v>
      </c>
      <c r="E2004" s="19" t="n">
        <v>35.3333333333333</v>
      </c>
    </row>
    <row r="2005" customFormat="false" ht="15" hidden="false" customHeight="false" outlineLevel="0" collapsed="false">
      <c r="A2005" s="0" t="n">
        <v>2004</v>
      </c>
      <c r="B2005" s="18" t="n">
        <v>741057.993703179</v>
      </c>
      <c r="C2005" s="18" t="n">
        <v>0</v>
      </c>
      <c r="D2005" s="0" t="n">
        <v>0</v>
      </c>
      <c r="E2005" s="19" t="n">
        <v>45.6666666666667</v>
      </c>
    </row>
    <row r="2006" customFormat="false" ht="15" hidden="false" customHeight="false" outlineLevel="0" collapsed="false">
      <c r="A2006" s="0" t="n">
        <v>2005</v>
      </c>
      <c r="B2006" s="18" t="n">
        <v>710666.412415356</v>
      </c>
      <c r="C2006" s="18" t="n">
        <v>1012868.93454869</v>
      </c>
      <c r="D2006" s="0" t="n">
        <v>1</v>
      </c>
    </row>
    <row r="2007" customFormat="false" ht="15" hidden="false" customHeight="false" outlineLevel="0" collapsed="false">
      <c r="A2007" s="0" t="n">
        <v>2006</v>
      </c>
      <c r="B2007" s="18" t="n">
        <v>1509443.98296076</v>
      </c>
      <c r="C2007" s="18" t="n">
        <v>0</v>
      </c>
      <c r="D2007" s="0" t="n">
        <v>0</v>
      </c>
      <c r="E2007" s="19" t="n">
        <v>48.3333333333333</v>
      </c>
    </row>
    <row r="2008" customFormat="false" ht="15" hidden="false" customHeight="false" outlineLevel="0" collapsed="false">
      <c r="A2008" s="0" t="n">
        <v>2007</v>
      </c>
      <c r="B2008" s="18" t="n">
        <v>855350.244625911</v>
      </c>
      <c r="C2008" s="18" t="n">
        <v>0</v>
      </c>
      <c r="D2008" s="0" t="n">
        <v>0</v>
      </c>
      <c r="E2008" s="19" t="n">
        <v>39.0833333333333</v>
      </c>
    </row>
    <row r="2009" customFormat="false" ht="15" hidden="false" customHeight="false" outlineLevel="0" collapsed="false">
      <c r="A2009" s="0" t="n">
        <v>2008</v>
      </c>
      <c r="B2009" s="18" t="n">
        <v>261265.647867414</v>
      </c>
      <c r="C2009" s="18" t="n">
        <v>0</v>
      </c>
      <c r="D2009" s="0" t="n">
        <v>0</v>
      </c>
      <c r="E2009" s="19" t="n">
        <v>28.5833333333333</v>
      </c>
    </row>
    <row r="2010" customFormat="false" ht="15" hidden="false" customHeight="false" outlineLevel="0" collapsed="false">
      <c r="A2010" s="0" t="n">
        <v>2009</v>
      </c>
      <c r="B2010" s="18" t="n">
        <v>394798.318850628</v>
      </c>
      <c r="C2010" s="18" t="n">
        <v>0</v>
      </c>
      <c r="D2010" s="0" t="n">
        <v>0</v>
      </c>
      <c r="E2010" s="19" t="n">
        <v>38.4166666666667</v>
      </c>
    </row>
    <row r="2011" customFormat="false" ht="15" hidden="false" customHeight="false" outlineLevel="0" collapsed="false">
      <c r="A2011" s="0" t="n">
        <v>2010</v>
      </c>
      <c r="B2011" s="18" t="n">
        <v>615743.102565751</v>
      </c>
      <c r="C2011" s="18" t="n">
        <v>0</v>
      </c>
      <c r="D2011" s="0" t="n">
        <v>0</v>
      </c>
      <c r="E2011" s="19" t="n">
        <v>54.1666666666667</v>
      </c>
    </row>
    <row r="2012" customFormat="false" ht="15" hidden="false" customHeight="false" outlineLevel="0" collapsed="false">
      <c r="A2012" s="0" t="n">
        <v>2011</v>
      </c>
      <c r="B2012" s="18" t="n">
        <v>1363912.44806429</v>
      </c>
      <c r="C2012" s="18" t="n">
        <v>6452744.93241851</v>
      </c>
      <c r="D2012" s="0" t="n">
        <v>1</v>
      </c>
    </row>
    <row r="2013" customFormat="false" ht="15" hidden="false" customHeight="false" outlineLevel="0" collapsed="false">
      <c r="A2013" s="0" t="n">
        <v>2012</v>
      </c>
      <c r="B2013" s="18" t="n">
        <v>215257.0102257</v>
      </c>
      <c r="C2013" s="18" t="n">
        <v>0</v>
      </c>
      <c r="D2013" s="0" t="n">
        <v>0</v>
      </c>
      <c r="E2013" s="19" t="n">
        <v>28.5833333333333</v>
      </c>
    </row>
    <row r="2014" customFormat="false" ht="15" hidden="false" customHeight="false" outlineLevel="0" collapsed="false">
      <c r="A2014" s="0" t="n">
        <v>2013</v>
      </c>
      <c r="B2014" s="18" t="n">
        <v>384937.00988679</v>
      </c>
      <c r="C2014" s="18" t="n">
        <v>0</v>
      </c>
      <c r="D2014" s="0" t="n">
        <v>0</v>
      </c>
      <c r="E2014" s="19" t="n">
        <v>36.25</v>
      </c>
    </row>
    <row r="2015" customFormat="false" ht="15" hidden="false" customHeight="false" outlineLevel="0" collapsed="false">
      <c r="A2015" s="0" t="n">
        <v>2014</v>
      </c>
      <c r="B2015" s="18" t="n">
        <v>612736.02880706</v>
      </c>
      <c r="C2015" s="18" t="n">
        <v>0</v>
      </c>
      <c r="D2015" s="0" t="n">
        <v>0</v>
      </c>
      <c r="E2015" s="19" t="n">
        <v>35.9166666666667</v>
      </c>
    </row>
    <row r="2016" customFormat="false" ht="15" hidden="false" customHeight="false" outlineLevel="0" collapsed="false">
      <c r="A2016" s="0" t="n">
        <v>2015</v>
      </c>
      <c r="B2016" s="18" t="n">
        <v>371909.340087733</v>
      </c>
      <c r="C2016" s="18" t="n">
        <v>0</v>
      </c>
      <c r="D2016" s="0" t="n">
        <v>0</v>
      </c>
      <c r="E2016" s="19" t="n">
        <v>32.25</v>
      </c>
    </row>
    <row r="2017" customFormat="false" ht="15" hidden="false" customHeight="false" outlineLevel="0" collapsed="false">
      <c r="A2017" s="0" t="n">
        <v>2016</v>
      </c>
      <c r="B2017" s="18" t="n">
        <v>1121280.68590844</v>
      </c>
      <c r="C2017" s="18" t="n">
        <v>0</v>
      </c>
      <c r="D2017" s="0" t="n">
        <v>0</v>
      </c>
      <c r="E2017" s="19" t="n">
        <v>43</v>
      </c>
    </row>
    <row r="2018" customFormat="false" ht="15" hidden="false" customHeight="false" outlineLevel="0" collapsed="false">
      <c r="A2018" s="0" t="n">
        <v>2017</v>
      </c>
      <c r="B2018" s="18" t="n">
        <v>872987.087524181</v>
      </c>
      <c r="C2018" s="18" t="n">
        <v>0</v>
      </c>
      <c r="D2018" s="0" t="n">
        <v>0</v>
      </c>
      <c r="E2018" s="19" t="n">
        <v>36.3333333333333</v>
      </c>
    </row>
    <row r="2019" customFormat="false" ht="15" hidden="false" customHeight="false" outlineLevel="0" collapsed="false">
      <c r="A2019" s="0" t="n">
        <v>2018</v>
      </c>
      <c r="B2019" s="18" t="n">
        <v>717194.239977472</v>
      </c>
      <c r="C2019" s="18" t="n">
        <v>0</v>
      </c>
      <c r="D2019" s="0" t="n">
        <v>0</v>
      </c>
      <c r="E2019" s="19" t="n">
        <v>48.75</v>
      </c>
    </row>
    <row r="2020" customFormat="false" ht="15" hidden="false" customHeight="false" outlineLevel="0" collapsed="false">
      <c r="A2020" s="0" t="n">
        <v>2019</v>
      </c>
      <c r="B2020" s="18" t="n">
        <v>922224.95522066</v>
      </c>
      <c r="C2020" s="18" t="n">
        <v>0</v>
      </c>
      <c r="D2020" s="0" t="n">
        <v>0</v>
      </c>
      <c r="E2020" s="19" t="n">
        <v>50.9166666666667</v>
      </c>
    </row>
    <row r="2021" customFormat="false" ht="15" hidden="false" customHeight="false" outlineLevel="0" collapsed="false">
      <c r="A2021" s="0" t="n">
        <v>2020</v>
      </c>
      <c r="B2021" s="18" t="n">
        <v>733293.052197884</v>
      </c>
      <c r="C2021" s="18" t="n">
        <v>0</v>
      </c>
      <c r="D2021" s="0" t="n">
        <v>0</v>
      </c>
      <c r="E2021" s="19" t="n">
        <v>38.5833333333333</v>
      </c>
    </row>
    <row r="2022" customFormat="false" ht="15" hidden="false" customHeight="false" outlineLevel="0" collapsed="false">
      <c r="A2022" s="0" t="n">
        <v>2021</v>
      </c>
      <c r="B2022" s="18" t="n">
        <v>833183.59174708</v>
      </c>
      <c r="C2022" s="18" t="n">
        <v>0</v>
      </c>
      <c r="D2022" s="0" t="n">
        <v>0</v>
      </c>
      <c r="E2022" s="19" t="n">
        <v>43.25</v>
      </c>
    </row>
    <row r="2023" customFormat="false" ht="15" hidden="false" customHeight="false" outlineLevel="0" collapsed="false">
      <c r="A2023" s="0" t="n">
        <v>2022</v>
      </c>
      <c r="B2023" s="18" t="n">
        <v>2487060.12099703</v>
      </c>
      <c r="C2023" s="18" t="n">
        <v>8292251.25726588</v>
      </c>
      <c r="D2023" s="0" t="n">
        <v>1</v>
      </c>
    </row>
    <row r="2024" customFormat="false" ht="15" hidden="false" customHeight="false" outlineLevel="0" collapsed="false">
      <c r="A2024" s="0" t="n">
        <v>2023</v>
      </c>
      <c r="B2024" s="18" t="n">
        <v>898724.091307765</v>
      </c>
      <c r="C2024" s="18" t="n">
        <v>210066.053245329</v>
      </c>
      <c r="D2024" s="0" t="n">
        <v>1</v>
      </c>
    </row>
    <row r="2025" customFormat="false" ht="15" hidden="false" customHeight="false" outlineLevel="0" collapsed="false">
      <c r="A2025" s="0" t="n">
        <v>2024</v>
      </c>
      <c r="B2025" s="18" t="n">
        <v>828247.71728698</v>
      </c>
      <c r="C2025" s="18" t="n">
        <v>704469.539912669</v>
      </c>
      <c r="D2025" s="0" t="n">
        <v>1</v>
      </c>
    </row>
    <row r="2026" customFormat="false" ht="15" hidden="false" customHeight="false" outlineLevel="0" collapsed="false">
      <c r="A2026" s="0" t="n">
        <v>2025</v>
      </c>
      <c r="B2026" s="18" t="n">
        <v>5095716.30923178</v>
      </c>
      <c r="C2026" s="18" t="n">
        <v>13899043.5294211</v>
      </c>
      <c r="D2026" s="0" t="n">
        <v>1</v>
      </c>
    </row>
    <row r="2027" customFormat="false" ht="15" hidden="false" customHeight="false" outlineLevel="0" collapsed="false">
      <c r="A2027" s="0" t="n">
        <v>2026</v>
      </c>
      <c r="B2027" s="18" t="n">
        <v>377717.998332618</v>
      </c>
      <c r="C2027" s="18" t="n">
        <v>0</v>
      </c>
      <c r="D2027" s="0" t="n">
        <v>0</v>
      </c>
      <c r="E2027" s="19" t="n">
        <v>33.1666666666667</v>
      </c>
    </row>
    <row r="2028" customFormat="false" ht="15" hidden="false" customHeight="false" outlineLevel="0" collapsed="false">
      <c r="A2028" s="0" t="n">
        <v>2027</v>
      </c>
      <c r="B2028" s="18" t="n">
        <v>739136.145109276</v>
      </c>
      <c r="C2028" s="18" t="n">
        <v>0</v>
      </c>
      <c r="D2028" s="0" t="n">
        <v>0</v>
      </c>
      <c r="E2028" s="19" t="n">
        <v>51.9166666666667</v>
      </c>
    </row>
    <row r="2029" customFormat="false" ht="15" hidden="false" customHeight="false" outlineLevel="0" collapsed="false">
      <c r="A2029" s="0" t="n">
        <v>2028</v>
      </c>
      <c r="B2029" s="18" t="n">
        <v>739026.832093366</v>
      </c>
      <c r="C2029" s="18" t="n">
        <v>0</v>
      </c>
      <c r="D2029" s="0" t="n">
        <v>0</v>
      </c>
      <c r="E2029" s="19" t="n">
        <v>36.1666666666667</v>
      </c>
    </row>
    <row r="2030" customFormat="false" ht="15" hidden="false" customHeight="false" outlineLevel="0" collapsed="false">
      <c r="A2030" s="0" t="n">
        <v>2029</v>
      </c>
      <c r="B2030" s="18" t="n">
        <v>2203403.02795932</v>
      </c>
      <c r="C2030" s="18" t="n">
        <v>20315396.8452383</v>
      </c>
      <c r="D2030" s="0" t="n">
        <v>1</v>
      </c>
    </row>
    <row r="2031" customFormat="false" ht="15" hidden="false" customHeight="false" outlineLevel="0" collapsed="false">
      <c r="A2031" s="0" t="n">
        <v>2030</v>
      </c>
      <c r="B2031" s="18" t="n">
        <v>1866927.351485</v>
      </c>
      <c r="C2031" s="18" t="n">
        <v>890431.379632154</v>
      </c>
      <c r="D2031" s="0" t="n">
        <v>1</v>
      </c>
    </row>
    <row r="2032" customFormat="false" ht="15" hidden="false" customHeight="false" outlineLevel="0" collapsed="false">
      <c r="A2032" s="0" t="n">
        <v>2031</v>
      </c>
      <c r="B2032" s="18" t="n">
        <v>1384091.06296108</v>
      </c>
      <c r="C2032" s="18" t="n">
        <v>1086268.44477444</v>
      </c>
      <c r="D2032" s="0" t="n">
        <v>1</v>
      </c>
    </row>
    <row r="2033" customFormat="false" ht="15" hidden="false" customHeight="false" outlineLevel="0" collapsed="false">
      <c r="A2033" s="0" t="n">
        <v>2032</v>
      </c>
      <c r="B2033" s="18" t="n">
        <v>747168.525203166</v>
      </c>
      <c r="C2033" s="18" t="n">
        <v>0</v>
      </c>
      <c r="D2033" s="0" t="n">
        <v>0</v>
      </c>
      <c r="E2033" s="19" t="n">
        <v>43</v>
      </c>
    </row>
    <row r="2034" customFormat="false" ht="15" hidden="false" customHeight="false" outlineLevel="0" collapsed="false">
      <c r="A2034" s="0" t="n">
        <v>2033</v>
      </c>
      <c r="B2034" s="18" t="n">
        <v>565431.281431599</v>
      </c>
      <c r="C2034" s="18" t="n">
        <v>0</v>
      </c>
      <c r="D2034" s="0" t="n">
        <v>0</v>
      </c>
      <c r="E2034" s="19" t="n">
        <v>39.0833333333333</v>
      </c>
    </row>
    <row r="2035" customFormat="false" ht="15" hidden="false" customHeight="false" outlineLevel="0" collapsed="false">
      <c r="A2035" s="0" t="n">
        <v>2034</v>
      </c>
      <c r="B2035" s="18" t="n">
        <v>1116670.38748605</v>
      </c>
      <c r="C2035" s="18" t="n">
        <v>0</v>
      </c>
      <c r="D2035" s="0" t="n">
        <v>0</v>
      </c>
      <c r="E2035" s="19" t="n">
        <v>43.25</v>
      </c>
    </row>
    <row r="2036" customFormat="false" ht="15" hidden="false" customHeight="false" outlineLevel="0" collapsed="false">
      <c r="A2036" s="0" t="n">
        <v>2035</v>
      </c>
      <c r="B2036" s="18" t="n">
        <v>640790.882686283</v>
      </c>
      <c r="C2036" s="18" t="n">
        <v>0</v>
      </c>
      <c r="D2036" s="0" t="n">
        <v>0</v>
      </c>
      <c r="E2036" s="19" t="n">
        <v>36.8333333333333</v>
      </c>
    </row>
    <row r="2037" customFormat="false" ht="15" hidden="false" customHeight="false" outlineLevel="0" collapsed="false">
      <c r="A2037" s="0" t="n">
        <v>2036</v>
      </c>
      <c r="B2037" s="18" t="n">
        <v>2220878.60481748</v>
      </c>
      <c r="C2037" s="18" t="n">
        <v>13748061.1344963</v>
      </c>
      <c r="D2037" s="0" t="n">
        <v>1</v>
      </c>
    </row>
    <row r="2038" customFormat="false" ht="15" hidden="false" customHeight="false" outlineLevel="0" collapsed="false">
      <c r="A2038" s="0" t="n">
        <v>2037</v>
      </c>
      <c r="B2038" s="18" t="n">
        <v>1107292.23378639</v>
      </c>
      <c r="C2038" s="18" t="n">
        <v>0</v>
      </c>
      <c r="D2038" s="0" t="n">
        <v>0</v>
      </c>
      <c r="E2038" s="19" t="n">
        <v>50.8333333333333</v>
      </c>
    </row>
    <row r="2039" customFormat="false" ht="15" hidden="false" customHeight="false" outlineLevel="0" collapsed="false">
      <c r="A2039" s="0" t="n">
        <v>2038</v>
      </c>
      <c r="B2039" s="18" t="n">
        <v>410016.920284142</v>
      </c>
      <c r="C2039" s="18" t="n">
        <v>0</v>
      </c>
      <c r="D2039" s="0" t="n">
        <v>0</v>
      </c>
      <c r="E2039" s="19" t="n">
        <v>31.9166666666667</v>
      </c>
    </row>
    <row r="2040" customFormat="false" ht="15" hidden="false" customHeight="false" outlineLevel="0" collapsed="false">
      <c r="A2040" s="0" t="n">
        <v>2039</v>
      </c>
      <c r="B2040" s="18" t="n">
        <v>2053458.78331643</v>
      </c>
      <c r="C2040" s="18" t="n">
        <v>1721449.64809244</v>
      </c>
      <c r="D2040" s="0" t="n">
        <v>1</v>
      </c>
    </row>
    <row r="2041" customFormat="false" ht="15" hidden="false" customHeight="false" outlineLevel="0" collapsed="false">
      <c r="A2041" s="0" t="n">
        <v>2040</v>
      </c>
      <c r="B2041" s="18" t="n">
        <v>443829.574943273</v>
      </c>
      <c r="C2041" s="18" t="n">
        <v>0</v>
      </c>
      <c r="D2041" s="0" t="n">
        <v>0</v>
      </c>
      <c r="E2041" s="19" t="n">
        <v>35.0833333333333</v>
      </c>
    </row>
    <row r="2042" customFormat="false" ht="15" hidden="false" customHeight="false" outlineLevel="0" collapsed="false">
      <c r="A2042" s="0" t="n">
        <v>2041</v>
      </c>
      <c r="B2042" s="18" t="n">
        <v>680577.001860823</v>
      </c>
      <c r="C2042" s="18" t="n">
        <v>0</v>
      </c>
      <c r="D2042" s="0" t="n">
        <v>0</v>
      </c>
      <c r="E2042" s="19" t="n">
        <v>50.25</v>
      </c>
    </row>
    <row r="2043" customFormat="false" ht="15" hidden="false" customHeight="false" outlineLevel="0" collapsed="false">
      <c r="A2043" s="0" t="n">
        <v>2042</v>
      </c>
      <c r="B2043" s="18" t="n">
        <v>2376902.91363207</v>
      </c>
      <c r="C2043" s="18" t="n">
        <v>7086177.64111806</v>
      </c>
      <c r="D2043" s="0" t="n">
        <v>1</v>
      </c>
    </row>
    <row r="2044" customFormat="false" ht="15" hidden="false" customHeight="false" outlineLevel="0" collapsed="false">
      <c r="A2044" s="0" t="n">
        <v>2043</v>
      </c>
      <c r="B2044" s="18" t="n">
        <v>3001736.90850246</v>
      </c>
      <c r="C2044" s="18" t="n">
        <v>3734975.53989343</v>
      </c>
      <c r="D2044" s="0" t="n">
        <v>1</v>
      </c>
    </row>
    <row r="2045" customFormat="false" ht="15" hidden="false" customHeight="false" outlineLevel="0" collapsed="false">
      <c r="A2045" s="0" t="n">
        <v>2044</v>
      </c>
      <c r="B2045" s="18" t="n">
        <v>543836.703213728</v>
      </c>
      <c r="C2045" s="18" t="n">
        <v>0</v>
      </c>
      <c r="D2045" s="0" t="n">
        <v>0</v>
      </c>
      <c r="E2045" s="19" t="n">
        <v>36.6666666666667</v>
      </c>
    </row>
    <row r="2046" customFormat="false" ht="15" hidden="false" customHeight="false" outlineLevel="0" collapsed="false">
      <c r="A2046" s="0" t="n">
        <v>2045</v>
      </c>
      <c r="B2046" s="18" t="n">
        <v>1385468.51411074</v>
      </c>
      <c r="C2046" s="18" t="n">
        <v>0</v>
      </c>
      <c r="D2046" s="0" t="n">
        <v>0</v>
      </c>
      <c r="E2046" s="19" t="n">
        <v>53.1666666666667</v>
      </c>
    </row>
    <row r="2047" customFormat="false" ht="15" hidden="false" customHeight="false" outlineLevel="0" collapsed="false">
      <c r="A2047" s="0" t="n">
        <v>2046</v>
      </c>
      <c r="B2047" s="18" t="n">
        <v>1041851.04525542</v>
      </c>
      <c r="C2047" s="18" t="n">
        <v>0</v>
      </c>
      <c r="D2047" s="0" t="n">
        <v>0</v>
      </c>
      <c r="E2047" s="19" t="n">
        <v>36.9166666666667</v>
      </c>
    </row>
    <row r="2048" customFormat="false" ht="15" hidden="false" customHeight="false" outlineLevel="0" collapsed="false">
      <c r="A2048" s="0" t="n">
        <v>2047</v>
      </c>
      <c r="B2048" s="18" t="n">
        <v>602340.974472483</v>
      </c>
      <c r="C2048" s="18" t="n">
        <v>0</v>
      </c>
      <c r="D2048" s="0" t="n">
        <v>0</v>
      </c>
      <c r="E2048" s="19" t="n">
        <v>54.8333333333333</v>
      </c>
    </row>
    <row r="2049" customFormat="false" ht="15" hidden="false" customHeight="false" outlineLevel="0" collapsed="false">
      <c r="A2049" s="0" t="n">
        <v>2048</v>
      </c>
      <c r="B2049" s="18" t="n">
        <v>1124319.50613686</v>
      </c>
      <c r="C2049" s="18" t="n">
        <v>3948694.18224194</v>
      </c>
      <c r="D2049" s="0" t="n">
        <v>1</v>
      </c>
    </row>
    <row r="2050" customFormat="false" ht="15" hidden="false" customHeight="false" outlineLevel="0" collapsed="false">
      <c r="A2050" s="0" t="n">
        <v>2049</v>
      </c>
      <c r="B2050" s="18" t="n">
        <v>348112.009489872</v>
      </c>
      <c r="C2050" s="18" t="n">
        <v>0</v>
      </c>
      <c r="D2050" s="0" t="n">
        <v>0</v>
      </c>
      <c r="E2050" s="19" t="n">
        <v>30.0833333333333</v>
      </c>
    </row>
    <row r="2051" customFormat="false" ht="15" hidden="false" customHeight="false" outlineLevel="0" collapsed="false">
      <c r="A2051" s="0" t="n">
        <v>2050</v>
      </c>
      <c r="B2051" s="18" t="n">
        <v>1149889.28036774</v>
      </c>
      <c r="C2051" s="18" t="n">
        <v>0</v>
      </c>
      <c r="D2051" s="0" t="n">
        <v>0</v>
      </c>
      <c r="E2051" s="19" t="n">
        <v>49.8333333333333</v>
      </c>
    </row>
    <row r="2052" customFormat="false" ht="15" hidden="false" customHeight="false" outlineLevel="0" collapsed="false">
      <c r="A2052" s="0" t="n">
        <v>2051</v>
      </c>
      <c r="B2052" s="18" t="n">
        <v>1128600.49952494</v>
      </c>
      <c r="C2052" s="18" t="n">
        <v>0</v>
      </c>
      <c r="D2052" s="0" t="n">
        <v>0</v>
      </c>
      <c r="E2052" s="19" t="n">
        <v>54.6666666666667</v>
      </c>
    </row>
    <row r="2053" customFormat="false" ht="15" hidden="false" customHeight="false" outlineLevel="0" collapsed="false">
      <c r="A2053" s="0" t="n">
        <v>2052</v>
      </c>
      <c r="B2053" s="18" t="n">
        <v>1052497.1691613</v>
      </c>
      <c r="C2053" s="18" t="n">
        <v>1492975.85189295</v>
      </c>
      <c r="D2053" s="0" t="n">
        <v>1</v>
      </c>
    </row>
    <row r="2054" customFormat="false" ht="15" hidden="false" customHeight="false" outlineLevel="0" collapsed="false">
      <c r="A2054" s="0" t="n">
        <v>2053</v>
      </c>
      <c r="B2054" s="18" t="n">
        <v>581378.250375098</v>
      </c>
      <c r="C2054" s="18" t="n">
        <v>0</v>
      </c>
      <c r="D2054" s="0" t="n">
        <v>0</v>
      </c>
      <c r="E2054" s="19" t="n">
        <v>33.3333333333333</v>
      </c>
    </row>
    <row r="2055" customFormat="false" ht="15" hidden="false" customHeight="false" outlineLevel="0" collapsed="false">
      <c r="A2055" s="0" t="n">
        <v>2054</v>
      </c>
      <c r="B2055" s="18" t="n">
        <v>2117836.71234988</v>
      </c>
      <c r="C2055" s="18" t="n">
        <v>4436988.82196743</v>
      </c>
      <c r="D2055" s="0" t="n">
        <v>1</v>
      </c>
    </row>
    <row r="2056" customFormat="false" ht="15" hidden="false" customHeight="false" outlineLevel="0" collapsed="false">
      <c r="A2056" s="0" t="n">
        <v>2055</v>
      </c>
      <c r="B2056" s="18" t="n">
        <v>2057118.07948773</v>
      </c>
      <c r="C2056" s="18" t="n">
        <v>0</v>
      </c>
      <c r="D2056" s="0" t="n">
        <v>0</v>
      </c>
      <c r="E2056" s="19" t="n">
        <v>48.5833333333333</v>
      </c>
    </row>
    <row r="2057" customFormat="false" ht="15" hidden="false" customHeight="false" outlineLevel="0" collapsed="false">
      <c r="A2057" s="0" t="n">
        <v>2056</v>
      </c>
      <c r="B2057" s="18" t="n">
        <v>364859.778232444</v>
      </c>
      <c r="C2057" s="18" t="n">
        <v>0</v>
      </c>
      <c r="D2057" s="0" t="n">
        <v>0</v>
      </c>
      <c r="E2057" s="19" t="n">
        <v>31.3333333333333</v>
      </c>
    </row>
    <row r="2058" customFormat="false" ht="15" hidden="false" customHeight="false" outlineLevel="0" collapsed="false">
      <c r="A2058" s="0" t="n">
        <v>2057</v>
      </c>
      <c r="B2058" s="18" t="n">
        <v>563309.133807266</v>
      </c>
      <c r="C2058" s="18" t="n">
        <v>0</v>
      </c>
      <c r="D2058" s="0" t="n">
        <v>0</v>
      </c>
      <c r="E2058" s="19" t="n">
        <v>37.8333333333333</v>
      </c>
    </row>
    <row r="2059" customFormat="false" ht="15" hidden="false" customHeight="false" outlineLevel="0" collapsed="false">
      <c r="A2059" s="0" t="n">
        <v>2058</v>
      </c>
      <c r="B2059" s="18" t="n">
        <v>421255.445089158</v>
      </c>
      <c r="C2059" s="18" t="n">
        <v>0</v>
      </c>
      <c r="D2059" s="0" t="n">
        <v>0</v>
      </c>
      <c r="E2059" s="19" t="n">
        <v>35.0833333333333</v>
      </c>
    </row>
    <row r="2060" customFormat="false" ht="15" hidden="false" customHeight="false" outlineLevel="0" collapsed="false">
      <c r="A2060" s="0" t="n">
        <v>2059</v>
      </c>
      <c r="B2060" s="18" t="n">
        <v>657293.242835729</v>
      </c>
      <c r="C2060" s="18" t="n">
        <v>0</v>
      </c>
      <c r="D2060" s="0" t="n">
        <v>0</v>
      </c>
      <c r="E2060" s="19" t="n">
        <v>34.25</v>
      </c>
    </row>
    <row r="2061" customFormat="false" ht="15" hidden="false" customHeight="false" outlineLevel="0" collapsed="false">
      <c r="A2061" s="0" t="n">
        <v>2060</v>
      </c>
      <c r="B2061" s="18" t="n">
        <v>1377159.40058368</v>
      </c>
      <c r="C2061" s="18" t="n">
        <v>5565955.02450489</v>
      </c>
      <c r="D2061" s="0" t="n">
        <v>1</v>
      </c>
    </row>
    <row r="2062" customFormat="false" ht="15" hidden="false" customHeight="false" outlineLevel="0" collapsed="false">
      <c r="A2062" s="0" t="n">
        <v>2061</v>
      </c>
      <c r="B2062" s="18" t="n">
        <v>1015941.96473886</v>
      </c>
      <c r="C2062" s="18" t="n">
        <v>0</v>
      </c>
      <c r="D2062" s="0" t="n">
        <v>0</v>
      </c>
      <c r="E2062" s="19" t="n">
        <v>41.5833333333333</v>
      </c>
    </row>
    <row r="2063" customFormat="false" ht="15" hidden="false" customHeight="false" outlineLevel="0" collapsed="false">
      <c r="A2063" s="0" t="n">
        <v>2062</v>
      </c>
      <c r="B2063" s="18" t="n">
        <v>770437.655021651</v>
      </c>
      <c r="C2063" s="18" t="n">
        <v>0</v>
      </c>
      <c r="D2063" s="0" t="n">
        <v>0</v>
      </c>
      <c r="E2063" s="19" t="n">
        <v>38.5</v>
      </c>
    </row>
    <row r="2064" customFormat="false" ht="15" hidden="false" customHeight="false" outlineLevel="0" collapsed="false">
      <c r="A2064" s="0" t="n">
        <v>2063</v>
      </c>
      <c r="B2064" s="18" t="n">
        <v>637260.398950759</v>
      </c>
      <c r="C2064" s="18" t="n">
        <v>0</v>
      </c>
      <c r="D2064" s="0" t="n">
        <v>0</v>
      </c>
      <c r="E2064" s="19" t="n">
        <v>35.5833333333333</v>
      </c>
    </row>
    <row r="2065" customFormat="false" ht="15" hidden="false" customHeight="false" outlineLevel="0" collapsed="false">
      <c r="A2065" s="0" t="n">
        <v>2064</v>
      </c>
      <c r="B2065" s="18" t="n">
        <v>557497.509982206</v>
      </c>
      <c r="C2065" s="18" t="n">
        <v>0</v>
      </c>
      <c r="D2065" s="0" t="n">
        <v>0</v>
      </c>
      <c r="E2065" s="19" t="n">
        <v>43.6666666666667</v>
      </c>
    </row>
    <row r="2066" customFormat="false" ht="15" hidden="false" customHeight="false" outlineLevel="0" collapsed="false">
      <c r="A2066" s="0" t="n">
        <v>2065</v>
      </c>
      <c r="B2066" s="18" t="n">
        <v>2444593.79756827</v>
      </c>
      <c r="C2066" s="18" t="n">
        <v>6846234.90785596</v>
      </c>
      <c r="D2066" s="0" t="n">
        <v>1</v>
      </c>
    </row>
    <row r="2067" customFormat="false" ht="15" hidden="false" customHeight="false" outlineLevel="0" collapsed="false">
      <c r="A2067" s="0" t="n">
        <v>2066</v>
      </c>
      <c r="B2067" s="18" t="n">
        <v>1725239.23556694</v>
      </c>
      <c r="C2067" s="18" t="n">
        <v>649873.004387995</v>
      </c>
      <c r="D2067" s="0" t="n">
        <v>1</v>
      </c>
    </row>
    <row r="2068" customFormat="false" ht="15" hidden="false" customHeight="false" outlineLevel="0" collapsed="false">
      <c r="A2068" s="0" t="n">
        <v>2067</v>
      </c>
      <c r="B2068" s="18" t="n">
        <v>1763790.64383122</v>
      </c>
      <c r="C2068" s="18" t="n">
        <v>4970233.30748617</v>
      </c>
      <c r="D2068" s="0" t="n">
        <v>1</v>
      </c>
    </row>
    <row r="2069" customFormat="false" ht="15" hidden="false" customHeight="false" outlineLevel="0" collapsed="false">
      <c r="A2069" s="0" t="n">
        <v>2068</v>
      </c>
      <c r="B2069" s="18" t="n">
        <v>813354.507635577</v>
      </c>
      <c r="C2069" s="18" t="n">
        <v>0</v>
      </c>
      <c r="D2069" s="0" t="n">
        <v>0</v>
      </c>
      <c r="E2069" s="19" t="n">
        <v>42.1666666666667</v>
      </c>
    </row>
    <row r="2070" customFormat="false" ht="15" hidden="false" customHeight="false" outlineLevel="0" collapsed="false">
      <c r="A2070" s="0" t="n">
        <v>2069</v>
      </c>
      <c r="B2070" s="18" t="n">
        <v>907282.614198095</v>
      </c>
      <c r="C2070" s="18" t="n">
        <v>0</v>
      </c>
      <c r="D2070" s="0" t="n">
        <v>0</v>
      </c>
      <c r="E2070" s="19" t="n">
        <v>38</v>
      </c>
    </row>
    <row r="2071" customFormat="false" ht="15" hidden="false" customHeight="false" outlineLevel="0" collapsed="false">
      <c r="A2071" s="0" t="n">
        <v>2070</v>
      </c>
      <c r="B2071" s="18" t="n">
        <v>737817.053588674</v>
      </c>
      <c r="C2071" s="18" t="n">
        <v>361192.954240969</v>
      </c>
      <c r="D2071" s="0" t="n">
        <v>1</v>
      </c>
    </row>
    <row r="2072" customFormat="false" ht="15" hidden="false" customHeight="false" outlineLevel="0" collapsed="false">
      <c r="A2072" s="0" t="n">
        <v>2071</v>
      </c>
      <c r="B2072" s="18" t="n">
        <v>1218999.95024842</v>
      </c>
      <c r="C2072" s="18" t="n">
        <v>0</v>
      </c>
      <c r="D2072" s="0" t="n">
        <v>0</v>
      </c>
      <c r="E2072" s="19" t="n">
        <v>44.0833333333333</v>
      </c>
    </row>
    <row r="2073" customFormat="false" ht="15" hidden="false" customHeight="false" outlineLevel="0" collapsed="false">
      <c r="A2073" s="0" t="n">
        <v>2072</v>
      </c>
      <c r="B2073" s="18" t="n">
        <v>1116878.74071633</v>
      </c>
      <c r="C2073" s="18" t="n">
        <v>7835128.67504617</v>
      </c>
      <c r="D2073" s="0" t="n">
        <v>1</v>
      </c>
    </row>
    <row r="2074" customFormat="false" ht="15" hidden="false" customHeight="false" outlineLevel="0" collapsed="false">
      <c r="A2074" s="0" t="n">
        <v>2073</v>
      </c>
      <c r="B2074" s="18" t="n">
        <v>362112.715566884</v>
      </c>
      <c r="C2074" s="18" t="n">
        <v>0</v>
      </c>
      <c r="D2074" s="0" t="n">
        <v>0</v>
      </c>
      <c r="E2074" s="19" t="n">
        <v>32.4166666666667</v>
      </c>
    </row>
    <row r="2075" customFormat="false" ht="15" hidden="false" customHeight="false" outlineLevel="0" collapsed="false">
      <c r="A2075" s="0" t="n">
        <v>2074</v>
      </c>
      <c r="B2075" s="18" t="n">
        <v>817490.595124996</v>
      </c>
      <c r="C2075" s="18" t="n">
        <v>0</v>
      </c>
      <c r="D2075" s="0" t="n">
        <v>0</v>
      </c>
      <c r="E2075" s="19" t="n">
        <v>34.4166666666667</v>
      </c>
    </row>
    <row r="2076" customFormat="false" ht="15" hidden="false" customHeight="false" outlineLevel="0" collapsed="false">
      <c r="A2076" s="0" t="n">
        <v>2075</v>
      </c>
      <c r="B2076" s="18" t="n">
        <v>1729779.27577379</v>
      </c>
      <c r="C2076" s="18" t="n">
        <v>27062.8134726052</v>
      </c>
      <c r="D2076" s="0" t="n">
        <v>1</v>
      </c>
    </row>
    <row r="2077" customFormat="false" ht="15" hidden="false" customHeight="false" outlineLevel="0" collapsed="false">
      <c r="A2077" s="0" t="n">
        <v>2076</v>
      </c>
      <c r="B2077" s="18" t="n">
        <v>492243.538185454</v>
      </c>
      <c r="C2077" s="18" t="n">
        <v>0</v>
      </c>
      <c r="D2077" s="0" t="n">
        <v>0</v>
      </c>
      <c r="E2077" s="19" t="n">
        <v>37.4166666666667</v>
      </c>
    </row>
    <row r="2078" customFormat="false" ht="15" hidden="false" customHeight="false" outlineLevel="0" collapsed="false">
      <c r="A2078" s="0" t="n">
        <v>2077</v>
      </c>
      <c r="B2078" s="18" t="n">
        <v>1095769.19876471</v>
      </c>
      <c r="C2078" s="18" t="n">
        <v>0</v>
      </c>
      <c r="D2078" s="0" t="n">
        <v>0</v>
      </c>
      <c r="E2078" s="19" t="n">
        <v>47.5833333333333</v>
      </c>
    </row>
    <row r="2079" customFormat="false" ht="15" hidden="false" customHeight="false" outlineLevel="0" collapsed="false">
      <c r="A2079" s="0" t="n">
        <v>2078</v>
      </c>
      <c r="B2079" s="18" t="n">
        <v>619512.992285992</v>
      </c>
      <c r="C2079" s="18" t="n">
        <v>0</v>
      </c>
      <c r="D2079" s="0" t="n">
        <v>0</v>
      </c>
      <c r="E2079" s="19" t="n">
        <v>38.8333333333333</v>
      </c>
    </row>
    <row r="2080" customFormat="false" ht="15" hidden="false" customHeight="false" outlineLevel="0" collapsed="false">
      <c r="A2080" s="0" t="n">
        <v>2079</v>
      </c>
      <c r="B2080" s="18" t="n">
        <v>620479.110430443</v>
      </c>
      <c r="C2080" s="18" t="n">
        <v>0</v>
      </c>
      <c r="D2080" s="0" t="n">
        <v>0</v>
      </c>
      <c r="E2080" s="19" t="n">
        <v>36.0833333333333</v>
      </c>
    </row>
    <row r="2081" customFormat="false" ht="15" hidden="false" customHeight="false" outlineLevel="0" collapsed="false">
      <c r="A2081" s="0" t="n">
        <v>2080</v>
      </c>
      <c r="B2081" s="18" t="n">
        <v>778475.34228716</v>
      </c>
      <c r="C2081" s="18" t="n">
        <v>0</v>
      </c>
      <c r="D2081" s="0" t="n">
        <v>0</v>
      </c>
      <c r="E2081" s="19" t="n">
        <v>42.75</v>
      </c>
    </row>
    <row r="2082" customFormat="false" ht="15" hidden="false" customHeight="false" outlineLevel="0" collapsed="false">
      <c r="A2082" s="0" t="n">
        <v>2081</v>
      </c>
      <c r="B2082" s="18" t="n">
        <v>657752.206499309</v>
      </c>
      <c r="C2082" s="18" t="n">
        <v>0</v>
      </c>
      <c r="D2082" s="0" t="n">
        <v>0</v>
      </c>
      <c r="E2082" s="19" t="n">
        <v>36.6666666666667</v>
      </c>
    </row>
    <row r="2083" customFormat="false" ht="15" hidden="false" customHeight="false" outlineLevel="0" collapsed="false">
      <c r="A2083" s="0" t="n">
        <v>2082</v>
      </c>
      <c r="B2083" s="18" t="n">
        <v>1238841.61961765</v>
      </c>
      <c r="C2083" s="18" t="n">
        <v>651770.931237668</v>
      </c>
      <c r="D2083" s="0" t="n">
        <v>1</v>
      </c>
    </row>
    <row r="2084" customFormat="false" ht="15" hidden="false" customHeight="false" outlineLevel="0" collapsed="false">
      <c r="A2084" s="0" t="n">
        <v>2083</v>
      </c>
      <c r="B2084" s="18" t="n">
        <v>412445.252281393</v>
      </c>
      <c r="C2084" s="18" t="n">
        <v>0</v>
      </c>
      <c r="D2084" s="0" t="n">
        <v>0</v>
      </c>
      <c r="E2084" s="19" t="n">
        <v>29.5</v>
      </c>
    </row>
    <row r="2085" customFormat="false" ht="15" hidden="false" customHeight="false" outlineLevel="0" collapsed="false">
      <c r="A2085" s="0" t="n">
        <v>2084</v>
      </c>
      <c r="B2085" s="18" t="n">
        <v>1423933.71110442</v>
      </c>
      <c r="C2085" s="18" t="n">
        <v>0</v>
      </c>
      <c r="D2085" s="0" t="n">
        <v>0</v>
      </c>
      <c r="E2085" s="19" t="n">
        <v>48.3333333333333</v>
      </c>
    </row>
    <row r="2086" customFormat="false" ht="15" hidden="false" customHeight="false" outlineLevel="0" collapsed="false">
      <c r="A2086" s="0" t="n">
        <v>2085</v>
      </c>
      <c r="B2086" s="18" t="n">
        <v>1360381.18469518</v>
      </c>
      <c r="C2086" s="18" t="n">
        <v>0</v>
      </c>
      <c r="D2086" s="0" t="n">
        <v>0</v>
      </c>
      <c r="E2086" s="19" t="n">
        <v>48.75</v>
      </c>
    </row>
    <row r="2087" customFormat="false" ht="15" hidden="false" customHeight="false" outlineLevel="0" collapsed="false">
      <c r="A2087" s="0" t="n">
        <v>2086</v>
      </c>
      <c r="B2087" s="18" t="n">
        <v>1461846.23114313</v>
      </c>
      <c r="C2087" s="18" t="n">
        <v>4419007.58197766</v>
      </c>
      <c r="D2087" s="0" t="n">
        <v>1</v>
      </c>
    </row>
    <row r="2088" customFormat="false" ht="15" hidden="false" customHeight="false" outlineLevel="0" collapsed="false">
      <c r="A2088" s="0" t="n">
        <v>2087</v>
      </c>
      <c r="B2088" s="18" t="n">
        <v>460834.442843403</v>
      </c>
      <c r="C2088" s="18" t="n">
        <v>0</v>
      </c>
      <c r="D2088" s="0" t="n">
        <v>0</v>
      </c>
      <c r="E2088" s="19" t="n">
        <v>35.5833333333333</v>
      </c>
    </row>
    <row r="2089" customFormat="false" ht="15" hidden="false" customHeight="false" outlineLevel="0" collapsed="false">
      <c r="A2089" s="0" t="n">
        <v>2088</v>
      </c>
      <c r="B2089" s="18" t="n">
        <v>814517.546687052</v>
      </c>
      <c r="C2089" s="18" t="n">
        <v>0</v>
      </c>
      <c r="D2089" s="0" t="n">
        <v>0</v>
      </c>
      <c r="E2089" s="19" t="n">
        <v>47.6666666666667</v>
      </c>
    </row>
    <row r="2090" customFormat="false" ht="15" hidden="false" customHeight="false" outlineLevel="0" collapsed="false">
      <c r="A2090" s="0" t="n">
        <v>2089</v>
      </c>
      <c r="B2090" s="18" t="n">
        <v>547000.927541731</v>
      </c>
      <c r="C2090" s="18" t="n">
        <v>0</v>
      </c>
      <c r="D2090" s="0" t="n">
        <v>0</v>
      </c>
      <c r="E2090" s="19" t="n">
        <v>39.3333333333333</v>
      </c>
    </row>
    <row r="2091" customFormat="false" ht="15" hidden="false" customHeight="false" outlineLevel="0" collapsed="false">
      <c r="A2091" s="0" t="n">
        <v>2090</v>
      </c>
      <c r="B2091" s="18" t="n">
        <v>632636.850714363</v>
      </c>
      <c r="C2091" s="18" t="n">
        <v>0</v>
      </c>
      <c r="D2091" s="0" t="n">
        <v>0</v>
      </c>
      <c r="E2091" s="19" t="n">
        <v>41.75</v>
      </c>
    </row>
    <row r="2092" customFormat="false" ht="15" hidden="false" customHeight="false" outlineLevel="0" collapsed="false">
      <c r="A2092" s="0" t="n">
        <v>2091</v>
      </c>
      <c r="B2092" s="18" t="n">
        <v>376054.576788114</v>
      </c>
      <c r="C2092" s="18" t="n">
        <v>0</v>
      </c>
      <c r="D2092" s="0" t="n">
        <v>0</v>
      </c>
      <c r="E2092" s="19" t="n">
        <v>30.3333333333333</v>
      </c>
    </row>
    <row r="2093" customFormat="false" ht="15" hidden="false" customHeight="false" outlineLevel="0" collapsed="false">
      <c r="A2093" s="0" t="n">
        <v>2092</v>
      </c>
      <c r="B2093" s="18" t="n">
        <v>900820.888849064</v>
      </c>
      <c r="C2093" s="18" t="n">
        <v>0</v>
      </c>
      <c r="D2093" s="0" t="n">
        <v>0</v>
      </c>
      <c r="E2093" s="19" t="n">
        <v>51.3333333333333</v>
      </c>
    </row>
    <row r="2094" customFormat="false" ht="15" hidden="false" customHeight="false" outlineLevel="0" collapsed="false">
      <c r="A2094" s="0" t="n">
        <v>2093</v>
      </c>
      <c r="B2094" s="18" t="n">
        <v>572536.435492854</v>
      </c>
      <c r="C2094" s="18" t="n">
        <v>0</v>
      </c>
      <c r="D2094" s="0" t="n">
        <v>0</v>
      </c>
      <c r="E2094" s="19" t="n">
        <v>33.25</v>
      </c>
    </row>
    <row r="2095" customFormat="false" ht="15" hidden="false" customHeight="false" outlineLevel="0" collapsed="false">
      <c r="A2095" s="0" t="n">
        <v>2094</v>
      </c>
      <c r="B2095" s="18" t="n">
        <v>797417.991598207</v>
      </c>
      <c r="C2095" s="18" t="n">
        <v>0</v>
      </c>
      <c r="D2095" s="0" t="n">
        <v>0</v>
      </c>
      <c r="E2095" s="19" t="n">
        <v>38.1666666666667</v>
      </c>
    </row>
    <row r="2096" customFormat="false" ht="15" hidden="false" customHeight="false" outlineLevel="0" collapsed="false">
      <c r="A2096" s="0" t="n">
        <v>2095</v>
      </c>
      <c r="B2096" s="18" t="n">
        <v>1169788.00609689</v>
      </c>
      <c r="C2096" s="18" t="n">
        <v>0</v>
      </c>
      <c r="D2096" s="0" t="n">
        <v>0</v>
      </c>
      <c r="E2096" s="19" t="n">
        <v>50.75</v>
      </c>
    </row>
    <row r="2097" customFormat="false" ht="15" hidden="false" customHeight="false" outlineLevel="0" collapsed="false">
      <c r="A2097" s="0" t="n">
        <v>2096</v>
      </c>
      <c r="B2097" s="18" t="n">
        <v>4042491.86954688</v>
      </c>
      <c r="C2097" s="18" t="n">
        <v>12475783.8809932</v>
      </c>
      <c r="D2097" s="0" t="n">
        <v>1</v>
      </c>
    </row>
    <row r="2098" customFormat="false" ht="15" hidden="false" customHeight="false" outlineLevel="0" collapsed="false">
      <c r="A2098" s="0" t="n">
        <v>2097</v>
      </c>
      <c r="B2098" s="18" t="n">
        <v>2249920.04631962</v>
      </c>
      <c r="C2098" s="18" t="n">
        <v>0</v>
      </c>
      <c r="D2098" s="0" t="n">
        <v>0</v>
      </c>
      <c r="E2098" s="19" t="n">
        <v>53.5</v>
      </c>
    </row>
    <row r="2099" customFormat="false" ht="15" hidden="false" customHeight="false" outlineLevel="0" collapsed="false">
      <c r="A2099" s="0" t="n">
        <v>2098</v>
      </c>
      <c r="B2099" s="18" t="n">
        <v>1186855.29523031</v>
      </c>
      <c r="C2099" s="18" t="n">
        <v>4088779.62581452</v>
      </c>
      <c r="D2099" s="0" t="n">
        <v>1</v>
      </c>
    </row>
    <row r="2100" customFormat="false" ht="15" hidden="false" customHeight="false" outlineLevel="0" collapsed="false">
      <c r="A2100" s="0" t="n">
        <v>2099</v>
      </c>
      <c r="B2100" s="18" t="n">
        <v>440255.313034333</v>
      </c>
      <c r="C2100" s="18" t="n">
        <v>0</v>
      </c>
      <c r="D2100" s="0" t="n">
        <v>0</v>
      </c>
      <c r="E2100" s="19" t="n">
        <v>34.4166666666667</v>
      </c>
    </row>
    <row r="2101" customFormat="false" ht="15" hidden="false" customHeight="false" outlineLevel="0" collapsed="false">
      <c r="A2101" s="0" t="n">
        <v>2100</v>
      </c>
      <c r="B2101" s="18" t="n">
        <v>1016901.57091869</v>
      </c>
      <c r="C2101" s="18" t="n">
        <v>0</v>
      </c>
      <c r="D2101" s="0" t="n">
        <v>0</v>
      </c>
      <c r="E2101" s="19" t="n">
        <v>43</v>
      </c>
    </row>
    <row r="2102" customFormat="false" ht="15" hidden="false" customHeight="false" outlineLevel="0" collapsed="false">
      <c r="A2102" s="0" t="n">
        <v>2101</v>
      </c>
      <c r="B2102" s="18" t="n">
        <v>1134673.85853038</v>
      </c>
      <c r="C2102" s="18" t="n">
        <v>21296227.5594955</v>
      </c>
      <c r="D2102" s="0" t="n">
        <v>1</v>
      </c>
    </row>
    <row r="2103" customFormat="false" ht="15" hidden="false" customHeight="false" outlineLevel="0" collapsed="false">
      <c r="A2103" s="0" t="n">
        <v>2102</v>
      </c>
      <c r="B2103" s="18" t="n">
        <v>1730200.68256075</v>
      </c>
      <c r="C2103" s="18" t="n">
        <v>7326953.67155715</v>
      </c>
      <c r="D2103" s="0" t="n">
        <v>1</v>
      </c>
    </row>
    <row r="2104" customFormat="false" ht="15" hidden="false" customHeight="false" outlineLevel="0" collapsed="false">
      <c r="A2104" s="0" t="n">
        <v>2103</v>
      </c>
      <c r="B2104" s="18" t="n">
        <v>735883.605356235</v>
      </c>
      <c r="C2104" s="18" t="n">
        <v>14278794.163042</v>
      </c>
      <c r="D2104" s="0" t="n">
        <v>1</v>
      </c>
    </row>
    <row r="2105" customFormat="false" ht="15" hidden="false" customHeight="false" outlineLevel="0" collapsed="false">
      <c r="A2105" s="0" t="n">
        <v>2104</v>
      </c>
      <c r="B2105" s="18" t="n">
        <v>1603376.20139981</v>
      </c>
      <c r="C2105" s="18" t="n">
        <v>0</v>
      </c>
      <c r="D2105" s="0" t="n">
        <v>0</v>
      </c>
      <c r="E2105" s="19" t="n">
        <v>49.25</v>
      </c>
    </row>
    <row r="2106" customFormat="false" ht="15" hidden="false" customHeight="false" outlineLevel="0" collapsed="false">
      <c r="A2106" s="0" t="n">
        <v>2105</v>
      </c>
      <c r="B2106" s="18" t="n">
        <v>763666.059407094</v>
      </c>
      <c r="C2106" s="18" t="n">
        <v>0</v>
      </c>
      <c r="D2106" s="0" t="n">
        <v>0</v>
      </c>
      <c r="E2106" s="19" t="n">
        <v>46.0833333333333</v>
      </c>
    </row>
    <row r="2107" customFormat="false" ht="15" hidden="false" customHeight="false" outlineLevel="0" collapsed="false">
      <c r="A2107" s="0" t="n">
        <v>2106</v>
      </c>
      <c r="B2107" s="18" t="n">
        <v>398168.528586697</v>
      </c>
      <c r="C2107" s="18" t="n">
        <v>0</v>
      </c>
      <c r="D2107" s="0" t="n">
        <v>0</v>
      </c>
      <c r="E2107" s="19" t="n">
        <v>35.5833333333333</v>
      </c>
    </row>
    <row r="2108" customFormat="false" ht="15" hidden="false" customHeight="false" outlineLevel="0" collapsed="false">
      <c r="A2108" s="0" t="n">
        <v>2107</v>
      </c>
      <c r="B2108" s="18" t="n">
        <v>681277.683572835</v>
      </c>
      <c r="C2108" s="18" t="n">
        <v>0</v>
      </c>
      <c r="D2108" s="0" t="n">
        <v>0</v>
      </c>
      <c r="E2108" s="19" t="n">
        <v>36.1666666666667</v>
      </c>
    </row>
    <row r="2109" customFormat="false" ht="15" hidden="false" customHeight="false" outlineLevel="0" collapsed="false">
      <c r="A2109" s="0" t="n">
        <v>2108</v>
      </c>
      <c r="B2109" s="18" t="n">
        <v>449031.237999866</v>
      </c>
      <c r="C2109" s="18" t="n">
        <v>0</v>
      </c>
      <c r="D2109" s="0" t="n">
        <v>0</v>
      </c>
      <c r="E2109" s="19" t="n">
        <v>32.6666666666667</v>
      </c>
    </row>
    <row r="2110" customFormat="false" ht="15" hidden="false" customHeight="false" outlineLevel="0" collapsed="false">
      <c r="A2110" s="0" t="n">
        <v>2109</v>
      </c>
      <c r="B2110" s="18" t="n">
        <v>1091922.63955907</v>
      </c>
      <c r="C2110" s="18" t="n">
        <v>0</v>
      </c>
      <c r="D2110" s="0" t="n">
        <v>0</v>
      </c>
      <c r="E2110" s="19" t="n">
        <v>54.1666666666667</v>
      </c>
    </row>
    <row r="2111" customFormat="false" ht="15" hidden="false" customHeight="false" outlineLevel="0" collapsed="false">
      <c r="A2111" s="0" t="n">
        <v>2110</v>
      </c>
      <c r="B2111" s="18" t="n">
        <v>824593.755527492</v>
      </c>
      <c r="C2111" s="18" t="n">
        <v>0</v>
      </c>
      <c r="D2111" s="0" t="n">
        <v>0</v>
      </c>
      <c r="E2111" s="19" t="n">
        <v>35.1666666666667</v>
      </c>
    </row>
    <row r="2112" customFormat="false" ht="15" hidden="false" customHeight="false" outlineLevel="0" collapsed="false">
      <c r="A2112" s="0" t="n">
        <v>2111</v>
      </c>
      <c r="B2112" s="18" t="n">
        <v>1334942.5213028</v>
      </c>
      <c r="C2112" s="18" t="n">
        <v>0</v>
      </c>
      <c r="D2112" s="0" t="n">
        <v>0</v>
      </c>
      <c r="E2112" s="19" t="n">
        <v>54.3333333333333</v>
      </c>
    </row>
    <row r="2113" customFormat="false" ht="15" hidden="false" customHeight="false" outlineLevel="0" collapsed="false">
      <c r="A2113" s="0" t="n">
        <v>2112</v>
      </c>
      <c r="B2113" s="18" t="n">
        <v>3371723.18303599</v>
      </c>
      <c r="C2113" s="18" t="n">
        <v>17918197.4405567</v>
      </c>
      <c r="D2113" s="0" t="n">
        <v>1</v>
      </c>
    </row>
    <row r="2114" customFormat="false" ht="15" hidden="false" customHeight="false" outlineLevel="0" collapsed="false">
      <c r="A2114" s="0" t="n">
        <v>2113</v>
      </c>
      <c r="B2114" s="18" t="n">
        <v>317704.645316089</v>
      </c>
      <c r="C2114" s="18" t="n">
        <v>0</v>
      </c>
      <c r="D2114" s="0" t="n">
        <v>0</v>
      </c>
      <c r="E2114" s="19" t="n">
        <v>31.3333333333333</v>
      </c>
    </row>
    <row r="2115" customFormat="false" ht="15" hidden="false" customHeight="false" outlineLevel="0" collapsed="false">
      <c r="A2115" s="0" t="n">
        <v>2114</v>
      </c>
      <c r="B2115" s="18" t="n">
        <v>933459.654375233</v>
      </c>
      <c r="C2115" s="18" t="n">
        <v>4267080.65915214</v>
      </c>
      <c r="D2115" s="0" t="n">
        <v>1</v>
      </c>
    </row>
    <row r="2116" customFormat="false" ht="15" hidden="false" customHeight="false" outlineLevel="0" collapsed="false">
      <c r="A2116" s="0" t="n">
        <v>2115</v>
      </c>
      <c r="B2116" s="18" t="n">
        <v>3106736.86908927</v>
      </c>
      <c r="C2116" s="18" t="n">
        <v>4206624.79369738</v>
      </c>
      <c r="D2116" s="0" t="n">
        <v>1</v>
      </c>
    </row>
    <row r="2117" customFormat="false" ht="15" hidden="false" customHeight="false" outlineLevel="0" collapsed="false">
      <c r="A2117" s="0" t="n">
        <v>2116</v>
      </c>
      <c r="B2117" s="18" t="n">
        <v>1051149.08919451</v>
      </c>
      <c r="C2117" s="18" t="n">
        <v>0</v>
      </c>
      <c r="D2117" s="0" t="n">
        <v>0</v>
      </c>
      <c r="E2117" s="19" t="n">
        <v>40.6666666666667</v>
      </c>
    </row>
    <row r="2118" customFormat="false" ht="15" hidden="false" customHeight="false" outlineLevel="0" collapsed="false">
      <c r="A2118" s="0" t="n">
        <v>2117</v>
      </c>
      <c r="B2118" s="18" t="n">
        <v>2367146.98182422</v>
      </c>
      <c r="C2118" s="18" t="n">
        <v>0</v>
      </c>
      <c r="D2118" s="0" t="n">
        <v>0</v>
      </c>
      <c r="E2118" s="19" t="n">
        <v>51.5833333333333</v>
      </c>
    </row>
    <row r="2119" customFormat="false" ht="15" hidden="false" customHeight="false" outlineLevel="0" collapsed="false">
      <c r="A2119" s="0" t="n">
        <v>2118</v>
      </c>
      <c r="B2119" s="18" t="n">
        <v>753470.099196011</v>
      </c>
      <c r="C2119" s="18" t="n">
        <v>0</v>
      </c>
      <c r="D2119" s="0" t="n">
        <v>0</v>
      </c>
      <c r="E2119" s="19" t="n">
        <v>54.0833333333333</v>
      </c>
    </row>
    <row r="2120" customFormat="false" ht="15" hidden="false" customHeight="false" outlineLevel="0" collapsed="false">
      <c r="A2120" s="0" t="n">
        <v>2119</v>
      </c>
      <c r="B2120" s="18" t="n">
        <v>729950.347046817</v>
      </c>
      <c r="C2120" s="18" t="n">
        <v>0</v>
      </c>
      <c r="D2120" s="0" t="n">
        <v>0</v>
      </c>
      <c r="E2120" s="19" t="n">
        <v>36.8333333333333</v>
      </c>
    </row>
    <row r="2121" customFormat="false" ht="15" hidden="false" customHeight="false" outlineLevel="0" collapsed="false">
      <c r="A2121" s="0" t="n">
        <v>2120</v>
      </c>
      <c r="B2121" s="18" t="n">
        <v>859169.701359776</v>
      </c>
      <c r="C2121" s="18" t="n">
        <v>0</v>
      </c>
      <c r="D2121" s="0" t="n">
        <v>0</v>
      </c>
      <c r="E2121" s="19" t="n">
        <v>45.25</v>
      </c>
    </row>
    <row r="2122" customFormat="false" ht="15" hidden="false" customHeight="false" outlineLevel="0" collapsed="false">
      <c r="A2122" s="0" t="n">
        <v>2121</v>
      </c>
      <c r="B2122" s="18" t="n">
        <v>700805.634962792</v>
      </c>
      <c r="C2122" s="18" t="n">
        <v>2879343.60476164</v>
      </c>
      <c r="D2122" s="0" t="n">
        <v>1</v>
      </c>
    </row>
    <row r="2123" customFormat="false" ht="15" hidden="false" customHeight="false" outlineLevel="0" collapsed="false">
      <c r="A2123" s="0" t="n">
        <v>2122</v>
      </c>
      <c r="B2123" s="18" t="n">
        <v>949288.9268128</v>
      </c>
      <c r="C2123" s="18" t="n">
        <v>0</v>
      </c>
      <c r="D2123" s="0" t="n">
        <v>0</v>
      </c>
      <c r="E2123" s="19" t="n">
        <v>47.3333333333333</v>
      </c>
    </row>
    <row r="2124" customFormat="false" ht="15" hidden="false" customHeight="false" outlineLevel="0" collapsed="false">
      <c r="A2124" s="0" t="n">
        <v>2123</v>
      </c>
      <c r="B2124" s="18" t="n">
        <v>735392.348547006</v>
      </c>
      <c r="C2124" s="18" t="n">
        <v>0</v>
      </c>
      <c r="D2124" s="0" t="n">
        <v>0</v>
      </c>
      <c r="E2124" s="19" t="n">
        <v>36.25</v>
      </c>
    </row>
    <row r="2125" customFormat="false" ht="15" hidden="false" customHeight="false" outlineLevel="0" collapsed="false">
      <c r="A2125" s="0" t="n">
        <v>2124</v>
      </c>
      <c r="B2125" s="18" t="n">
        <v>938934.638191441</v>
      </c>
      <c r="C2125" s="18" t="n">
        <v>1310656.6513836</v>
      </c>
      <c r="D2125" s="0" t="n">
        <v>1</v>
      </c>
    </row>
    <row r="2126" customFormat="false" ht="15" hidden="false" customHeight="false" outlineLevel="0" collapsed="false">
      <c r="A2126" s="0" t="n">
        <v>2125</v>
      </c>
      <c r="B2126" s="18" t="n">
        <v>551313.934037111</v>
      </c>
      <c r="C2126" s="18" t="n">
        <v>0</v>
      </c>
      <c r="D2126" s="0" t="n">
        <v>0</v>
      </c>
      <c r="E2126" s="19" t="n">
        <v>35.75</v>
      </c>
    </row>
    <row r="2127" customFormat="false" ht="15" hidden="false" customHeight="false" outlineLevel="0" collapsed="false">
      <c r="A2127" s="0" t="n">
        <v>2126</v>
      </c>
      <c r="B2127" s="18" t="n">
        <v>506441.397414374</v>
      </c>
      <c r="C2127" s="18" t="n">
        <v>0</v>
      </c>
      <c r="D2127" s="0" t="n">
        <v>0</v>
      </c>
      <c r="E2127" s="19" t="n">
        <v>36.4166666666667</v>
      </c>
    </row>
    <row r="2128" customFormat="false" ht="15" hidden="false" customHeight="false" outlineLevel="0" collapsed="false">
      <c r="A2128" s="0" t="n">
        <v>2127</v>
      </c>
      <c r="B2128" s="18" t="n">
        <v>1122949.68126635</v>
      </c>
      <c r="C2128" s="18" t="n">
        <v>0</v>
      </c>
      <c r="D2128" s="0" t="n">
        <v>0</v>
      </c>
      <c r="E2128" s="19" t="n">
        <v>43.6666666666667</v>
      </c>
    </row>
    <row r="2129" customFormat="false" ht="15" hidden="false" customHeight="false" outlineLevel="0" collapsed="false">
      <c r="A2129" s="0" t="n">
        <v>2128</v>
      </c>
      <c r="B2129" s="18" t="n">
        <v>670233.527916477</v>
      </c>
      <c r="C2129" s="18" t="n">
        <v>0</v>
      </c>
      <c r="D2129" s="0" t="n">
        <v>0</v>
      </c>
      <c r="E2129" s="19" t="n">
        <v>33.25</v>
      </c>
    </row>
    <row r="2130" customFormat="false" ht="15" hidden="false" customHeight="false" outlineLevel="0" collapsed="false">
      <c r="A2130" s="0" t="n">
        <v>2129</v>
      </c>
      <c r="B2130" s="18" t="n">
        <v>759395.351942057</v>
      </c>
      <c r="C2130" s="18" t="n">
        <v>0</v>
      </c>
      <c r="D2130" s="0" t="n">
        <v>0</v>
      </c>
      <c r="E2130" s="19" t="n">
        <v>46.9166666666667</v>
      </c>
    </row>
    <row r="2131" customFormat="false" ht="15" hidden="false" customHeight="false" outlineLevel="0" collapsed="false">
      <c r="A2131" s="0" t="n">
        <v>2130</v>
      </c>
      <c r="B2131" s="18" t="n">
        <v>708490.763836278</v>
      </c>
      <c r="C2131" s="18" t="n">
        <v>0</v>
      </c>
      <c r="D2131" s="0" t="n">
        <v>0</v>
      </c>
      <c r="E2131" s="19" t="n">
        <v>49.5</v>
      </c>
    </row>
    <row r="2132" customFormat="false" ht="15" hidden="false" customHeight="false" outlineLevel="0" collapsed="false">
      <c r="A2132" s="0" t="n">
        <v>2131</v>
      </c>
      <c r="B2132" s="18" t="n">
        <v>889887.746621342</v>
      </c>
      <c r="C2132" s="18" t="n">
        <v>0</v>
      </c>
      <c r="D2132" s="0" t="n">
        <v>0</v>
      </c>
      <c r="E2132" s="19" t="n">
        <v>51.8333333333333</v>
      </c>
    </row>
    <row r="2133" customFormat="false" ht="15" hidden="false" customHeight="false" outlineLevel="0" collapsed="false">
      <c r="A2133" s="0" t="n">
        <v>2132</v>
      </c>
      <c r="B2133" s="18" t="n">
        <v>542712.789608019</v>
      </c>
      <c r="C2133" s="18" t="n">
        <v>0</v>
      </c>
      <c r="D2133" s="0" t="n">
        <v>0</v>
      </c>
      <c r="E2133" s="19" t="n">
        <v>32.5</v>
      </c>
    </row>
    <row r="2134" customFormat="false" ht="15" hidden="false" customHeight="false" outlineLevel="0" collapsed="false">
      <c r="A2134" s="0" t="n">
        <v>2133</v>
      </c>
      <c r="B2134" s="18" t="n">
        <v>3364490.08120422</v>
      </c>
      <c r="C2134" s="18" t="n">
        <v>15096733.2206341</v>
      </c>
      <c r="D2134" s="0" t="n">
        <v>1</v>
      </c>
    </row>
    <row r="2135" customFormat="false" ht="15" hidden="false" customHeight="false" outlineLevel="0" collapsed="false">
      <c r="A2135" s="0" t="n">
        <v>2134</v>
      </c>
      <c r="B2135" s="18" t="n">
        <v>603061.515719754</v>
      </c>
      <c r="C2135" s="18" t="n">
        <v>0</v>
      </c>
      <c r="D2135" s="0" t="n">
        <v>0</v>
      </c>
      <c r="E2135" s="19" t="n">
        <v>38.9166666666667</v>
      </c>
    </row>
    <row r="2136" customFormat="false" ht="15" hidden="false" customHeight="false" outlineLevel="0" collapsed="false">
      <c r="A2136" s="0" t="n">
        <v>2135</v>
      </c>
      <c r="B2136" s="18" t="n">
        <v>685398.659093178</v>
      </c>
      <c r="C2136" s="18" t="n">
        <v>397402.58013009</v>
      </c>
      <c r="D2136" s="0" t="n">
        <v>1</v>
      </c>
    </row>
    <row r="2137" customFormat="false" ht="15" hidden="false" customHeight="false" outlineLevel="0" collapsed="false">
      <c r="A2137" s="0" t="n">
        <v>2136</v>
      </c>
      <c r="B2137" s="18" t="n">
        <v>562231.105350499</v>
      </c>
      <c r="C2137" s="18" t="n">
        <v>0</v>
      </c>
      <c r="D2137" s="0" t="n">
        <v>0</v>
      </c>
      <c r="E2137" s="19" t="n">
        <v>41.25</v>
      </c>
    </row>
    <row r="2138" customFormat="false" ht="15" hidden="false" customHeight="false" outlineLevel="0" collapsed="false">
      <c r="A2138" s="0" t="n">
        <v>2137</v>
      </c>
      <c r="B2138" s="18" t="n">
        <v>1400441.24101247</v>
      </c>
      <c r="C2138" s="18" t="n">
        <v>1630037.27030247</v>
      </c>
      <c r="D2138" s="0" t="n">
        <v>1</v>
      </c>
    </row>
    <row r="2139" customFormat="false" ht="15" hidden="false" customHeight="false" outlineLevel="0" collapsed="false">
      <c r="A2139" s="0" t="n">
        <v>2138</v>
      </c>
      <c r="B2139" s="18" t="n">
        <v>383911.475904733</v>
      </c>
      <c r="C2139" s="18" t="n">
        <v>0</v>
      </c>
      <c r="D2139" s="0" t="n">
        <v>0</v>
      </c>
      <c r="E2139" s="19" t="n">
        <v>34.1666666666667</v>
      </c>
    </row>
    <row r="2140" customFormat="false" ht="15" hidden="false" customHeight="false" outlineLevel="0" collapsed="false">
      <c r="A2140" s="0" t="n">
        <v>2139</v>
      </c>
      <c r="B2140" s="18" t="n">
        <v>226435.519067892</v>
      </c>
      <c r="C2140" s="18" t="n">
        <v>0</v>
      </c>
      <c r="D2140" s="0" t="n">
        <v>0</v>
      </c>
      <c r="E2140" s="19" t="n">
        <v>28.4166666666667</v>
      </c>
    </row>
    <row r="2141" customFormat="false" ht="15" hidden="false" customHeight="false" outlineLevel="0" collapsed="false">
      <c r="A2141" s="0" t="n">
        <v>2140</v>
      </c>
      <c r="B2141" s="18" t="n">
        <v>2208059.90539874</v>
      </c>
      <c r="C2141" s="18" t="n">
        <v>766500.756507718</v>
      </c>
      <c r="D2141" s="0" t="n">
        <v>1</v>
      </c>
    </row>
    <row r="2142" customFormat="false" ht="15" hidden="false" customHeight="false" outlineLevel="0" collapsed="false">
      <c r="A2142" s="0" t="n">
        <v>2141</v>
      </c>
      <c r="B2142" s="18" t="n">
        <v>934375.491361329</v>
      </c>
      <c r="C2142" s="18" t="n">
        <v>0</v>
      </c>
      <c r="D2142" s="0" t="n">
        <v>0</v>
      </c>
      <c r="E2142" s="19" t="n">
        <v>38.8333333333333</v>
      </c>
    </row>
    <row r="2143" customFormat="false" ht="15" hidden="false" customHeight="false" outlineLevel="0" collapsed="false">
      <c r="A2143" s="0" t="n">
        <v>2142</v>
      </c>
      <c r="B2143" s="18" t="n">
        <v>773716.640753295</v>
      </c>
      <c r="C2143" s="18" t="n">
        <v>970789.06667662</v>
      </c>
      <c r="D2143" s="0" t="n">
        <v>1</v>
      </c>
    </row>
    <row r="2144" customFormat="false" ht="15" hidden="false" customHeight="false" outlineLevel="0" collapsed="false">
      <c r="A2144" s="0" t="n">
        <v>2143</v>
      </c>
      <c r="B2144" s="18" t="n">
        <v>556165.793192558</v>
      </c>
      <c r="C2144" s="18" t="n">
        <v>0</v>
      </c>
      <c r="D2144" s="0" t="n">
        <v>0</v>
      </c>
      <c r="E2144" s="19" t="n">
        <v>32.25</v>
      </c>
    </row>
    <row r="2145" customFormat="false" ht="15" hidden="false" customHeight="false" outlineLevel="0" collapsed="false">
      <c r="A2145" s="0" t="n">
        <v>2144</v>
      </c>
      <c r="B2145" s="18" t="n">
        <v>1244070.19855717</v>
      </c>
      <c r="C2145" s="18" t="n">
        <v>0</v>
      </c>
      <c r="D2145" s="0" t="n">
        <v>0</v>
      </c>
      <c r="E2145" s="19" t="n">
        <v>34.8333333333333</v>
      </c>
    </row>
    <row r="2146" customFormat="false" ht="15" hidden="false" customHeight="false" outlineLevel="0" collapsed="false">
      <c r="A2146" s="0" t="n">
        <v>2145</v>
      </c>
      <c r="B2146" s="18" t="n">
        <v>546925.848998793</v>
      </c>
      <c r="C2146" s="18" t="n">
        <v>0</v>
      </c>
      <c r="D2146" s="0" t="n">
        <v>0</v>
      </c>
      <c r="E2146" s="19" t="n">
        <v>33.25</v>
      </c>
    </row>
    <row r="2147" customFormat="false" ht="15" hidden="false" customHeight="false" outlineLevel="0" collapsed="false">
      <c r="A2147" s="0" t="n">
        <v>2146</v>
      </c>
      <c r="B2147" s="18" t="n">
        <v>1753739.7282384</v>
      </c>
      <c r="C2147" s="18" t="n">
        <v>1416271.95878231</v>
      </c>
      <c r="D2147" s="0" t="n">
        <v>1</v>
      </c>
    </row>
    <row r="2148" customFormat="false" ht="15" hidden="false" customHeight="false" outlineLevel="0" collapsed="false">
      <c r="A2148" s="0" t="n">
        <v>2147</v>
      </c>
      <c r="B2148" s="18" t="n">
        <v>1533074.74910114</v>
      </c>
      <c r="C2148" s="18" t="n">
        <v>55966950.5131204</v>
      </c>
      <c r="D2148" s="0" t="n">
        <v>1</v>
      </c>
    </row>
    <row r="2149" customFormat="false" ht="15" hidden="false" customHeight="false" outlineLevel="0" collapsed="false">
      <c r="A2149" s="0" t="n">
        <v>2148</v>
      </c>
      <c r="B2149" s="18" t="n">
        <v>887350.540063349</v>
      </c>
      <c r="C2149" s="18" t="n">
        <v>0</v>
      </c>
      <c r="D2149" s="0" t="n">
        <v>0</v>
      </c>
      <c r="E2149" s="19" t="n">
        <v>50.0833333333333</v>
      </c>
    </row>
    <row r="2150" customFormat="false" ht="15" hidden="false" customHeight="false" outlineLevel="0" collapsed="false">
      <c r="A2150" s="0" t="n">
        <v>2149</v>
      </c>
      <c r="B2150" s="18" t="n">
        <v>516228.182864934</v>
      </c>
      <c r="C2150" s="18" t="n">
        <v>0</v>
      </c>
      <c r="D2150" s="0" t="n">
        <v>0</v>
      </c>
      <c r="E2150" s="19" t="n">
        <v>32</v>
      </c>
    </row>
    <row r="2151" customFormat="false" ht="15" hidden="false" customHeight="false" outlineLevel="0" collapsed="false">
      <c r="A2151" s="0" t="n">
        <v>2150</v>
      </c>
      <c r="B2151" s="18" t="n">
        <v>1020278.20036892</v>
      </c>
      <c r="C2151" s="18" t="n">
        <v>19643.4842899456</v>
      </c>
      <c r="D2151" s="0" t="n">
        <v>1</v>
      </c>
    </row>
    <row r="2152" customFormat="false" ht="15" hidden="false" customHeight="false" outlineLevel="0" collapsed="false">
      <c r="A2152" s="0" t="n">
        <v>2151</v>
      </c>
      <c r="B2152" s="18" t="n">
        <v>271980.279217609</v>
      </c>
      <c r="C2152" s="18" t="n">
        <v>0</v>
      </c>
      <c r="D2152" s="0" t="n">
        <v>0</v>
      </c>
      <c r="E2152" s="19" t="n">
        <v>29.4166666666667</v>
      </c>
    </row>
    <row r="2153" customFormat="false" ht="15" hidden="false" customHeight="false" outlineLevel="0" collapsed="false">
      <c r="A2153" s="0" t="n">
        <v>2152</v>
      </c>
      <c r="B2153" s="18" t="n">
        <v>299779.095025165</v>
      </c>
      <c r="C2153" s="18" t="n">
        <v>0</v>
      </c>
      <c r="D2153" s="0" t="n">
        <v>0</v>
      </c>
      <c r="E2153" s="19" t="n">
        <v>29.75</v>
      </c>
    </row>
    <row r="2154" customFormat="false" ht="15" hidden="false" customHeight="false" outlineLevel="0" collapsed="false">
      <c r="A2154" s="0" t="n">
        <v>2153</v>
      </c>
      <c r="B2154" s="18" t="n">
        <v>510105.529429625</v>
      </c>
      <c r="C2154" s="18" t="n">
        <v>0</v>
      </c>
      <c r="D2154" s="0" t="n">
        <v>0</v>
      </c>
      <c r="E2154" s="19" t="n">
        <v>35.3333333333333</v>
      </c>
    </row>
    <row r="2155" customFormat="false" ht="15" hidden="false" customHeight="false" outlineLevel="0" collapsed="false">
      <c r="A2155" s="0" t="n">
        <v>2154</v>
      </c>
      <c r="B2155" s="18" t="n">
        <v>529193.725557744</v>
      </c>
      <c r="C2155" s="18" t="n">
        <v>0</v>
      </c>
      <c r="D2155" s="0" t="n">
        <v>0</v>
      </c>
      <c r="E2155" s="19" t="n">
        <v>35.25</v>
      </c>
    </row>
    <row r="2156" customFormat="false" ht="15" hidden="false" customHeight="false" outlineLevel="0" collapsed="false">
      <c r="A2156" s="0" t="n">
        <v>2155</v>
      </c>
      <c r="B2156" s="18" t="n">
        <v>863197.396781949</v>
      </c>
      <c r="C2156" s="18" t="n">
        <v>0</v>
      </c>
      <c r="D2156" s="0" t="n">
        <v>0</v>
      </c>
      <c r="E2156" s="19" t="n">
        <v>47.6666666666667</v>
      </c>
    </row>
    <row r="2157" customFormat="false" ht="15" hidden="false" customHeight="false" outlineLevel="0" collapsed="false">
      <c r="A2157" s="0" t="n">
        <v>2156</v>
      </c>
      <c r="B2157" s="18" t="n">
        <v>831408.939590619</v>
      </c>
      <c r="C2157" s="18" t="n">
        <v>0</v>
      </c>
      <c r="D2157" s="0" t="n">
        <v>0</v>
      </c>
      <c r="E2157" s="19" t="n">
        <v>33.8333333333333</v>
      </c>
    </row>
    <row r="2158" customFormat="false" ht="15" hidden="false" customHeight="false" outlineLevel="0" collapsed="false">
      <c r="A2158" s="0" t="n">
        <v>2157</v>
      </c>
      <c r="B2158" s="18" t="n">
        <v>478441.148038031</v>
      </c>
      <c r="C2158" s="18" t="n">
        <v>0</v>
      </c>
      <c r="D2158" s="0" t="n">
        <v>0</v>
      </c>
      <c r="E2158" s="19" t="n">
        <v>34.0833333333333</v>
      </c>
    </row>
    <row r="2159" customFormat="false" ht="15" hidden="false" customHeight="false" outlineLevel="0" collapsed="false">
      <c r="A2159" s="0" t="n">
        <v>2158</v>
      </c>
      <c r="B2159" s="18" t="n">
        <v>396912.415351575</v>
      </c>
      <c r="C2159" s="18" t="n">
        <v>0</v>
      </c>
      <c r="D2159" s="0" t="n">
        <v>0</v>
      </c>
      <c r="E2159" s="19" t="n">
        <v>32.3333333333333</v>
      </c>
    </row>
    <row r="2160" customFormat="false" ht="15" hidden="false" customHeight="false" outlineLevel="0" collapsed="false">
      <c r="A2160" s="0" t="n">
        <v>2159</v>
      </c>
      <c r="B2160" s="18" t="n">
        <v>723865.833365516</v>
      </c>
      <c r="C2160" s="18" t="n">
        <v>0</v>
      </c>
      <c r="D2160" s="0" t="n">
        <v>0</v>
      </c>
      <c r="E2160" s="19" t="n">
        <v>42.3333333333333</v>
      </c>
    </row>
    <row r="2161" customFormat="false" ht="15" hidden="false" customHeight="false" outlineLevel="0" collapsed="false">
      <c r="A2161" s="0" t="n">
        <v>2160</v>
      </c>
      <c r="B2161" s="18" t="n">
        <v>909112.320857152</v>
      </c>
      <c r="C2161" s="18" t="n">
        <v>0</v>
      </c>
      <c r="D2161" s="0" t="n">
        <v>0</v>
      </c>
      <c r="E2161" s="19" t="n">
        <v>39.25</v>
      </c>
    </row>
    <row r="2162" customFormat="false" ht="15" hidden="false" customHeight="false" outlineLevel="0" collapsed="false">
      <c r="A2162" s="0" t="n">
        <v>2161</v>
      </c>
      <c r="B2162" s="18" t="n">
        <v>1041042.82778322</v>
      </c>
      <c r="C2162" s="18" t="n">
        <v>0</v>
      </c>
      <c r="D2162" s="0" t="n">
        <v>0</v>
      </c>
      <c r="E2162" s="19" t="n">
        <v>41.1666666666667</v>
      </c>
    </row>
    <row r="2163" customFormat="false" ht="15" hidden="false" customHeight="false" outlineLevel="0" collapsed="false">
      <c r="A2163" s="0" t="n">
        <v>2162</v>
      </c>
      <c r="B2163" s="18" t="n">
        <v>619665.920397343</v>
      </c>
      <c r="C2163" s="18" t="n">
        <v>0</v>
      </c>
      <c r="D2163" s="0" t="n">
        <v>0</v>
      </c>
      <c r="E2163" s="19" t="n">
        <v>32.75</v>
      </c>
    </row>
    <row r="2164" customFormat="false" ht="15" hidden="false" customHeight="false" outlineLevel="0" collapsed="false">
      <c r="A2164" s="0" t="n">
        <v>2163</v>
      </c>
      <c r="B2164" s="18" t="n">
        <v>1592021.02534136</v>
      </c>
      <c r="C2164" s="18" t="n">
        <v>14821043.534686</v>
      </c>
      <c r="D2164" s="0" t="n">
        <v>1</v>
      </c>
    </row>
    <row r="2165" customFormat="false" ht="15" hidden="false" customHeight="false" outlineLevel="0" collapsed="false">
      <c r="A2165" s="0" t="n">
        <v>2164</v>
      </c>
      <c r="B2165" s="18" t="n">
        <v>1364951.68933728</v>
      </c>
      <c r="C2165" s="18" t="n">
        <v>6888297.5148622</v>
      </c>
      <c r="D2165" s="0" t="n">
        <v>1</v>
      </c>
    </row>
    <row r="2166" customFormat="false" ht="15" hidden="false" customHeight="false" outlineLevel="0" collapsed="false">
      <c r="A2166" s="0" t="n">
        <v>2165</v>
      </c>
      <c r="B2166" s="18" t="n">
        <v>1374051.11781282</v>
      </c>
      <c r="C2166" s="18" t="n">
        <v>0</v>
      </c>
      <c r="D2166" s="0" t="n">
        <v>0</v>
      </c>
      <c r="E2166" s="19" t="n">
        <v>42.3333333333333</v>
      </c>
    </row>
    <row r="2167" customFormat="false" ht="15" hidden="false" customHeight="false" outlineLevel="0" collapsed="false">
      <c r="A2167" s="0" t="n">
        <v>2166</v>
      </c>
      <c r="B2167" s="18" t="n">
        <v>1124786.41834455</v>
      </c>
      <c r="C2167" s="18" t="n">
        <v>4118101.51859346</v>
      </c>
      <c r="D2167" s="0" t="n">
        <v>1</v>
      </c>
    </row>
    <row r="2168" customFormat="false" ht="15" hidden="false" customHeight="false" outlineLevel="0" collapsed="false">
      <c r="A2168" s="0" t="n">
        <v>2167</v>
      </c>
      <c r="B2168" s="18" t="n">
        <v>2891498.87686551</v>
      </c>
      <c r="C2168" s="18" t="n">
        <v>4114067.27037962</v>
      </c>
      <c r="D2168" s="0" t="n">
        <v>1</v>
      </c>
    </row>
    <row r="2169" customFormat="false" ht="15" hidden="false" customHeight="false" outlineLevel="0" collapsed="false">
      <c r="A2169" s="0" t="n">
        <v>2168</v>
      </c>
      <c r="B2169" s="18" t="n">
        <v>634446.191302517</v>
      </c>
      <c r="C2169" s="18" t="n">
        <v>0</v>
      </c>
      <c r="D2169" s="0" t="n">
        <v>0</v>
      </c>
      <c r="E2169" s="19" t="n">
        <v>37.5833333333333</v>
      </c>
    </row>
    <row r="2170" customFormat="false" ht="15" hidden="false" customHeight="false" outlineLevel="0" collapsed="false">
      <c r="A2170" s="0" t="n">
        <v>2169</v>
      </c>
      <c r="B2170" s="18" t="n">
        <v>1255334.34063504</v>
      </c>
      <c r="C2170" s="18" t="n">
        <v>15952875.0202795</v>
      </c>
      <c r="D2170" s="0" t="n">
        <v>1</v>
      </c>
    </row>
    <row r="2171" customFormat="false" ht="15" hidden="false" customHeight="false" outlineLevel="0" collapsed="false">
      <c r="A2171" s="0" t="n">
        <v>2170</v>
      </c>
      <c r="B2171" s="18" t="n">
        <v>608838.833715109</v>
      </c>
      <c r="C2171" s="18" t="n">
        <v>0</v>
      </c>
      <c r="D2171" s="0" t="n">
        <v>0</v>
      </c>
      <c r="E2171" s="19" t="n">
        <v>46.0833333333333</v>
      </c>
    </row>
    <row r="2172" customFormat="false" ht="15" hidden="false" customHeight="false" outlineLevel="0" collapsed="false">
      <c r="A2172" s="0" t="n">
        <v>2171</v>
      </c>
      <c r="B2172" s="18" t="n">
        <v>420035.838210957</v>
      </c>
      <c r="C2172" s="18" t="n">
        <v>0</v>
      </c>
      <c r="D2172" s="0" t="n">
        <v>0</v>
      </c>
      <c r="E2172" s="19" t="n">
        <v>32.0833333333333</v>
      </c>
    </row>
    <row r="2173" customFormat="false" ht="15" hidden="false" customHeight="false" outlineLevel="0" collapsed="false">
      <c r="A2173" s="0" t="n">
        <v>2172</v>
      </c>
      <c r="B2173" s="18" t="n">
        <v>328133.377411797</v>
      </c>
      <c r="C2173" s="18" t="n">
        <v>0</v>
      </c>
      <c r="D2173" s="0" t="n">
        <v>0</v>
      </c>
      <c r="E2173" s="19" t="n">
        <v>30.4166666666667</v>
      </c>
    </row>
    <row r="2174" customFormat="false" ht="15" hidden="false" customHeight="false" outlineLevel="0" collapsed="false">
      <c r="A2174" s="0" t="n">
        <v>2173</v>
      </c>
      <c r="B2174" s="18" t="n">
        <v>865278.596647405</v>
      </c>
      <c r="C2174" s="18" t="n">
        <v>0</v>
      </c>
      <c r="D2174" s="0" t="n">
        <v>0</v>
      </c>
      <c r="E2174" s="19" t="n">
        <v>52.8333333333333</v>
      </c>
    </row>
    <row r="2175" customFormat="false" ht="15" hidden="false" customHeight="false" outlineLevel="0" collapsed="false">
      <c r="A2175" s="0" t="n">
        <v>2174</v>
      </c>
      <c r="B2175" s="18" t="n">
        <v>581702.684498382</v>
      </c>
      <c r="C2175" s="18" t="n">
        <v>0</v>
      </c>
      <c r="D2175" s="0" t="n">
        <v>0</v>
      </c>
      <c r="E2175" s="19" t="n">
        <v>48.8333333333333</v>
      </c>
    </row>
    <row r="2176" customFormat="false" ht="15" hidden="false" customHeight="false" outlineLevel="0" collapsed="false">
      <c r="A2176" s="0" t="n">
        <v>2175</v>
      </c>
      <c r="B2176" s="18" t="n">
        <v>3228562.65392957</v>
      </c>
      <c r="C2176" s="18" t="n">
        <v>13709365.2780942</v>
      </c>
      <c r="D2176" s="0" t="n">
        <v>1</v>
      </c>
    </row>
    <row r="2177" customFormat="false" ht="15" hidden="false" customHeight="false" outlineLevel="0" collapsed="false">
      <c r="A2177" s="0" t="n">
        <v>2176</v>
      </c>
      <c r="B2177" s="18" t="n">
        <v>1230643.47097822</v>
      </c>
      <c r="C2177" s="18" t="n">
        <v>0</v>
      </c>
      <c r="D2177" s="0" t="n">
        <v>0</v>
      </c>
      <c r="E2177" s="19" t="n">
        <v>49.0833333333333</v>
      </c>
    </row>
    <row r="2178" customFormat="false" ht="15" hidden="false" customHeight="false" outlineLevel="0" collapsed="false">
      <c r="A2178" s="0" t="n">
        <v>2177</v>
      </c>
      <c r="B2178" s="18" t="n">
        <v>526877.359578217</v>
      </c>
      <c r="C2178" s="18" t="n">
        <v>0</v>
      </c>
      <c r="D2178" s="0" t="n">
        <v>0</v>
      </c>
      <c r="E2178" s="19" t="n">
        <v>33.8333333333333</v>
      </c>
    </row>
    <row r="2179" customFormat="false" ht="15" hidden="false" customHeight="false" outlineLevel="0" collapsed="false">
      <c r="A2179" s="0" t="n">
        <v>2178</v>
      </c>
      <c r="B2179" s="18" t="n">
        <v>457041.437674066</v>
      </c>
      <c r="C2179" s="18" t="n">
        <v>0</v>
      </c>
      <c r="D2179" s="0" t="n">
        <v>0</v>
      </c>
      <c r="E2179" s="19" t="n">
        <v>35.75</v>
      </c>
    </row>
    <row r="2180" customFormat="false" ht="15" hidden="false" customHeight="false" outlineLevel="0" collapsed="false">
      <c r="A2180" s="0" t="n">
        <v>2179</v>
      </c>
      <c r="B2180" s="18" t="n">
        <v>518764.661231571</v>
      </c>
      <c r="C2180" s="18" t="n">
        <v>0</v>
      </c>
      <c r="D2180" s="0" t="n">
        <v>0</v>
      </c>
      <c r="E2180" s="19" t="n">
        <v>32.5</v>
      </c>
    </row>
    <row r="2181" customFormat="false" ht="15" hidden="false" customHeight="false" outlineLevel="0" collapsed="false">
      <c r="A2181" s="0" t="n">
        <v>2180</v>
      </c>
      <c r="B2181" s="18" t="n">
        <v>741452.535173707</v>
      </c>
      <c r="C2181" s="18" t="n">
        <v>0</v>
      </c>
      <c r="D2181" s="0" t="n">
        <v>0</v>
      </c>
      <c r="E2181" s="19" t="n">
        <v>35.5833333333333</v>
      </c>
    </row>
    <row r="2182" customFormat="false" ht="15" hidden="false" customHeight="false" outlineLevel="0" collapsed="false">
      <c r="A2182" s="0" t="n">
        <v>2181</v>
      </c>
      <c r="B2182" s="18" t="n">
        <v>742351.307486826</v>
      </c>
      <c r="C2182" s="18" t="n">
        <v>0</v>
      </c>
      <c r="D2182" s="0" t="n">
        <v>0</v>
      </c>
      <c r="E2182" s="19" t="n">
        <v>35.1666666666667</v>
      </c>
    </row>
    <row r="2183" customFormat="false" ht="15" hidden="false" customHeight="false" outlineLevel="0" collapsed="false">
      <c r="A2183" s="0" t="n">
        <v>2182</v>
      </c>
      <c r="B2183" s="18" t="n">
        <v>1578823.6565621</v>
      </c>
      <c r="C2183" s="18" t="n">
        <v>1783748.76240043</v>
      </c>
      <c r="D2183" s="0" t="n">
        <v>1</v>
      </c>
    </row>
    <row r="2184" customFormat="false" ht="15" hidden="false" customHeight="false" outlineLevel="0" collapsed="false">
      <c r="A2184" s="0" t="n">
        <v>2183</v>
      </c>
      <c r="B2184" s="18" t="n">
        <v>798748.097173749</v>
      </c>
      <c r="C2184" s="18" t="n">
        <v>0</v>
      </c>
      <c r="D2184" s="0" t="n">
        <v>0</v>
      </c>
      <c r="E2184" s="19" t="n">
        <v>39.75</v>
      </c>
    </row>
    <row r="2185" customFormat="false" ht="15" hidden="false" customHeight="false" outlineLevel="0" collapsed="false">
      <c r="A2185" s="0" t="n">
        <v>2184</v>
      </c>
      <c r="B2185" s="18" t="n">
        <v>1184009.60441474</v>
      </c>
      <c r="C2185" s="18" t="n">
        <v>0</v>
      </c>
      <c r="D2185" s="0" t="n">
        <v>0</v>
      </c>
      <c r="E2185" s="19" t="n">
        <v>52.5</v>
      </c>
    </row>
    <row r="2186" customFormat="false" ht="15" hidden="false" customHeight="false" outlineLevel="0" collapsed="false">
      <c r="A2186" s="0" t="n">
        <v>2185</v>
      </c>
      <c r="B2186" s="18" t="n">
        <v>1036932.16118583</v>
      </c>
      <c r="C2186" s="18" t="n">
        <v>0</v>
      </c>
      <c r="D2186" s="0" t="n">
        <v>0</v>
      </c>
      <c r="E2186" s="19" t="n">
        <v>35.75</v>
      </c>
    </row>
    <row r="2187" customFormat="false" ht="15" hidden="false" customHeight="false" outlineLevel="0" collapsed="false">
      <c r="A2187" s="0" t="n">
        <v>2186</v>
      </c>
      <c r="B2187" s="18" t="n">
        <v>897114.723838196</v>
      </c>
      <c r="C2187" s="18" t="n">
        <v>0</v>
      </c>
      <c r="D2187" s="0" t="n">
        <v>0</v>
      </c>
      <c r="E2187" s="19" t="n">
        <v>41.5833333333333</v>
      </c>
    </row>
    <row r="2188" customFormat="false" ht="15" hidden="false" customHeight="false" outlineLevel="0" collapsed="false">
      <c r="A2188" s="0" t="n">
        <v>2187</v>
      </c>
      <c r="B2188" s="18" t="n">
        <v>821221.460971508</v>
      </c>
      <c r="C2188" s="18" t="n">
        <v>564083.083846273</v>
      </c>
      <c r="D2188" s="0" t="n">
        <v>1</v>
      </c>
    </row>
    <row r="2189" customFormat="false" ht="15" hidden="false" customHeight="false" outlineLevel="0" collapsed="false">
      <c r="A2189" s="0" t="n">
        <v>2188</v>
      </c>
      <c r="B2189" s="18" t="n">
        <v>565340.178572757</v>
      </c>
      <c r="C2189" s="18" t="n">
        <v>0</v>
      </c>
      <c r="D2189" s="0" t="n">
        <v>0</v>
      </c>
      <c r="E2189" s="19" t="n">
        <v>49.0833333333333</v>
      </c>
    </row>
    <row r="2190" customFormat="false" ht="15" hidden="false" customHeight="false" outlineLevel="0" collapsed="false">
      <c r="A2190" s="0" t="n">
        <v>2189</v>
      </c>
      <c r="B2190" s="18" t="n">
        <v>954023.94481569</v>
      </c>
      <c r="C2190" s="18" t="n">
        <v>8713612.20871317</v>
      </c>
      <c r="D2190" s="0" t="n">
        <v>1</v>
      </c>
    </row>
    <row r="2191" customFormat="false" ht="15" hidden="false" customHeight="false" outlineLevel="0" collapsed="false">
      <c r="A2191" s="0" t="n">
        <v>2190</v>
      </c>
      <c r="B2191" s="18" t="n">
        <v>1307492.7444566</v>
      </c>
      <c r="C2191" s="18" t="n">
        <v>4743692.17033408</v>
      </c>
      <c r="D2191" s="0" t="n">
        <v>1</v>
      </c>
    </row>
    <row r="2192" customFormat="false" ht="15" hidden="false" customHeight="false" outlineLevel="0" collapsed="false">
      <c r="A2192" s="0" t="n">
        <v>2191</v>
      </c>
      <c r="B2192" s="18" t="n">
        <v>1080233.90255375</v>
      </c>
      <c r="C2192" s="18" t="n">
        <v>9913030.52442917</v>
      </c>
      <c r="D2192" s="0" t="n">
        <v>1</v>
      </c>
    </row>
    <row r="2193" customFormat="false" ht="15" hidden="false" customHeight="false" outlineLevel="0" collapsed="false">
      <c r="A2193" s="0" t="n">
        <v>2192</v>
      </c>
      <c r="B2193" s="18" t="n">
        <v>1476965.98475136</v>
      </c>
      <c r="C2193" s="18" t="n">
        <v>1517535.45175595</v>
      </c>
      <c r="D2193" s="0" t="n">
        <v>1</v>
      </c>
    </row>
    <row r="2194" customFormat="false" ht="15" hidden="false" customHeight="false" outlineLevel="0" collapsed="false">
      <c r="A2194" s="0" t="n">
        <v>2193</v>
      </c>
      <c r="B2194" s="18" t="n">
        <v>427132.549216152</v>
      </c>
      <c r="C2194" s="18" t="n">
        <v>0</v>
      </c>
      <c r="D2194" s="0" t="n">
        <v>0</v>
      </c>
      <c r="E2194" s="19" t="n">
        <v>35.9166666666667</v>
      </c>
    </row>
    <row r="2195" customFormat="false" ht="15" hidden="false" customHeight="false" outlineLevel="0" collapsed="false">
      <c r="A2195" s="0" t="n">
        <v>2194</v>
      </c>
      <c r="B2195" s="18" t="n">
        <v>1097552.85727794</v>
      </c>
      <c r="C2195" s="18" t="n">
        <v>0</v>
      </c>
      <c r="D2195" s="0" t="n">
        <v>0</v>
      </c>
      <c r="E2195" s="19" t="n">
        <v>46.25</v>
      </c>
    </row>
    <row r="2196" customFormat="false" ht="15" hidden="false" customHeight="false" outlineLevel="0" collapsed="false">
      <c r="A2196" s="0" t="n">
        <v>2195</v>
      </c>
      <c r="B2196" s="18" t="n">
        <v>829362.864346892</v>
      </c>
      <c r="C2196" s="18" t="n">
        <v>0</v>
      </c>
      <c r="D2196" s="0" t="n">
        <v>0</v>
      </c>
      <c r="E2196" s="19" t="n">
        <v>43.5</v>
      </c>
    </row>
    <row r="2197" customFormat="false" ht="15" hidden="false" customHeight="false" outlineLevel="0" collapsed="false">
      <c r="A2197" s="0" t="n">
        <v>2196</v>
      </c>
      <c r="B2197" s="18" t="n">
        <v>1060676.49878588</v>
      </c>
      <c r="C2197" s="18" t="n">
        <v>0</v>
      </c>
      <c r="D2197" s="0" t="n">
        <v>0</v>
      </c>
      <c r="E2197" s="19" t="n">
        <v>41</v>
      </c>
    </row>
    <row r="2198" customFormat="false" ht="15" hidden="false" customHeight="false" outlineLevel="0" collapsed="false">
      <c r="A2198" s="0" t="n">
        <v>2197</v>
      </c>
      <c r="B2198" s="18" t="n">
        <v>2160285.48010698</v>
      </c>
      <c r="C2198" s="18" t="n">
        <v>17715283.6081595</v>
      </c>
      <c r="D2198" s="0" t="n">
        <v>1</v>
      </c>
    </row>
    <row r="2199" customFormat="false" ht="15" hidden="false" customHeight="false" outlineLevel="0" collapsed="false">
      <c r="A2199" s="0" t="n">
        <v>2198</v>
      </c>
      <c r="B2199" s="18" t="n">
        <v>1234510.08751225</v>
      </c>
      <c r="C2199" s="18" t="n">
        <v>0</v>
      </c>
      <c r="D2199" s="0" t="n">
        <v>0</v>
      </c>
      <c r="E2199" s="19" t="n">
        <v>44.8333333333333</v>
      </c>
    </row>
    <row r="2200" customFormat="false" ht="15" hidden="false" customHeight="false" outlineLevel="0" collapsed="false">
      <c r="A2200" s="0" t="n">
        <v>2199</v>
      </c>
      <c r="B2200" s="18" t="n">
        <v>1969248.5374231</v>
      </c>
      <c r="C2200" s="18" t="n">
        <v>1361852.63702275</v>
      </c>
      <c r="D2200" s="0" t="n">
        <v>1</v>
      </c>
    </row>
    <row r="2201" customFormat="false" ht="15" hidden="false" customHeight="false" outlineLevel="0" collapsed="false">
      <c r="A2201" s="0" t="n">
        <v>2200</v>
      </c>
      <c r="B2201" s="18" t="n">
        <v>2249107.66841978</v>
      </c>
      <c r="C2201" s="18" t="n">
        <v>0</v>
      </c>
      <c r="D2201" s="0" t="n">
        <v>0</v>
      </c>
      <c r="E2201" s="19" t="n">
        <v>49.1666666666667</v>
      </c>
    </row>
    <row r="2202" customFormat="false" ht="15" hidden="false" customHeight="false" outlineLevel="0" collapsed="false">
      <c r="A2202" s="0" t="n">
        <v>2201</v>
      </c>
      <c r="B2202" s="18" t="n">
        <v>833177.720877938</v>
      </c>
      <c r="C2202" s="18" t="n">
        <v>0</v>
      </c>
      <c r="D2202" s="0" t="n">
        <v>0</v>
      </c>
      <c r="E2202" s="19" t="n">
        <v>41.5833333333333</v>
      </c>
    </row>
    <row r="2203" customFormat="false" ht="15" hidden="false" customHeight="false" outlineLevel="0" collapsed="false">
      <c r="A2203" s="0" t="n">
        <v>2202</v>
      </c>
      <c r="B2203" s="18" t="n">
        <v>630351.463705698</v>
      </c>
      <c r="C2203" s="18" t="n">
        <v>0</v>
      </c>
      <c r="D2203" s="0" t="n">
        <v>0</v>
      </c>
      <c r="E2203" s="19" t="n">
        <v>34.9166666666667</v>
      </c>
    </row>
    <row r="2204" customFormat="false" ht="15" hidden="false" customHeight="false" outlineLevel="0" collapsed="false">
      <c r="A2204" s="0" t="n">
        <v>2203</v>
      </c>
      <c r="B2204" s="18" t="n">
        <v>427286.085746818</v>
      </c>
      <c r="C2204" s="18" t="n">
        <v>0</v>
      </c>
      <c r="D2204" s="0" t="n">
        <v>0</v>
      </c>
      <c r="E2204" s="19" t="n">
        <v>32.5</v>
      </c>
    </row>
    <row r="2205" customFormat="false" ht="15" hidden="false" customHeight="false" outlineLevel="0" collapsed="false">
      <c r="A2205" s="0" t="n">
        <v>2204</v>
      </c>
      <c r="B2205" s="18" t="n">
        <v>776270.958572548</v>
      </c>
      <c r="C2205" s="18" t="n">
        <v>0</v>
      </c>
      <c r="D2205" s="0" t="n">
        <v>0</v>
      </c>
      <c r="E2205" s="19" t="n">
        <v>45.25</v>
      </c>
    </row>
    <row r="2206" customFormat="false" ht="15" hidden="false" customHeight="false" outlineLevel="0" collapsed="false">
      <c r="A2206" s="0" t="n">
        <v>2205</v>
      </c>
      <c r="B2206" s="18" t="n">
        <v>761007.532092177</v>
      </c>
      <c r="C2206" s="18" t="n">
        <v>0</v>
      </c>
      <c r="D2206" s="0" t="n">
        <v>0</v>
      </c>
      <c r="E2206" s="19" t="n">
        <v>39.5</v>
      </c>
    </row>
    <row r="2207" customFormat="false" ht="15" hidden="false" customHeight="false" outlineLevel="0" collapsed="false">
      <c r="A2207" s="0" t="n">
        <v>2206</v>
      </c>
      <c r="B2207" s="18" t="n">
        <v>626126.335395673</v>
      </c>
      <c r="C2207" s="18" t="n">
        <v>0</v>
      </c>
      <c r="D2207" s="0" t="n">
        <v>0</v>
      </c>
      <c r="E2207" s="19" t="n">
        <v>38.5833333333333</v>
      </c>
    </row>
    <row r="2208" customFormat="false" ht="15" hidden="false" customHeight="false" outlineLevel="0" collapsed="false">
      <c r="A2208" s="0" t="n">
        <v>2207</v>
      </c>
      <c r="B2208" s="18" t="n">
        <v>456794.699606923</v>
      </c>
      <c r="C2208" s="18" t="n">
        <v>0</v>
      </c>
      <c r="D2208" s="0" t="n">
        <v>0</v>
      </c>
      <c r="E2208" s="19" t="n">
        <v>40.9166666666667</v>
      </c>
    </row>
    <row r="2209" customFormat="false" ht="15" hidden="false" customHeight="false" outlineLevel="0" collapsed="false">
      <c r="A2209" s="0" t="n">
        <v>2208</v>
      </c>
      <c r="B2209" s="18" t="n">
        <v>1158540.88535344</v>
      </c>
      <c r="C2209" s="18" t="n">
        <v>809240.499101563</v>
      </c>
      <c r="D2209" s="0" t="n">
        <v>1</v>
      </c>
    </row>
    <row r="2210" customFormat="false" ht="15" hidden="false" customHeight="false" outlineLevel="0" collapsed="false">
      <c r="A2210" s="0" t="n">
        <v>2209</v>
      </c>
      <c r="B2210" s="18" t="n">
        <v>638882.74355351</v>
      </c>
      <c r="C2210" s="18" t="n">
        <v>0</v>
      </c>
      <c r="D2210" s="0" t="n">
        <v>0</v>
      </c>
      <c r="E2210" s="19" t="n">
        <v>32.8333333333333</v>
      </c>
    </row>
    <row r="2211" customFormat="false" ht="15" hidden="false" customHeight="false" outlineLevel="0" collapsed="false">
      <c r="A2211" s="0" t="n">
        <v>2210</v>
      </c>
      <c r="B2211" s="18" t="n">
        <v>1904314.75843618</v>
      </c>
      <c r="C2211" s="18" t="n">
        <v>1544413.49463695</v>
      </c>
      <c r="D2211" s="0" t="n">
        <v>1</v>
      </c>
    </row>
    <row r="2212" customFormat="false" ht="15" hidden="false" customHeight="false" outlineLevel="0" collapsed="false">
      <c r="A2212" s="0" t="n">
        <v>2211</v>
      </c>
      <c r="B2212" s="18" t="n">
        <v>796541.170230402</v>
      </c>
      <c r="C2212" s="18" t="n">
        <v>0</v>
      </c>
      <c r="D2212" s="0" t="n">
        <v>0</v>
      </c>
      <c r="E2212" s="19" t="n">
        <v>50.8333333333333</v>
      </c>
    </row>
    <row r="2213" customFormat="false" ht="15" hidden="false" customHeight="false" outlineLevel="0" collapsed="false">
      <c r="A2213" s="0" t="n">
        <v>2212</v>
      </c>
      <c r="B2213" s="18" t="n">
        <v>712898.724818606</v>
      </c>
      <c r="C2213" s="18" t="n">
        <v>0</v>
      </c>
      <c r="D2213" s="0" t="n">
        <v>0</v>
      </c>
      <c r="E2213" s="19" t="n">
        <v>44.4166666666667</v>
      </c>
    </row>
    <row r="2214" customFormat="false" ht="15" hidden="false" customHeight="false" outlineLevel="0" collapsed="false">
      <c r="A2214" s="0" t="n">
        <v>2213</v>
      </c>
      <c r="B2214" s="18" t="n">
        <v>1660310.61249596</v>
      </c>
      <c r="C2214" s="18" t="n">
        <v>8241889.80073289</v>
      </c>
      <c r="D2214" s="0" t="n">
        <v>1</v>
      </c>
    </row>
    <row r="2215" customFormat="false" ht="15" hidden="false" customHeight="false" outlineLevel="0" collapsed="false">
      <c r="A2215" s="0" t="n">
        <v>2214</v>
      </c>
      <c r="B2215" s="18" t="n">
        <v>1195157.21009934</v>
      </c>
      <c r="C2215" s="18" t="n">
        <v>0</v>
      </c>
      <c r="D2215" s="0" t="n">
        <v>0</v>
      </c>
      <c r="E2215" s="19" t="n">
        <v>54.75</v>
      </c>
    </row>
    <row r="2216" customFormat="false" ht="15" hidden="false" customHeight="false" outlineLevel="0" collapsed="false">
      <c r="A2216" s="0" t="n">
        <v>2215</v>
      </c>
      <c r="B2216" s="18" t="n">
        <v>870173.93068638</v>
      </c>
      <c r="C2216" s="18" t="n">
        <v>0</v>
      </c>
      <c r="D2216" s="0" t="n">
        <v>0</v>
      </c>
      <c r="E2216" s="19" t="n">
        <v>45.6666666666667</v>
      </c>
    </row>
    <row r="2217" customFormat="false" ht="15" hidden="false" customHeight="false" outlineLevel="0" collapsed="false">
      <c r="A2217" s="0" t="n">
        <v>2216</v>
      </c>
      <c r="B2217" s="18" t="n">
        <v>387395.098784569</v>
      </c>
      <c r="C2217" s="18" t="n">
        <v>0</v>
      </c>
      <c r="D2217" s="0" t="n">
        <v>0</v>
      </c>
      <c r="E2217" s="19" t="n">
        <v>35.25</v>
      </c>
    </row>
    <row r="2218" customFormat="false" ht="15" hidden="false" customHeight="false" outlineLevel="0" collapsed="false">
      <c r="A2218" s="0" t="n">
        <v>2217</v>
      </c>
      <c r="B2218" s="18" t="n">
        <v>1503648.65901696</v>
      </c>
      <c r="C2218" s="18" t="n">
        <v>3503780.93086573</v>
      </c>
      <c r="D2218" s="0" t="n">
        <v>1</v>
      </c>
    </row>
    <row r="2219" customFormat="false" ht="15" hidden="false" customHeight="false" outlineLevel="0" collapsed="false">
      <c r="A2219" s="0" t="n">
        <v>2218</v>
      </c>
      <c r="B2219" s="18" t="n">
        <v>1271507.26628494</v>
      </c>
      <c r="C2219" s="18" t="n">
        <v>0</v>
      </c>
      <c r="D2219" s="0" t="n">
        <v>0</v>
      </c>
      <c r="E2219" s="19" t="n">
        <v>52.0833333333333</v>
      </c>
    </row>
    <row r="2220" customFormat="false" ht="15" hidden="false" customHeight="false" outlineLevel="0" collapsed="false">
      <c r="A2220" s="0" t="n">
        <v>2219</v>
      </c>
      <c r="B2220" s="18" t="n">
        <v>902408.697188681</v>
      </c>
      <c r="C2220" s="18" t="n">
        <v>5160804.69788012</v>
      </c>
      <c r="D2220" s="0" t="n">
        <v>1</v>
      </c>
    </row>
    <row r="2221" customFormat="false" ht="15" hidden="false" customHeight="false" outlineLevel="0" collapsed="false">
      <c r="A2221" s="0" t="n">
        <v>2220</v>
      </c>
      <c r="B2221" s="18" t="n">
        <v>484437.646997766</v>
      </c>
      <c r="C2221" s="18" t="n">
        <v>0</v>
      </c>
      <c r="D2221" s="0" t="n">
        <v>0</v>
      </c>
      <c r="E2221" s="19" t="n">
        <v>32.0833333333333</v>
      </c>
    </row>
    <row r="2222" customFormat="false" ht="15" hidden="false" customHeight="false" outlineLevel="0" collapsed="false">
      <c r="A2222" s="0" t="n">
        <v>2221</v>
      </c>
      <c r="B2222" s="18" t="n">
        <v>332225.595244148</v>
      </c>
      <c r="C2222" s="18" t="n">
        <v>0</v>
      </c>
      <c r="D2222" s="0" t="n">
        <v>0</v>
      </c>
      <c r="E2222" s="19" t="n">
        <v>30.75</v>
      </c>
    </row>
    <row r="2223" customFormat="false" ht="15" hidden="false" customHeight="false" outlineLevel="0" collapsed="false">
      <c r="A2223" s="0" t="n">
        <v>2222</v>
      </c>
      <c r="B2223" s="18" t="n">
        <v>748603.689397392</v>
      </c>
      <c r="C2223" s="18" t="n">
        <v>0</v>
      </c>
      <c r="D2223" s="0" t="n">
        <v>0</v>
      </c>
      <c r="E2223" s="19" t="n">
        <v>38.6666666666667</v>
      </c>
    </row>
    <row r="2224" customFormat="false" ht="15" hidden="false" customHeight="false" outlineLevel="0" collapsed="false">
      <c r="A2224" s="0" t="n">
        <v>2223</v>
      </c>
      <c r="B2224" s="18" t="n">
        <v>1074987.8322255</v>
      </c>
      <c r="C2224" s="18" t="n">
        <v>0</v>
      </c>
      <c r="D2224" s="0" t="n">
        <v>0</v>
      </c>
      <c r="E2224" s="19" t="n">
        <v>45</v>
      </c>
    </row>
    <row r="2225" customFormat="false" ht="15" hidden="false" customHeight="false" outlineLevel="0" collapsed="false">
      <c r="A2225" s="0" t="n">
        <v>2224</v>
      </c>
      <c r="B2225" s="18" t="n">
        <v>865942.457662273</v>
      </c>
      <c r="C2225" s="18" t="n">
        <v>802348.464298188</v>
      </c>
      <c r="D2225" s="0" t="n">
        <v>1</v>
      </c>
    </row>
    <row r="2226" customFormat="false" ht="15" hidden="false" customHeight="false" outlineLevel="0" collapsed="false">
      <c r="A2226" s="0" t="n">
        <v>2225</v>
      </c>
      <c r="B2226" s="18" t="n">
        <v>738386.797645352</v>
      </c>
      <c r="C2226" s="18" t="n">
        <v>0</v>
      </c>
      <c r="D2226" s="0" t="n">
        <v>0</v>
      </c>
      <c r="E2226" s="19" t="n">
        <v>45.4166666666667</v>
      </c>
    </row>
    <row r="2227" customFormat="false" ht="15" hidden="false" customHeight="false" outlineLevel="0" collapsed="false">
      <c r="A2227" s="0" t="n">
        <v>2226</v>
      </c>
      <c r="B2227" s="18" t="n">
        <v>2828632.31453674</v>
      </c>
      <c r="C2227" s="18" t="n">
        <v>1451974.86235312</v>
      </c>
      <c r="D2227" s="0" t="n">
        <v>1</v>
      </c>
    </row>
    <row r="2228" customFormat="false" ht="15" hidden="false" customHeight="false" outlineLevel="0" collapsed="false">
      <c r="A2228" s="0" t="n">
        <v>2227</v>
      </c>
      <c r="B2228" s="18" t="n">
        <v>817455.2839795</v>
      </c>
      <c r="C2228" s="18" t="n">
        <v>3841850.37970293</v>
      </c>
      <c r="D2228" s="0" t="n">
        <v>1</v>
      </c>
    </row>
    <row r="2229" customFormat="false" ht="15" hidden="false" customHeight="false" outlineLevel="0" collapsed="false">
      <c r="A2229" s="0" t="n">
        <v>2228</v>
      </c>
      <c r="B2229" s="18" t="n">
        <v>766242.25392303</v>
      </c>
      <c r="C2229" s="18" t="n">
        <v>7660308.53260658</v>
      </c>
      <c r="D2229" s="0" t="n">
        <v>1</v>
      </c>
    </row>
    <row r="2230" customFormat="false" ht="15" hidden="false" customHeight="false" outlineLevel="0" collapsed="false">
      <c r="A2230" s="0" t="n">
        <v>2229</v>
      </c>
      <c r="B2230" s="18" t="n">
        <v>832822.841471831</v>
      </c>
      <c r="C2230" s="18" t="n">
        <v>25774614.5154469</v>
      </c>
      <c r="D2230" s="0" t="n">
        <v>1</v>
      </c>
    </row>
    <row r="2231" customFormat="false" ht="15" hidden="false" customHeight="false" outlineLevel="0" collapsed="false">
      <c r="A2231" s="0" t="n">
        <v>2230</v>
      </c>
      <c r="B2231" s="18" t="n">
        <v>481488.683808123</v>
      </c>
      <c r="C2231" s="18" t="n">
        <v>0</v>
      </c>
      <c r="D2231" s="0" t="n">
        <v>0</v>
      </c>
      <c r="E2231" s="19" t="n">
        <v>33.1666666666667</v>
      </c>
    </row>
    <row r="2232" customFormat="false" ht="15" hidden="false" customHeight="false" outlineLevel="0" collapsed="false">
      <c r="A2232" s="0" t="n">
        <v>2231</v>
      </c>
      <c r="B2232" s="18" t="n">
        <v>980456.929400331</v>
      </c>
      <c r="C2232" s="18" t="n">
        <v>0</v>
      </c>
      <c r="D2232" s="0" t="n">
        <v>0</v>
      </c>
      <c r="E2232" s="19" t="n">
        <v>38.5</v>
      </c>
    </row>
    <row r="2233" customFormat="false" ht="15" hidden="false" customHeight="false" outlineLevel="0" collapsed="false">
      <c r="A2233" s="0" t="n">
        <v>2232</v>
      </c>
      <c r="B2233" s="18" t="n">
        <v>966614.507415974</v>
      </c>
      <c r="C2233" s="18" t="n">
        <v>0</v>
      </c>
      <c r="D2233" s="0" t="n">
        <v>0</v>
      </c>
      <c r="E2233" s="19" t="n">
        <v>39.6666666666667</v>
      </c>
    </row>
    <row r="2234" customFormat="false" ht="15" hidden="false" customHeight="false" outlineLevel="0" collapsed="false">
      <c r="A2234" s="0" t="n">
        <v>2233</v>
      </c>
      <c r="B2234" s="18" t="n">
        <v>790362.867312388</v>
      </c>
      <c r="C2234" s="18" t="n">
        <v>0</v>
      </c>
      <c r="D2234" s="0" t="n">
        <v>0</v>
      </c>
      <c r="E2234" s="19" t="n">
        <v>43.75</v>
      </c>
    </row>
    <row r="2235" customFormat="false" ht="15" hidden="false" customHeight="false" outlineLevel="0" collapsed="false">
      <c r="A2235" s="0" t="n">
        <v>2234</v>
      </c>
      <c r="B2235" s="18" t="n">
        <v>2270169.32621962</v>
      </c>
      <c r="C2235" s="18" t="n">
        <v>848879.712500097</v>
      </c>
      <c r="D2235" s="0" t="n">
        <v>1</v>
      </c>
    </row>
    <row r="2236" customFormat="false" ht="15" hidden="false" customHeight="false" outlineLevel="0" collapsed="false">
      <c r="A2236" s="0" t="n">
        <v>2235</v>
      </c>
      <c r="B2236" s="18" t="n">
        <v>3112509.20772114</v>
      </c>
      <c r="C2236" s="18" t="n">
        <v>11659736.7185549</v>
      </c>
      <c r="D2236" s="0" t="n">
        <v>1</v>
      </c>
    </row>
    <row r="2237" customFormat="false" ht="15" hidden="false" customHeight="false" outlineLevel="0" collapsed="false">
      <c r="A2237" s="0" t="n">
        <v>2236</v>
      </c>
      <c r="B2237" s="18" t="n">
        <v>1040186.11811645</v>
      </c>
      <c r="C2237" s="18" t="n">
        <v>11792140.0586751</v>
      </c>
      <c r="D2237" s="0" t="n">
        <v>1</v>
      </c>
    </row>
    <row r="2238" customFormat="false" ht="15" hidden="false" customHeight="false" outlineLevel="0" collapsed="false">
      <c r="A2238" s="0" t="n">
        <v>2237</v>
      </c>
      <c r="B2238" s="18" t="n">
        <v>484858.270808096</v>
      </c>
      <c r="C2238" s="18" t="n">
        <v>0</v>
      </c>
      <c r="D2238" s="0" t="n">
        <v>0</v>
      </c>
      <c r="E2238" s="19" t="n">
        <v>35.1666666666667</v>
      </c>
    </row>
    <row r="2239" customFormat="false" ht="15" hidden="false" customHeight="false" outlineLevel="0" collapsed="false">
      <c r="A2239" s="0" t="n">
        <v>2238</v>
      </c>
      <c r="B2239" s="18" t="n">
        <v>561388.256096628</v>
      </c>
      <c r="C2239" s="18" t="n">
        <v>0</v>
      </c>
      <c r="D2239" s="0" t="n">
        <v>0</v>
      </c>
      <c r="E2239" s="19" t="n">
        <v>36.75</v>
      </c>
    </row>
    <row r="2240" customFormat="false" ht="15" hidden="false" customHeight="false" outlineLevel="0" collapsed="false">
      <c r="A2240" s="0" t="n">
        <v>2239</v>
      </c>
      <c r="B2240" s="18" t="n">
        <v>974832.273883004</v>
      </c>
      <c r="C2240" s="18" t="n">
        <v>0</v>
      </c>
      <c r="D2240" s="0" t="n">
        <v>0</v>
      </c>
      <c r="E2240" s="19" t="n">
        <v>37.6666666666667</v>
      </c>
    </row>
    <row r="2241" customFormat="false" ht="15" hidden="false" customHeight="false" outlineLevel="0" collapsed="false">
      <c r="A2241" s="0" t="n">
        <v>2240</v>
      </c>
      <c r="B2241" s="18" t="n">
        <v>582145.873074963</v>
      </c>
      <c r="C2241" s="18" t="n">
        <v>0</v>
      </c>
      <c r="D2241" s="0" t="n">
        <v>0</v>
      </c>
      <c r="E2241" s="19" t="n">
        <v>41.6666666666667</v>
      </c>
    </row>
    <row r="2242" customFormat="false" ht="15" hidden="false" customHeight="false" outlineLevel="0" collapsed="false">
      <c r="A2242" s="0" t="n">
        <v>2241</v>
      </c>
      <c r="B2242" s="18" t="n">
        <v>1256927.0307984</v>
      </c>
      <c r="C2242" s="18" t="n">
        <v>6656867.17040264</v>
      </c>
      <c r="D2242" s="0" t="n">
        <v>1</v>
      </c>
    </row>
    <row r="2243" customFormat="false" ht="15" hidden="false" customHeight="false" outlineLevel="0" collapsed="false">
      <c r="A2243" s="0" t="n">
        <v>2242</v>
      </c>
      <c r="B2243" s="18" t="n">
        <v>1753245.67014099</v>
      </c>
      <c r="C2243" s="18" t="n">
        <v>18301936.9248172</v>
      </c>
      <c r="D2243" s="0" t="n">
        <v>1</v>
      </c>
    </row>
    <row r="2244" customFormat="false" ht="15" hidden="false" customHeight="false" outlineLevel="0" collapsed="false">
      <c r="A2244" s="0" t="n">
        <v>2243</v>
      </c>
      <c r="B2244" s="18" t="n">
        <v>651813.659312172</v>
      </c>
      <c r="C2244" s="18" t="n">
        <v>0</v>
      </c>
      <c r="D2244" s="0" t="n">
        <v>0</v>
      </c>
      <c r="E2244" s="19" t="n">
        <v>41.5</v>
      </c>
    </row>
    <row r="2245" customFormat="false" ht="15" hidden="false" customHeight="false" outlineLevel="0" collapsed="false">
      <c r="A2245" s="0" t="n">
        <v>2244</v>
      </c>
      <c r="B2245" s="18" t="n">
        <v>911090.608979096</v>
      </c>
      <c r="C2245" s="18" t="n">
        <v>0</v>
      </c>
      <c r="D2245" s="0" t="n">
        <v>0</v>
      </c>
      <c r="E2245" s="19" t="n">
        <v>44.0833333333333</v>
      </c>
    </row>
    <row r="2246" customFormat="false" ht="15" hidden="false" customHeight="false" outlineLevel="0" collapsed="false">
      <c r="A2246" s="0" t="n">
        <v>2245</v>
      </c>
      <c r="B2246" s="18" t="n">
        <v>496769.764076712</v>
      </c>
      <c r="C2246" s="18" t="n">
        <v>0</v>
      </c>
      <c r="D2246" s="0" t="n">
        <v>0</v>
      </c>
      <c r="E2246" s="19" t="n">
        <v>38.4166666666667</v>
      </c>
    </row>
    <row r="2247" customFormat="false" ht="15" hidden="false" customHeight="false" outlineLevel="0" collapsed="false">
      <c r="A2247" s="0" t="n">
        <v>2246</v>
      </c>
      <c r="B2247" s="18" t="n">
        <v>381083.712775901</v>
      </c>
      <c r="C2247" s="18" t="n">
        <v>0</v>
      </c>
      <c r="D2247" s="0" t="n">
        <v>0</v>
      </c>
      <c r="E2247" s="19" t="n">
        <v>37</v>
      </c>
    </row>
    <row r="2248" customFormat="false" ht="15" hidden="false" customHeight="false" outlineLevel="0" collapsed="false">
      <c r="A2248" s="0" t="n">
        <v>2247</v>
      </c>
      <c r="B2248" s="18" t="n">
        <v>345042.83231365</v>
      </c>
      <c r="C2248" s="18" t="n">
        <v>0</v>
      </c>
      <c r="D2248" s="0" t="n">
        <v>0</v>
      </c>
      <c r="E2248" s="19" t="n">
        <v>29.3333333333333</v>
      </c>
    </row>
    <row r="2249" customFormat="false" ht="15" hidden="false" customHeight="false" outlineLevel="0" collapsed="false">
      <c r="A2249" s="0" t="n">
        <v>2248</v>
      </c>
      <c r="B2249" s="18" t="n">
        <v>426532.955505047</v>
      </c>
      <c r="C2249" s="18" t="n">
        <v>0</v>
      </c>
      <c r="D2249" s="0" t="n">
        <v>0</v>
      </c>
      <c r="E2249" s="19" t="n">
        <v>35</v>
      </c>
    </row>
    <row r="2250" customFormat="false" ht="15" hidden="false" customHeight="false" outlineLevel="0" collapsed="false">
      <c r="A2250" s="0" t="n">
        <v>2249</v>
      </c>
      <c r="B2250" s="18" t="n">
        <v>1593975.75116023</v>
      </c>
      <c r="C2250" s="18" t="n">
        <v>2848686.51779836</v>
      </c>
      <c r="D2250" s="0" t="n">
        <v>1</v>
      </c>
    </row>
    <row r="2251" customFormat="false" ht="15" hidden="false" customHeight="false" outlineLevel="0" collapsed="false">
      <c r="A2251" s="0" t="n">
        <v>2250</v>
      </c>
      <c r="B2251" s="18" t="n">
        <v>855736.312480139</v>
      </c>
      <c r="C2251" s="18" t="n">
        <v>7588411.00230974</v>
      </c>
      <c r="D2251" s="0" t="n">
        <v>1</v>
      </c>
    </row>
    <row r="2252" customFormat="false" ht="15" hidden="false" customHeight="false" outlineLevel="0" collapsed="false">
      <c r="A2252" s="0" t="n">
        <v>2251</v>
      </c>
      <c r="B2252" s="18" t="n">
        <v>712180.719813203</v>
      </c>
      <c r="C2252" s="18" t="n">
        <v>0</v>
      </c>
      <c r="D2252" s="0" t="n">
        <v>0</v>
      </c>
      <c r="E2252" s="19" t="n">
        <v>39.5</v>
      </c>
    </row>
    <row r="2253" customFormat="false" ht="15" hidden="false" customHeight="false" outlineLevel="0" collapsed="false">
      <c r="A2253" s="0" t="n">
        <v>2252</v>
      </c>
      <c r="B2253" s="18" t="n">
        <v>880735.848934094</v>
      </c>
      <c r="C2253" s="18" t="n">
        <v>600679.415952564</v>
      </c>
      <c r="D2253" s="0" t="n">
        <v>1</v>
      </c>
    </row>
    <row r="2254" customFormat="false" ht="15" hidden="false" customHeight="false" outlineLevel="0" collapsed="false">
      <c r="A2254" s="0" t="n">
        <v>2253</v>
      </c>
      <c r="B2254" s="18" t="n">
        <v>813886.137793789</v>
      </c>
      <c r="C2254" s="18" t="n">
        <v>0</v>
      </c>
      <c r="D2254" s="0" t="n">
        <v>0</v>
      </c>
      <c r="E2254" s="19" t="n">
        <v>39.5833333333333</v>
      </c>
    </row>
    <row r="2255" customFormat="false" ht="15" hidden="false" customHeight="false" outlineLevel="0" collapsed="false">
      <c r="A2255" s="0" t="n">
        <v>2254</v>
      </c>
      <c r="B2255" s="18" t="n">
        <v>497201.001464279</v>
      </c>
      <c r="C2255" s="18" t="n">
        <v>0</v>
      </c>
      <c r="D2255" s="0" t="n">
        <v>0</v>
      </c>
      <c r="E2255" s="19" t="n">
        <v>31</v>
      </c>
    </row>
    <row r="2256" customFormat="false" ht="15" hidden="false" customHeight="false" outlineLevel="0" collapsed="false">
      <c r="A2256" s="0" t="n">
        <v>2255</v>
      </c>
      <c r="B2256" s="18" t="n">
        <v>456753.07021413</v>
      </c>
      <c r="C2256" s="18" t="n">
        <v>0</v>
      </c>
      <c r="D2256" s="0" t="n">
        <v>0</v>
      </c>
      <c r="E2256" s="19" t="n">
        <v>40</v>
      </c>
    </row>
    <row r="2257" customFormat="false" ht="15" hidden="false" customHeight="false" outlineLevel="0" collapsed="false">
      <c r="A2257" s="0" t="n">
        <v>2256</v>
      </c>
      <c r="B2257" s="18" t="n">
        <v>1058725.51380782</v>
      </c>
      <c r="C2257" s="18" t="n">
        <v>181441.856592868</v>
      </c>
      <c r="D2257" s="0" t="n">
        <v>1</v>
      </c>
    </row>
    <row r="2258" customFormat="false" ht="15" hidden="false" customHeight="false" outlineLevel="0" collapsed="false">
      <c r="A2258" s="0" t="n">
        <v>2257</v>
      </c>
      <c r="B2258" s="18" t="n">
        <v>757903.373636179</v>
      </c>
      <c r="C2258" s="18" t="n">
        <v>2474513.63158283</v>
      </c>
      <c r="D2258" s="0" t="n">
        <v>1</v>
      </c>
    </row>
    <row r="2259" customFormat="false" ht="15" hidden="false" customHeight="false" outlineLevel="0" collapsed="false">
      <c r="A2259" s="0" t="n">
        <v>2258</v>
      </c>
      <c r="B2259" s="18" t="n">
        <v>465806.596373111</v>
      </c>
      <c r="C2259" s="18" t="n">
        <v>0</v>
      </c>
      <c r="D2259" s="0" t="n">
        <v>0</v>
      </c>
      <c r="E2259" s="19" t="n">
        <v>33.5</v>
      </c>
    </row>
    <row r="2260" customFormat="false" ht="15" hidden="false" customHeight="false" outlineLevel="0" collapsed="false">
      <c r="A2260" s="0" t="n">
        <v>2259</v>
      </c>
      <c r="B2260" s="18" t="n">
        <v>680105.328174163</v>
      </c>
      <c r="C2260" s="18" t="n">
        <v>0</v>
      </c>
      <c r="D2260" s="0" t="n">
        <v>0</v>
      </c>
      <c r="E2260" s="19" t="n">
        <v>41.4166666666667</v>
      </c>
    </row>
    <row r="2261" customFormat="false" ht="15" hidden="false" customHeight="false" outlineLevel="0" collapsed="false">
      <c r="A2261" s="0" t="n">
        <v>2260</v>
      </c>
      <c r="B2261" s="18" t="n">
        <v>686767.501835343</v>
      </c>
      <c r="C2261" s="18" t="n">
        <v>0</v>
      </c>
      <c r="D2261" s="0" t="n">
        <v>0</v>
      </c>
      <c r="E2261" s="19" t="n">
        <v>43.0833333333333</v>
      </c>
    </row>
    <row r="2262" customFormat="false" ht="15" hidden="false" customHeight="false" outlineLevel="0" collapsed="false">
      <c r="A2262" s="0" t="n">
        <v>2261</v>
      </c>
      <c r="B2262" s="18" t="n">
        <v>1264395.27343456</v>
      </c>
      <c r="C2262" s="18" t="n">
        <v>4076709.62802115</v>
      </c>
      <c r="D2262" s="0" t="n">
        <v>1</v>
      </c>
    </row>
    <row r="2263" customFormat="false" ht="15" hidden="false" customHeight="false" outlineLevel="0" collapsed="false">
      <c r="A2263" s="0" t="n">
        <v>2262</v>
      </c>
      <c r="B2263" s="18" t="n">
        <v>1114568.15006583</v>
      </c>
      <c r="C2263" s="18" t="n">
        <v>3444476.0202908</v>
      </c>
      <c r="D2263" s="0" t="n">
        <v>1</v>
      </c>
    </row>
    <row r="2264" customFormat="false" ht="15" hidden="false" customHeight="false" outlineLevel="0" collapsed="false">
      <c r="A2264" s="0" t="n">
        <v>2263</v>
      </c>
      <c r="B2264" s="18" t="n">
        <v>1054715.45901719</v>
      </c>
      <c r="C2264" s="18" t="n">
        <v>2554710.60936457</v>
      </c>
      <c r="D2264" s="0" t="n">
        <v>1</v>
      </c>
    </row>
    <row r="2265" customFormat="false" ht="15" hidden="false" customHeight="false" outlineLevel="0" collapsed="false">
      <c r="A2265" s="0" t="n">
        <v>2264</v>
      </c>
      <c r="B2265" s="18" t="n">
        <v>1183739.91273243</v>
      </c>
      <c r="C2265" s="18" t="n">
        <v>2439278.0033457</v>
      </c>
      <c r="D2265" s="0" t="n">
        <v>1</v>
      </c>
    </row>
    <row r="2266" customFormat="false" ht="15" hidden="false" customHeight="false" outlineLevel="0" collapsed="false">
      <c r="A2266" s="0" t="n">
        <v>2265</v>
      </c>
      <c r="B2266" s="18" t="n">
        <v>2232593.89102107</v>
      </c>
      <c r="C2266" s="18" t="n">
        <v>41374908.8851194</v>
      </c>
      <c r="D2266" s="0" t="n">
        <v>1</v>
      </c>
    </row>
    <row r="2267" customFormat="false" ht="15" hidden="false" customHeight="false" outlineLevel="0" collapsed="false">
      <c r="A2267" s="0" t="n">
        <v>2266</v>
      </c>
      <c r="B2267" s="18" t="n">
        <v>1527733.63301501</v>
      </c>
      <c r="C2267" s="18" t="n">
        <v>3709082.95447655</v>
      </c>
      <c r="D2267" s="0" t="n">
        <v>1</v>
      </c>
    </row>
    <row r="2268" customFormat="false" ht="15" hidden="false" customHeight="false" outlineLevel="0" collapsed="false">
      <c r="A2268" s="0" t="n">
        <v>2267</v>
      </c>
      <c r="B2268" s="18" t="n">
        <v>2260472.78594122</v>
      </c>
      <c r="C2268" s="18" t="n">
        <v>10761476.4915394</v>
      </c>
      <c r="D2268" s="0" t="n">
        <v>1</v>
      </c>
    </row>
    <row r="2269" customFormat="false" ht="15" hidden="false" customHeight="false" outlineLevel="0" collapsed="false">
      <c r="A2269" s="0" t="n">
        <v>2268</v>
      </c>
      <c r="B2269" s="18" t="n">
        <v>598473.455337425</v>
      </c>
      <c r="C2269" s="18" t="n">
        <v>0</v>
      </c>
      <c r="D2269" s="0" t="n">
        <v>0</v>
      </c>
      <c r="E2269" s="19" t="n">
        <v>35</v>
      </c>
    </row>
    <row r="2270" customFormat="false" ht="15" hidden="false" customHeight="false" outlineLevel="0" collapsed="false">
      <c r="A2270" s="0" t="n">
        <v>2269</v>
      </c>
      <c r="B2270" s="18" t="n">
        <v>428470.85999552</v>
      </c>
      <c r="C2270" s="18" t="n">
        <v>0</v>
      </c>
      <c r="D2270" s="0" t="n">
        <v>0</v>
      </c>
      <c r="E2270" s="19" t="n">
        <v>32.5833333333333</v>
      </c>
    </row>
    <row r="2271" customFormat="false" ht="15" hidden="false" customHeight="false" outlineLevel="0" collapsed="false">
      <c r="A2271" s="0" t="n">
        <v>2270</v>
      </c>
      <c r="B2271" s="18" t="n">
        <v>1035729.69985245</v>
      </c>
      <c r="C2271" s="18" t="n">
        <v>5308457.52084757</v>
      </c>
      <c r="D2271" s="0" t="n">
        <v>1</v>
      </c>
    </row>
    <row r="2272" customFormat="false" ht="15" hidden="false" customHeight="false" outlineLevel="0" collapsed="false">
      <c r="A2272" s="0" t="n">
        <v>2271</v>
      </c>
      <c r="B2272" s="18" t="n">
        <v>1501309.6029453</v>
      </c>
      <c r="C2272" s="18" t="n">
        <v>2479967.00008687</v>
      </c>
      <c r="D2272" s="0" t="n">
        <v>1</v>
      </c>
    </row>
    <row r="2273" customFormat="false" ht="15" hidden="false" customHeight="false" outlineLevel="0" collapsed="false">
      <c r="A2273" s="0" t="n">
        <v>2272</v>
      </c>
      <c r="B2273" s="18" t="n">
        <v>820544.768117613</v>
      </c>
      <c r="C2273" s="18" t="n">
        <v>0</v>
      </c>
      <c r="D2273" s="0" t="n">
        <v>0</v>
      </c>
      <c r="E2273" s="19" t="n">
        <v>37.5</v>
      </c>
    </row>
    <row r="2274" customFormat="false" ht="15" hidden="false" customHeight="false" outlineLevel="0" collapsed="false">
      <c r="A2274" s="0" t="n">
        <v>2273</v>
      </c>
      <c r="B2274" s="18" t="n">
        <v>857582.917661125</v>
      </c>
      <c r="C2274" s="18" t="n">
        <v>0</v>
      </c>
      <c r="D2274" s="0" t="n">
        <v>0</v>
      </c>
      <c r="E2274" s="19" t="n">
        <v>37.5</v>
      </c>
    </row>
    <row r="2275" customFormat="false" ht="15" hidden="false" customHeight="false" outlineLevel="0" collapsed="false">
      <c r="A2275" s="0" t="n">
        <v>2274</v>
      </c>
      <c r="B2275" s="18" t="n">
        <v>652883.887615591</v>
      </c>
      <c r="C2275" s="18" t="n">
        <v>0</v>
      </c>
      <c r="D2275" s="0" t="n">
        <v>0</v>
      </c>
      <c r="E2275" s="19" t="n">
        <v>37.0833333333333</v>
      </c>
    </row>
    <row r="2276" customFormat="false" ht="15" hidden="false" customHeight="false" outlineLevel="0" collapsed="false">
      <c r="A2276" s="0" t="n">
        <v>2275</v>
      </c>
      <c r="B2276" s="18" t="n">
        <v>759042.206215841</v>
      </c>
      <c r="C2276" s="18" t="n">
        <v>0</v>
      </c>
      <c r="D2276" s="0" t="n">
        <v>0</v>
      </c>
      <c r="E2276" s="19" t="n">
        <v>42.5833333333333</v>
      </c>
    </row>
    <row r="2277" customFormat="false" ht="15" hidden="false" customHeight="false" outlineLevel="0" collapsed="false">
      <c r="A2277" s="0" t="n">
        <v>2276</v>
      </c>
      <c r="B2277" s="18" t="n">
        <v>522296.948359102</v>
      </c>
      <c r="C2277" s="18" t="n">
        <v>0</v>
      </c>
      <c r="D2277" s="0" t="n">
        <v>0</v>
      </c>
      <c r="E2277" s="19" t="n">
        <v>39.9166666666667</v>
      </c>
    </row>
    <row r="2278" customFormat="false" ht="15" hidden="false" customHeight="false" outlineLevel="0" collapsed="false">
      <c r="A2278" s="0" t="n">
        <v>2277</v>
      </c>
      <c r="B2278" s="18" t="n">
        <v>434265.478690796</v>
      </c>
      <c r="C2278" s="18" t="n">
        <v>0</v>
      </c>
      <c r="D2278" s="0" t="n">
        <v>0</v>
      </c>
      <c r="E2278" s="19" t="n">
        <v>35</v>
      </c>
    </row>
    <row r="2279" customFormat="false" ht="15" hidden="false" customHeight="false" outlineLevel="0" collapsed="false">
      <c r="A2279" s="0" t="n">
        <v>2278</v>
      </c>
      <c r="B2279" s="18" t="n">
        <v>919561.161399166</v>
      </c>
      <c r="C2279" s="18" t="n">
        <v>0</v>
      </c>
      <c r="D2279" s="0" t="n">
        <v>0</v>
      </c>
      <c r="E2279" s="19" t="n">
        <v>47</v>
      </c>
    </row>
    <row r="2280" customFormat="false" ht="15" hidden="false" customHeight="false" outlineLevel="0" collapsed="false">
      <c r="A2280" s="0" t="n">
        <v>2279</v>
      </c>
      <c r="B2280" s="18" t="n">
        <v>1511233.68349718</v>
      </c>
      <c r="C2280" s="18" t="n">
        <v>23892.0518177243</v>
      </c>
      <c r="D2280" s="0" t="n">
        <v>1</v>
      </c>
    </row>
    <row r="2281" customFormat="false" ht="15" hidden="false" customHeight="false" outlineLevel="0" collapsed="false">
      <c r="A2281" s="0" t="n">
        <v>2280</v>
      </c>
      <c r="B2281" s="18" t="n">
        <v>1344374.41010514</v>
      </c>
      <c r="C2281" s="18" t="n">
        <v>0</v>
      </c>
      <c r="D2281" s="0" t="n">
        <v>0</v>
      </c>
      <c r="E2281" s="19" t="n">
        <v>47.9166666666667</v>
      </c>
    </row>
    <row r="2282" customFormat="false" ht="15" hidden="false" customHeight="false" outlineLevel="0" collapsed="false">
      <c r="A2282" s="0" t="n">
        <v>2281</v>
      </c>
      <c r="B2282" s="18" t="n">
        <v>1847410.03657304</v>
      </c>
      <c r="C2282" s="18" t="n">
        <v>1463335.38837126</v>
      </c>
      <c r="D2282" s="0" t="n">
        <v>1</v>
      </c>
    </row>
    <row r="2283" customFormat="false" ht="15" hidden="false" customHeight="false" outlineLevel="0" collapsed="false">
      <c r="A2283" s="0" t="n">
        <v>2282</v>
      </c>
      <c r="B2283" s="18" t="n">
        <v>2566253.11861949</v>
      </c>
      <c r="C2283" s="18" t="n">
        <v>626998.540377199</v>
      </c>
      <c r="D2283" s="0" t="n">
        <v>1</v>
      </c>
    </row>
    <row r="2284" customFormat="false" ht="15" hidden="false" customHeight="false" outlineLevel="0" collapsed="false">
      <c r="A2284" s="0" t="n">
        <v>2283</v>
      </c>
      <c r="B2284" s="18" t="n">
        <v>593920.542304907</v>
      </c>
      <c r="C2284" s="18" t="n">
        <v>0</v>
      </c>
      <c r="D2284" s="0" t="n">
        <v>0</v>
      </c>
      <c r="E2284" s="19" t="n">
        <v>31.5833333333333</v>
      </c>
    </row>
    <row r="2285" customFormat="false" ht="15" hidden="false" customHeight="false" outlineLevel="0" collapsed="false">
      <c r="A2285" s="0" t="n">
        <v>2284</v>
      </c>
      <c r="B2285" s="18" t="n">
        <v>1193356.95590247</v>
      </c>
      <c r="C2285" s="18" t="n">
        <v>0</v>
      </c>
      <c r="D2285" s="0" t="n">
        <v>0</v>
      </c>
      <c r="E2285" s="19" t="n">
        <v>40.8333333333333</v>
      </c>
    </row>
    <row r="2286" customFormat="false" ht="15" hidden="false" customHeight="false" outlineLevel="0" collapsed="false">
      <c r="A2286" s="0" t="n">
        <v>2285</v>
      </c>
      <c r="B2286" s="18" t="n">
        <v>5350284.56208696</v>
      </c>
      <c r="C2286" s="18" t="n">
        <v>16011767.0891688</v>
      </c>
      <c r="D2286" s="0" t="n">
        <v>1</v>
      </c>
    </row>
    <row r="2287" customFormat="false" ht="15" hidden="false" customHeight="false" outlineLevel="0" collapsed="false">
      <c r="A2287" s="0" t="n">
        <v>2286</v>
      </c>
      <c r="B2287" s="18" t="n">
        <v>573405.231944468</v>
      </c>
      <c r="C2287" s="18" t="n">
        <v>0</v>
      </c>
      <c r="D2287" s="0" t="n">
        <v>0</v>
      </c>
      <c r="E2287" s="19" t="n">
        <v>36.9166666666667</v>
      </c>
    </row>
    <row r="2288" customFormat="false" ht="15" hidden="false" customHeight="false" outlineLevel="0" collapsed="false">
      <c r="A2288" s="0" t="n">
        <v>2287</v>
      </c>
      <c r="B2288" s="18" t="n">
        <v>494641.451287044</v>
      </c>
      <c r="C2288" s="18" t="n">
        <v>0</v>
      </c>
      <c r="D2288" s="0" t="n">
        <v>0</v>
      </c>
      <c r="E2288" s="19" t="n">
        <v>32.6666666666667</v>
      </c>
    </row>
    <row r="2289" customFormat="false" ht="15" hidden="false" customHeight="false" outlineLevel="0" collapsed="false">
      <c r="A2289" s="0" t="n">
        <v>2288</v>
      </c>
      <c r="B2289" s="18" t="n">
        <v>1068911.38418919</v>
      </c>
      <c r="C2289" s="18" t="n">
        <v>1534355.81138374</v>
      </c>
      <c r="D2289" s="0" t="n">
        <v>1</v>
      </c>
    </row>
    <row r="2290" customFormat="false" ht="15" hidden="false" customHeight="false" outlineLevel="0" collapsed="false">
      <c r="A2290" s="0" t="n">
        <v>2289</v>
      </c>
      <c r="B2290" s="18" t="n">
        <v>908131.339083229</v>
      </c>
      <c r="C2290" s="18" t="n">
        <v>0</v>
      </c>
      <c r="D2290" s="0" t="n">
        <v>0</v>
      </c>
      <c r="E2290" s="19" t="n">
        <v>49.0833333333333</v>
      </c>
    </row>
    <row r="2291" customFormat="false" ht="15" hidden="false" customHeight="false" outlineLevel="0" collapsed="false">
      <c r="A2291" s="0" t="n">
        <v>2290</v>
      </c>
      <c r="B2291" s="18" t="n">
        <v>392724.654258263</v>
      </c>
      <c r="C2291" s="18" t="n">
        <v>0</v>
      </c>
      <c r="D2291" s="0" t="n">
        <v>0</v>
      </c>
      <c r="E2291" s="19" t="n">
        <v>30.4166666666667</v>
      </c>
    </row>
    <row r="2292" customFormat="false" ht="15" hidden="false" customHeight="false" outlineLevel="0" collapsed="false">
      <c r="A2292" s="0" t="n">
        <v>2291</v>
      </c>
      <c r="B2292" s="18" t="n">
        <v>836229.241330023</v>
      </c>
      <c r="C2292" s="18" t="n">
        <v>0</v>
      </c>
      <c r="D2292" s="0" t="n">
        <v>0</v>
      </c>
      <c r="E2292" s="19" t="n">
        <v>43.5</v>
      </c>
    </row>
    <row r="2293" customFormat="false" ht="15" hidden="false" customHeight="false" outlineLevel="0" collapsed="false">
      <c r="A2293" s="0" t="n">
        <v>2292</v>
      </c>
      <c r="B2293" s="18" t="n">
        <v>1016664.14045196</v>
      </c>
      <c r="C2293" s="18" t="n">
        <v>474493.292151759</v>
      </c>
      <c r="D2293" s="0" t="n">
        <v>1</v>
      </c>
    </row>
    <row r="2294" customFormat="false" ht="15" hidden="false" customHeight="false" outlineLevel="0" collapsed="false">
      <c r="A2294" s="0" t="n">
        <v>2293</v>
      </c>
      <c r="B2294" s="18" t="n">
        <v>857950.001456528</v>
      </c>
      <c r="C2294" s="18" t="n">
        <v>0</v>
      </c>
      <c r="D2294" s="0" t="n">
        <v>0</v>
      </c>
      <c r="E2294" s="19" t="n">
        <v>39.5</v>
      </c>
    </row>
    <row r="2295" customFormat="false" ht="15" hidden="false" customHeight="false" outlineLevel="0" collapsed="false">
      <c r="A2295" s="0" t="n">
        <v>2294</v>
      </c>
      <c r="B2295" s="18" t="n">
        <v>1384581.83884446</v>
      </c>
      <c r="C2295" s="18" t="n">
        <v>6602772.81406908</v>
      </c>
      <c r="D2295" s="0" t="n">
        <v>1</v>
      </c>
    </row>
    <row r="2296" customFormat="false" ht="15" hidden="false" customHeight="false" outlineLevel="0" collapsed="false">
      <c r="A2296" s="0" t="n">
        <v>2295</v>
      </c>
      <c r="B2296" s="18" t="n">
        <v>1287711.96095884</v>
      </c>
      <c r="C2296" s="18" t="n">
        <v>4438390.8515207</v>
      </c>
      <c r="D2296" s="0" t="n">
        <v>1</v>
      </c>
    </row>
    <row r="2297" customFormat="false" ht="15" hidden="false" customHeight="false" outlineLevel="0" collapsed="false">
      <c r="A2297" s="0" t="n">
        <v>2296</v>
      </c>
      <c r="B2297" s="18" t="n">
        <v>754986.378887421</v>
      </c>
      <c r="C2297" s="18" t="n">
        <v>3305269.43218158</v>
      </c>
      <c r="D2297" s="0" t="n">
        <v>1</v>
      </c>
    </row>
    <row r="2298" customFormat="false" ht="15" hidden="false" customHeight="false" outlineLevel="0" collapsed="false">
      <c r="A2298" s="0" t="n">
        <v>2297</v>
      </c>
      <c r="B2298" s="18" t="n">
        <v>1624802.82213949</v>
      </c>
      <c r="C2298" s="18" t="n">
        <v>0</v>
      </c>
      <c r="D2298" s="0" t="n">
        <v>0</v>
      </c>
      <c r="E2298" s="19" t="n">
        <v>47.5833333333333</v>
      </c>
    </row>
    <row r="2299" customFormat="false" ht="15" hidden="false" customHeight="false" outlineLevel="0" collapsed="false">
      <c r="A2299" s="0" t="n">
        <v>2298</v>
      </c>
      <c r="B2299" s="18" t="n">
        <v>867215.944069854</v>
      </c>
      <c r="C2299" s="18" t="n">
        <v>0</v>
      </c>
      <c r="D2299" s="0" t="n">
        <v>0</v>
      </c>
      <c r="E2299" s="19" t="n">
        <v>49.25</v>
      </c>
    </row>
    <row r="2300" customFormat="false" ht="15" hidden="false" customHeight="false" outlineLevel="0" collapsed="false">
      <c r="A2300" s="0" t="n">
        <v>2299</v>
      </c>
      <c r="B2300" s="18" t="n">
        <v>846427.014095728</v>
      </c>
      <c r="C2300" s="18" t="n">
        <v>0</v>
      </c>
      <c r="D2300" s="0" t="n">
        <v>0</v>
      </c>
      <c r="E2300" s="19" t="n">
        <v>45.9166666666667</v>
      </c>
    </row>
    <row r="2301" customFormat="false" ht="15" hidden="false" customHeight="false" outlineLevel="0" collapsed="false">
      <c r="A2301" s="0" t="n">
        <v>2300</v>
      </c>
      <c r="B2301" s="18" t="n">
        <v>880608.169819927</v>
      </c>
      <c r="C2301" s="18" t="n">
        <v>0</v>
      </c>
      <c r="D2301" s="0" t="n">
        <v>0</v>
      </c>
      <c r="E2301" s="19" t="n">
        <v>49.0833333333333</v>
      </c>
    </row>
    <row r="2302" customFormat="false" ht="15" hidden="false" customHeight="false" outlineLevel="0" collapsed="false">
      <c r="A2302" s="0" t="n">
        <v>2301</v>
      </c>
      <c r="B2302" s="18" t="n">
        <v>806494.622938914</v>
      </c>
      <c r="C2302" s="18" t="n">
        <v>0</v>
      </c>
      <c r="D2302" s="0" t="n">
        <v>0</v>
      </c>
      <c r="E2302" s="19" t="n">
        <v>38.0833333333333</v>
      </c>
    </row>
    <row r="2303" customFormat="false" ht="15" hidden="false" customHeight="false" outlineLevel="0" collapsed="false">
      <c r="A2303" s="0" t="n">
        <v>2302</v>
      </c>
      <c r="B2303" s="18" t="n">
        <v>982722.629822812</v>
      </c>
      <c r="C2303" s="18" t="n">
        <v>624804.921471217</v>
      </c>
      <c r="D2303" s="0" t="n">
        <v>1</v>
      </c>
    </row>
    <row r="2304" customFormat="false" ht="15" hidden="false" customHeight="false" outlineLevel="0" collapsed="false">
      <c r="A2304" s="0" t="n">
        <v>2303</v>
      </c>
      <c r="B2304" s="18" t="n">
        <v>894837.185943089</v>
      </c>
      <c r="C2304" s="18" t="n">
        <v>4666699.78670732</v>
      </c>
      <c r="D2304" s="0" t="n">
        <v>1</v>
      </c>
    </row>
    <row r="2305" customFormat="false" ht="15" hidden="false" customHeight="false" outlineLevel="0" collapsed="false">
      <c r="A2305" s="0" t="n">
        <v>2304</v>
      </c>
      <c r="B2305" s="18" t="n">
        <v>560482.84579021</v>
      </c>
      <c r="C2305" s="18" t="n">
        <v>0</v>
      </c>
      <c r="D2305" s="0" t="n">
        <v>0</v>
      </c>
      <c r="E2305" s="19" t="n">
        <v>35.75</v>
      </c>
    </row>
    <row r="2306" customFormat="false" ht="15" hidden="false" customHeight="false" outlineLevel="0" collapsed="false">
      <c r="A2306" s="0" t="n">
        <v>2305</v>
      </c>
      <c r="B2306" s="18" t="n">
        <v>523292.335445578</v>
      </c>
      <c r="C2306" s="18" t="n">
        <v>0</v>
      </c>
      <c r="D2306" s="0" t="n">
        <v>0</v>
      </c>
      <c r="E2306" s="19" t="n">
        <v>39.8333333333333</v>
      </c>
    </row>
    <row r="2307" customFormat="false" ht="15" hidden="false" customHeight="false" outlineLevel="0" collapsed="false">
      <c r="A2307" s="0" t="n">
        <v>2306</v>
      </c>
      <c r="B2307" s="18" t="n">
        <v>870774.843436296</v>
      </c>
      <c r="C2307" s="18" t="n">
        <v>0</v>
      </c>
      <c r="D2307" s="0" t="n">
        <v>0</v>
      </c>
      <c r="E2307" s="19" t="n">
        <v>50.8333333333333</v>
      </c>
    </row>
    <row r="2308" customFormat="false" ht="15" hidden="false" customHeight="false" outlineLevel="0" collapsed="false">
      <c r="A2308" s="0" t="n">
        <v>2307</v>
      </c>
      <c r="B2308" s="18" t="n">
        <v>752675.46992141</v>
      </c>
      <c r="C2308" s="18" t="n">
        <v>0</v>
      </c>
      <c r="D2308" s="0" t="n">
        <v>0</v>
      </c>
      <c r="E2308" s="19" t="n">
        <v>44.0833333333333</v>
      </c>
    </row>
    <row r="2309" customFormat="false" ht="15" hidden="false" customHeight="false" outlineLevel="0" collapsed="false">
      <c r="A2309" s="0" t="n">
        <v>2308</v>
      </c>
      <c r="B2309" s="18" t="n">
        <v>737519.96633052</v>
      </c>
      <c r="C2309" s="18" t="n">
        <v>116963.093106064</v>
      </c>
      <c r="D2309" s="0" t="n">
        <v>1</v>
      </c>
    </row>
    <row r="2310" customFormat="false" ht="15" hidden="false" customHeight="false" outlineLevel="0" collapsed="false">
      <c r="A2310" s="0" t="n">
        <v>2309</v>
      </c>
      <c r="B2310" s="18" t="n">
        <v>586764.396254638</v>
      </c>
      <c r="C2310" s="18" t="n">
        <v>0</v>
      </c>
      <c r="D2310" s="0" t="n">
        <v>0</v>
      </c>
      <c r="E2310" s="19" t="n">
        <v>37.5833333333333</v>
      </c>
    </row>
    <row r="2311" customFormat="false" ht="15" hidden="false" customHeight="false" outlineLevel="0" collapsed="false">
      <c r="A2311" s="0" t="n">
        <v>2310</v>
      </c>
      <c r="B2311" s="18" t="n">
        <v>2148158.92732759</v>
      </c>
      <c r="C2311" s="18" t="n">
        <v>21191795.855086</v>
      </c>
      <c r="D2311" s="0" t="n">
        <v>1</v>
      </c>
    </row>
    <row r="2312" customFormat="false" ht="15" hidden="false" customHeight="false" outlineLevel="0" collapsed="false">
      <c r="A2312" s="0" t="n">
        <v>2311</v>
      </c>
      <c r="B2312" s="18" t="n">
        <v>908231.342868139</v>
      </c>
      <c r="C2312" s="18" t="n">
        <v>0</v>
      </c>
      <c r="D2312" s="0" t="n">
        <v>0</v>
      </c>
      <c r="E2312" s="19" t="n">
        <v>46.3333333333333</v>
      </c>
    </row>
    <row r="2313" customFormat="false" ht="15" hidden="false" customHeight="false" outlineLevel="0" collapsed="false">
      <c r="A2313" s="0" t="n">
        <v>2312</v>
      </c>
      <c r="B2313" s="18" t="n">
        <v>1154994.23530347</v>
      </c>
      <c r="C2313" s="18" t="n">
        <v>12948839.0537935</v>
      </c>
      <c r="D2313" s="0" t="n">
        <v>1</v>
      </c>
    </row>
    <row r="2314" customFormat="false" ht="15" hidden="false" customHeight="false" outlineLevel="0" collapsed="false">
      <c r="A2314" s="0" t="n">
        <v>2313</v>
      </c>
      <c r="B2314" s="18" t="n">
        <v>1108343.00352187</v>
      </c>
      <c r="C2314" s="18" t="n">
        <v>0</v>
      </c>
      <c r="D2314" s="0" t="n">
        <v>0</v>
      </c>
      <c r="E2314" s="19" t="n">
        <v>54.75</v>
      </c>
    </row>
    <row r="2315" customFormat="false" ht="15" hidden="false" customHeight="false" outlineLevel="0" collapsed="false">
      <c r="A2315" s="0" t="n">
        <v>2314</v>
      </c>
      <c r="B2315" s="18" t="n">
        <v>608117.565658047</v>
      </c>
      <c r="C2315" s="18" t="n">
        <v>0</v>
      </c>
      <c r="D2315" s="0" t="n">
        <v>0</v>
      </c>
      <c r="E2315" s="19" t="n">
        <v>32.0833333333333</v>
      </c>
    </row>
    <row r="2316" customFormat="false" ht="15" hidden="false" customHeight="false" outlineLevel="0" collapsed="false">
      <c r="A2316" s="0" t="n">
        <v>2315</v>
      </c>
      <c r="B2316" s="18" t="n">
        <v>794478.879746183</v>
      </c>
      <c r="C2316" s="18" t="n">
        <v>0</v>
      </c>
      <c r="D2316" s="0" t="n">
        <v>0</v>
      </c>
      <c r="E2316" s="19" t="n">
        <v>43.5</v>
      </c>
    </row>
    <row r="2317" customFormat="false" ht="15" hidden="false" customHeight="false" outlineLevel="0" collapsed="false">
      <c r="A2317" s="0" t="n">
        <v>2316</v>
      </c>
      <c r="B2317" s="18" t="n">
        <v>775359.377464299</v>
      </c>
      <c r="C2317" s="18" t="n">
        <v>0</v>
      </c>
      <c r="D2317" s="0" t="n">
        <v>0</v>
      </c>
      <c r="E2317" s="19" t="n">
        <v>42.0833333333333</v>
      </c>
    </row>
    <row r="2318" customFormat="false" ht="15" hidden="false" customHeight="false" outlineLevel="0" collapsed="false">
      <c r="A2318" s="0" t="n">
        <v>2317</v>
      </c>
      <c r="B2318" s="18" t="n">
        <v>1342573.11120659</v>
      </c>
      <c r="C2318" s="18" t="n">
        <v>2065982.4485934</v>
      </c>
      <c r="D2318" s="0" t="n">
        <v>1</v>
      </c>
    </row>
    <row r="2319" customFormat="false" ht="15" hidden="false" customHeight="false" outlineLevel="0" collapsed="false">
      <c r="A2319" s="0" t="n">
        <v>2318</v>
      </c>
      <c r="B2319" s="18" t="n">
        <v>859767.810847257</v>
      </c>
      <c r="C2319" s="18" t="n">
        <v>38094.6526464925</v>
      </c>
      <c r="D2319" s="0" t="n">
        <v>1</v>
      </c>
    </row>
    <row r="2320" customFormat="false" ht="15" hidden="false" customHeight="false" outlineLevel="0" collapsed="false">
      <c r="A2320" s="0" t="n">
        <v>2319</v>
      </c>
      <c r="B2320" s="18" t="n">
        <v>1128664.97161427</v>
      </c>
      <c r="C2320" s="18" t="n">
        <v>0</v>
      </c>
      <c r="D2320" s="0" t="n">
        <v>0</v>
      </c>
      <c r="E2320" s="19" t="n">
        <v>43.6666666666667</v>
      </c>
    </row>
    <row r="2321" customFormat="false" ht="15" hidden="false" customHeight="false" outlineLevel="0" collapsed="false">
      <c r="A2321" s="0" t="n">
        <v>2320</v>
      </c>
      <c r="B2321" s="18" t="n">
        <v>562391.23917796</v>
      </c>
      <c r="C2321" s="18" t="n">
        <v>0</v>
      </c>
      <c r="D2321" s="0" t="n">
        <v>0</v>
      </c>
      <c r="E2321" s="19" t="n">
        <v>38.4166666666667</v>
      </c>
    </row>
    <row r="2322" customFormat="false" ht="15" hidden="false" customHeight="false" outlineLevel="0" collapsed="false">
      <c r="A2322" s="0" t="n">
        <v>2321</v>
      </c>
      <c r="B2322" s="18" t="n">
        <v>1010862.90664146</v>
      </c>
      <c r="C2322" s="18" t="n">
        <v>0</v>
      </c>
      <c r="D2322" s="0" t="n">
        <v>0</v>
      </c>
      <c r="E2322" s="19" t="n">
        <v>40.8333333333333</v>
      </c>
    </row>
    <row r="2323" customFormat="false" ht="15" hidden="false" customHeight="false" outlineLevel="0" collapsed="false">
      <c r="A2323" s="0" t="n">
        <v>2322</v>
      </c>
      <c r="B2323" s="18" t="n">
        <v>2128909.17008133</v>
      </c>
      <c r="C2323" s="18" t="n">
        <v>2078754.4304635</v>
      </c>
      <c r="D2323" s="0" t="n">
        <v>1</v>
      </c>
    </row>
    <row r="2324" customFormat="false" ht="15" hidden="false" customHeight="false" outlineLevel="0" collapsed="false">
      <c r="A2324" s="0" t="n">
        <v>2323</v>
      </c>
      <c r="B2324" s="18" t="n">
        <v>1351380.88354762</v>
      </c>
      <c r="C2324" s="18" t="n">
        <v>5484981.91471775</v>
      </c>
      <c r="D2324" s="0" t="n">
        <v>1</v>
      </c>
    </row>
    <row r="2325" customFormat="false" ht="15" hidden="false" customHeight="false" outlineLevel="0" collapsed="false">
      <c r="A2325" s="0" t="n">
        <v>2324</v>
      </c>
      <c r="B2325" s="18" t="n">
        <v>611925.012811669</v>
      </c>
      <c r="C2325" s="18" t="n">
        <v>0</v>
      </c>
      <c r="D2325" s="0" t="n">
        <v>0</v>
      </c>
      <c r="E2325" s="19" t="n">
        <v>38.25</v>
      </c>
    </row>
    <row r="2326" customFormat="false" ht="15" hidden="false" customHeight="false" outlineLevel="0" collapsed="false">
      <c r="A2326" s="0" t="n">
        <v>2325</v>
      </c>
      <c r="B2326" s="18" t="n">
        <v>274787.917586569</v>
      </c>
      <c r="C2326" s="18" t="n">
        <v>0</v>
      </c>
      <c r="D2326" s="0" t="n">
        <v>0</v>
      </c>
      <c r="E2326" s="19" t="n">
        <v>30.5</v>
      </c>
    </row>
    <row r="2327" customFormat="false" ht="15" hidden="false" customHeight="false" outlineLevel="0" collapsed="false">
      <c r="A2327" s="0" t="n">
        <v>2326</v>
      </c>
      <c r="B2327" s="18" t="n">
        <v>709566.291139311</v>
      </c>
      <c r="C2327" s="18" t="n">
        <v>0</v>
      </c>
      <c r="D2327" s="0" t="n">
        <v>0</v>
      </c>
      <c r="E2327" s="19" t="n">
        <v>40.6666666666667</v>
      </c>
    </row>
    <row r="2328" customFormat="false" ht="15" hidden="false" customHeight="false" outlineLevel="0" collapsed="false">
      <c r="A2328" s="0" t="n">
        <v>2327</v>
      </c>
      <c r="B2328" s="18" t="n">
        <v>591500.570266963</v>
      </c>
      <c r="C2328" s="18" t="n">
        <v>0</v>
      </c>
      <c r="D2328" s="0" t="n">
        <v>0</v>
      </c>
      <c r="E2328" s="19" t="n">
        <v>41</v>
      </c>
    </row>
    <row r="2329" customFormat="false" ht="15" hidden="false" customHeight="false" outlineLevel="0" collapsed="false">
      <c r="A2329" s="0" t="n">
        <v>2328</v>
      </c>
      <c r="B2329" s="18" t="n">
        <v>1018022.14162528</v>
      </c>
      <c r="C2329" s="18" t="n">
        <v>0</v>
      </c>
      <c r="D2329" s="0" t="n">
        <v>0</v>
      </c>
      <c r="E2329" s="19" t="n">
        <v>49.9166666666667</v>
      </c>
    </row>
    <row r="2330" customFormat="false" ht="15" hidden="false" customHeight="false" outlineLevel="0" collapsed="false">
      <c r="A2330" s="0" t="n">
        <v>2329</v>
      </c>
      <c r="B2330" s="18" t="n">
        <v>2858089.8298</v>
      </c>
      <c r="C2330" s="18" t="n">
        <v>30338821.1054681</v>
      </c>
      <c r="D2330" s="0" t="n">
        <v>1</v>
      </c>
    </row>
    <row r="2331" customFormat="false" ht="15" hidden="false" customHeight="false" outlineLevel="0" collapsed="false">
      <c r="A2331" s="0" t="n">
        <v>2330</v>
      </c>
      <c r="B2331" s="18" t="n">
        <v>1129057.5161749</v>
      </c>
      <c r="C2331" s="18" t="n">
        <v>0</v>
      </c>
      <c r="D2331" s="0" t="n">
        <v>0</v>
      </c>
      <c r="E2331" s="19" t="n">
        <v>38.8333333333333</v>
      </c>
    </row>
    <row r="2332" customFormat="false" ht="15" hidden="false" customHeight="false" outlineLevel="0" collapsed="false">
      <c r="A2332" s="0" t="n">
        <v>2331</v>
      </c>
      <c r="B2332" s="18" t="n">
        <v>915697.995587243</v>
      </c>
      <c r="C2332" s="18" t="n">
        <v>0</v>
      </c>
      <c r="D2332" s="0" t="n">
        <v>0</v>
      </c>
      <c r="E2332" s="19" t="n">
        <v>38.0833333333333</v>
      </c>
    </row>
    <row r="2333" customFormat="false" ht="15" hidden="false" customHeight="false" outlineLevel="0" collapsed="false">
      <c r="A2333" s="0" t="n">
        <v>2332</v>
      </c>
      <c r="B2333" s="18" t="n">
        <v>660137.987628393</v>
      </c>
      <c r="C2333" s="18" t="n">
        <v>217066.55696722</v>
      </c>
      <c r="D2333" s="0" t="n">
        <v>1</v>
      </c>
    </row>
    <row r="2334" customFormat="false" ht="15" hidden="false" customHeight="false" outlineLevel="0" collapsed="false">
      <c r="A2334" s="0" t="n">
        <v>2333</v>
      </c>
      <c r="B2334" s="18" t="n">
        <v>351701.100397053</v>
      </c>
      <c r="C2334" s="18" t="n">
        <v>0</v>
      </c>
      <c r="D2334" s="0" t="n">
        <v>0</v>
      </c>
      <c r="E2334" s="19" t="n">
        <v>30.6666666666667</v>
      </c>
    </row>
    <row r="2335" customFormat="false" ht="15" hidden="false" customHeight="false" outlineLevel="0" collapsed="false">
      <c r="A2335" s="0" t="n">
        <v>2334</v>
      </c>
      <c r="B2335" s="18" t="n">
        <v>1071361.89320616</v>
      </c>
      <c r="C2335" s="18" t="n">
        <v>0</v>
      </c>
      <c r="D2335" s="0" t="n">
        <v>0</v>
      </c>
      <c r="E2335" s="19" t="n">
        <v>47.8333333333333</v>
      </c>
    </row>
    <row r="2336" customFormat="false" ht="15" hidden="false" customHeight="false" outlineLevel="0" collapsed="false">
      <c r="A2336" s="0" t="n">
        <v>2335</v>
      </c>
      <c r="B2336" s="18" t="n">
        <v>489307.503308079</v>
      </c>
      <c r="C2336" s="18" t="n">
        <v>0</v>
      </c>
      <c r="D2336" s="0" t="n">
        <v>0</v>
      </c>
      <c r="E2336" s="19" t="n">
        <v>40.1666666666667</v>
      </c>
    </row>
    <row r="2337" customFormat="false" ht="15" hidden="false" customHeight="false" outlineLevel="0" collapsed="false">
      <c r="A2337" s="0" t="n">
        <v>2336</v>
      </c>
      <c r="B2337" s="18" t="n">
        <v>1757478.46047776</v>
      </c>
      <c r="C2337" s="18" t="n">
        <v>18130397.5773838</v>
      </c>
      <c r="D2337" s="0" t="n">
        <v>1</v>
      </c>
    </row>
    <row r="2338" customFormat="false" ht="15" hidden="false" customHeight="false" outlineLevel="0" collapsed="false">
      <c r="A2338" s="0" t="n">
        <v>2337</v>
      </c>
      <c r="B2338" s="18" t="n">
        <v>2149407.69482339</v>
      </c>
      <c r="C2338" s="18" t="n">
        <v>8126542.91394972</v>
      </c>
      <c r="D2338" s="0" t="n">
        <v>1</v>
      </c>
    </row>
    <row r="2339" customFormat="false" ht="15" hidden="false" customHeight="false" outlineLevel="0" collapsed="false">
      <c r="A2339" s="0" t="n">
        <v>2338</v>
      </c>
      <c r="B2339" s="18" t="n">
        <v>329120.53037717</v>
      </c>
      <c r="C2339" s="18" t="n">
        <v>0</v>
      </c>
      <c r="D2339" s="0" t="n">
        <v>0</v>
      </c>
      <c r="E2339" s="19" t="n">
        <v>32.6666666666667</v>
      </c>
    </row>
    <row r="2340" customFormat="false" ht="15" hidden="false" customHeight="false" outlineLevel="0" collapsed="false">
      <c r="A2340" s="0" t="n">
        <v>2339</v>
      </c>
      <c r="B2340" s="18" t="n">
        <v>2085187.7539713</v>
      </c>
      <c r="C2340" s="18" t="n">
        <v>17636464.4338054</v>
      </c>
      <c r="D2340" s="0" t="n">
        <v>1</v>
      </c>
    </row>
    <row r="2341" customFormat="false" ht="15" hidden="false" customHeight="false" outlineLevel="0" collapsed="false">
      <c r="A2341" s="0" t="n">
        <v>2340</v>
      </c>
      <c r="B2341" s="18" t="n">
        <v>508387.410992999</v>
      </c>
      <c r="C2341" s="18" t="n">
        <v>0</v>
      </c>
      <c r="D2341" s="0" t="n">
        <v>0</v>
      </c>
      <c r="E2341" s="19" t="n">
        <v>32.5</v>
      </c>
    </row>
    <row r="2342" customFormat="false" ht="15" hidden="false" customHeight="false" outlineLevel="0" collapsed="false">
      <c r="A2342" s="0" t="n">
        <v>2341</v>
      </c>
      <c r="B2342" s="18" t="n">
        <v>945415.078540917</v>
      </c>
      <c r="C2342" s="18" t="n">
        <v>409165.156267691</v>
      </c>
      <c r="D2342" s="0" t="n">
        <v>1</v>
      </c>
    </row>
    <row r="2343" customFormat="false" ht="15" hidden="false" customHeight="false" outlineLevel="0" collapsed="false">
      <c r="A2343" s="0" t="n">
        <v>2342</v>
      </c>
      <c r="B2343" s="18" t="n">
        <v>257496.005398549</v>
      </c>
      <c r="C2343" s="18" t="n">
        <v>0</v>
      </c>
      <c r="D2343" s="0" t="n">
        <v>0</v>
      </c>
      <c r="E2343" s="19" t="n">
        <v>30.25</v>
      </c>
    </row>
    <row r="2344" customFormat="false" ht="15" hidden="false" customHeight="false" outlineLevel="0" collapsed="false">
      <c r="A2344" s="0" t="n">
        <v>2343</v>
      </c>
      <c r="B2344" s="18" t="n">
        <v>597141.088236452</v>
      </c>
      <c r="C2344" s="18" t="n">
        <v>0</v>
      </c>
      <c r="D2344" s="0" t="n">
        <v>0</v>
      </c>
      <c r="E2344" s="19" t="n">
        <v>35.5833333333333</v>
      </c>
    </row>
    <row r="2345" customFormat="false" ht="15" hidden="false" customHeight="false" outlineLevel="0" collapsed="false">
      <c r="A2345" s="0" t="n">
        <v>2344</v>
      </c>
      <c r="B2345" s="18" t="n">
        <v>1029278.61073682</v>
      </c>
      <c r="C2345" s="18" t="n">
        <v>0</v>
      </c>
      <c r="D2345" s="0" t="n">
        <v>0</v>
      </c>
      <c r="E2345" s="19" t="n">
        <v>42.1666666666667</v>
      </c>
    </row>
    <row r="2346" customFormat="false" ht="15" hidden="false" customHeight="false" outlineLevel="0" collapsed="false">
      <c r="A2346" s="0" t="n">
        <v>2345</v>
      </c>
      <c r="B2346" s="18" t="n">
        <v>482036.109724597</v>
      </c>
      <c r="C2346" s="18" t="n">
        <v>0</v>
      </c>
      <c r="D2346" s="0" t="n">
        <v>0</v>
      </c>
      <c r="E2346" s="19" t="n">
        <v>40.9166666666667</v>
      </c>
    </row>
    <row r="2347" customFormat="false" ht="15" hidden="false" customHeight="false" outlineLevel="0" collapsed="false">
      <c r="A2347" s="0" t="n">
        <v>2346</v>
      </c>
      <c r="B2347" s="18" t="n">
        <v>976012.060865383</v>
      </c>
      <c r="C2347" s="18" t="n">
        <v>0</v>
      </c>
      <c r="D2347" s="0" t="n">
        <v>0</v>
      </c>
      <c r="E2347" s="19" t="n">
        <v>43.25</v>
      </c>
    </row>
    <row r="2348" customFormat="false" ht="15" hidden="false" customHeight="false" outlineLevel="0" collapsed="false">
      <c r="A2348" s="0" t="n">
        <v>2347</v>
      </c>
      <c r="B2348" s="18" t="n">
        <v>1194144.34974906</v>
      </c>
      <c r="C2348" s="18" t="n">
        <v>8008932.09079215</v>
      </c>
      <c r="D2348" s="0" t="n">
        <v>1</v>
      </c>
    </row>
    <row r="2349" customFormat="false" ht="15" hidden="false" customHeight="false" outlineLevel="0" collapsed="false">
      <c r="A2349" s="0" t="n">
        <v>2348</v>
      </c>
      <c r="B2349" s="18" t="n">
        <v>991147.773540199</v>
      </c>
      <c r="C2349" s="18" t="n">
        <v>561756.964764988</v>
      </c>
      <c r="D2349" s="0" t="n">
        <v>1</v>
      </c>
    </row>
    <row r="2350" customFormat="false" ht="15" hidden="false" customHeight="false" outlineLevel="0" collapsed="false">
      <c r="A2350" s="0" t="n">
        <v>2349</v>
      </c>
      <c r="B2350" s="18" t="n">
        <v>638199.570883444</v>
      </c>
      <c r="C2350" s="18" t="n">
        <v>0</v>
      </c>
      <c r="D2350" s="0" t="n">
        <v>0</v>
      </c>
      <c r="E2350" s="19" t="n">
        <v>41.1666666666667</v>
      </c>
    </row>
    <row r="2351" customFormat="false" ht="15" hidden="false" customHeight="false" outlineLevel="0" collapsed="false">
      <c r="A2351" s="0" t="n">
        <v>2350</v>
      </c>
      <c r="B2351" s="18" t="n">
        <v>1067098.43939787</v>
      </c>
      <c r="C2351" s="18" t="n">
        <v>0</v>
      </c>
      <c r="D2351" s="0" t="n">
        <v>0</v>
      </c>
      <c r="E2351" s="19" t="n">
        <v>51.3333333333333</v>
      </c>
    </row>
    <row r="2352" customFormat="false" ht="15" hidden="false" customHeight="false" outlineLevel="0" collapsed="false">
      <c r="A2352" s="0" t="n">
        <v>2351</v>
      </c>
      <c r="B2352" s="18" t="n">
        <v>380214.182481341</v>
      </c>
      <c r="C2352" s="18" t="n">
        <v>0</v>
      </c>
      <c r="D2352" s="0" t="n">
        <v>0</v>
      </c>
      <c r="E2352" s="19" t="n">
        <v>31.5</v>
      </c>
    </row>
    <row r="2353" customFormat="false" ht="15" hidden="false" customHeight="false" outlineLevel="0" collapsed="false">
      <c r="A2353" s="0" t="n">
        <v>2352</v>
      </c>
      <c r="B2353" s="18" t="n">
        <v>2395414.95522967</v>
      </c>
      <c r="C2353" s="18" t="n">
        <v>6016751.63414899</v>
      </c>
      <c r="D2353" s="0" t="n">
        <v>1</v>
      </c>
    </row>
    <row r="2354" customFormat="false" ht="15" hidden="false" customHeight="false" outlineLevel="0" collapsed="false">
      <c r="A2354" s="0" t="n">
        <v>2353</v>
      </c>
      <c r="B2354" s="18" t="n">
        <v>260812.255365381</v>
      </c>
      <c r="C2354" s="18" t="n">
        <v>0</v>
      </c>
      <c r="D2354" s="0" t="n">
        <v>0</v>
      </c>
      <c r="E2354" s="19" t="n">
        <v>30</v>
      </c>
    </row>
    <row r="2355" customFormat="false" ht="15" hidden="false" customHeight="false" outlineLevel="0" collapsed="false">
      <c r="A2355" s="0" t="n">
        <v>2354</v>
      </c>
      <c r="B2355" s="18" t="n">
        <v>1907539.8160686</v>
      </c>
      <c r="C2355" s="18" t="n">
        <v>5150071.43072578</v>
      </c>
      <c r="D2355" s="0" t="n">
        <v>1</v>
      </c>
    </row>
    <row r="2356" customFormat="false" ht="15" hidden="false" customHeight="false" outlineLevel="0" collapsed="false">
      <c r="A2356" s="0" t="n">
        <v>2355</v>
      </c>
      <c r="B2356" s="18" t="n">
        <v>449724.729796089</v>
      </c>
      <c r="C2356" s="18" t="n">
        <v>0</v>
      </c>
      <c r="D2356" s="0" t="n">
        <v>0</v>
      </c>
      <c r="E2356" s="19" t="n">
        <v>34.25</v>
      </c>
    </row>
    <row r="2357" customFormat="false" ht="15" hidden="false" customHeight="false" outlineLevel="0" collapsed="false">
      <c r="A2357" s="0" t="n">
        <v>2356</v>
      </c>
      <c r="B2357" s="18" t="n">
        <v>810569.591292212</v>
      </c>
      <c r="C2357" s="18" t="n">
        <v>1368258.30078127</v>
      </c>
      <c r="D2357" s="0" t="n">
        <v>1</v>
      </c>
    </row>
    <row r="2358" customFormat="false" ht="15" hidden="false" customHeight="false" outlineLevel="0" collapsed="false">
      <c r="A2358" s="0" t="n">
        <v>2357</v>
      </c>
      <c r="B2358" s="18" t="n">
        <v>478839.354063755</v>
      </c>
      <c r="C2358" s="18" t="n">
        <v>0</v>
      </c>
      <c r="D2358" s="0" t="n">
        <v>0</v>
      </c>
      <c r="E2358" s="19" t="n">
        <v>34.75</v>
      </c>
    </row>
    <row r="2359" customFormat="false" ht="15" hidden="false" customHeight="false" outlineLevel="0" collapsed="false">
      <c r="A2359" s="0" t="n">
        <v>2358</v>
      </c>
      <c r="B2359" s="18" t="n">
        <v>949759.788459169</v>
      </c>
      <c r="C2359" s="18" t="n">
        <v>0</v>
      </c>
      <c r="D2359" s="0" t="n">
        <v>0</v>
      </c>
      <c r="E2359" s="19" t="n">
        <v>38.4166666666667</v>
      </c>
    </row>
    <row r="2360" customFormat="false" ht="15" hidden="false" customHeight="false" outlineLevel="0" collapsed="false">
      <c r="A2360" s="0" t="n">
        <v>2359</v>
      </c>
      <c r="B2360" s="18" t="n">
        <v>494957.840716058</v>
      </c>
      <c r="C2360" s="18" t="n">
        <v>0</v>
      </c>
      <c r="D2360" s="0" t="n">
        <v>0</v>
      </c>
      <c r="E2360" s="19" t="n">
        <v>33.3333333333333</v>
      </c>
    </row>
    <row r="2361" customFormat="false" ht="15" hidden="false" customHeight="false" outlineLevel="0" collapsed="false">
      <c r="A2361" s="0" t="n">
        <v>2360</v>
      </c>
      <c r="B2361" s="18" t="n">
        <v>2286863.91300461</v>
      </c>
      <c r="C2361" s="18" t="n">
        <v>2412012.10133328</v>
      </c>
      <c r="D2361" s="0" t="n">
        <v>1</v>
      </c>
    </row>
    <row r="2362" customFormat="false" ht="15" hidden="false" customHeight="false" outlineLevel="0" collapsed="false">
      <c r="A2362" s="0" t="n">
        <v>2361</v>
      </c>
      <c r="B2362" s="18" t="n">
        <v>1414739.00719756</v>
      </c>
      <c r="C2362" s="18" t="n">
        <v>7089314.27841014</v>
      </c>
      <c r="D2362" s="0" t="n">
        <v>1</v>
      </c>
    </row>
    <row r="2363" customFormat="false" ht="15" hidden="false" customHeight="false" outlineLevel="0" collapsed="false">
      <c r="A2363" s="0" t="n">
        <v>2362</v>
      </c>
      <c r="B2363" s="18" t="n">
        <v>303097.278364141</v>
      </c>
      <c r="C2363" s="18" t="n">
        <v>0</v>
      </c>
      <c r="D2363" s="0" t="n">
        <v>0</v>
      </c>
      <c r="E2363" s="19" t="n">
        <v>34.25</v>
      </c>
    </row>
    <row r="2364" customFormat="false" ht="15" hidden="false" customHeight="false" outlineLevel="0" collapsed="false">
      <c r="A2364" s="0" t="n">
        <v>2363</v>
      </c>
      <c r="B2364" s="18" t="n">
        <v>542728.472497261</v>
      </c>
      <c r="C2364" s="18" t="n">
        <v>0</v>
      </c>
      <c r="D2364" s="0" t="n">
        <v>0</v>
      </c>
      <c r="E2364" s="19" t="n">
        <v>40.4166666666667</v>
      </c>
    </row>
    <row r="2365" customFormat="false" ht="15" hidden="false" customHeight="false" outlineLevel="0" collapsed="false">
      <c r="A2365" s="0" t="n">
        <v>2364</v>
      </c>
      <c r="B2365" s="18" t="n">
        <v>1628159.72518486</v>
      </c>
      <c r="C2365" s="18" t="n">
        <v>345531.830807254</v>
      </c>
      <c r="D2365" s="0" t="n">
        <v>1</v>
      </c>
    </row>
    <row r="2366" customFormat="false" ht="15" hidden="false" customHeight="false" outlineLevel="0" collapsed="false">
      <c r="A2366" s="0" t="n">
        <v>2365</v>
      </c>
      <c r="B2366" s="18" t="n">
        <v>619299.427899913</v>
      </c>
      <c r="C2366" s="18" t="n">
        <v>0</v>
      </c>
      <c r="D2366" s="0" t="n">
        <v>0</v>
      </c>
      <c r="E2366" s="19" t="n">
        <v>48</v>
      </c>
    </row>
    <row r="2367" customFormat="false" ht="15" hidden="false" customHeight="false" outlineLevel="0" collapsed="false">
      <c r="A2367" s="0" t="n">
        <v>2366</v>
      </c>
      <c r="B2367" s="18" t="n">
        <v>1162169.97579368</v>
      </c>
      <c r="C2367" s="18" t="n">
        <v>4791507.28853113</v>
      </c>
      <c r="D2367" s="0" t="n">
        <v>1</v>
      </c>
    </row>
    <row r="2368" customFormat="false" ht="15" hidden="false" customHeight="false" outlineLevel="0" collapsed="false">
      <c r="A2368" s="0" t="n">
        <v>2367</v>
      </c>
      <c r="B2368" s="18" t="n">
        <v>1795851.59266449</v>
      </c>
      <c r="C2368" s="18" t="n">
        <v>9472451.83854634</v>
      </c>
      <c r="D2368" s="0" t="n">
        <v>1</v>
      </c>
    </row>
    <row r="2369" customFormat="false" ht="15" hidden="false" customHeight="false" outlineLevel="0" collapsed="false">
      <c r="A2369" s="0" t="n">
        <v>2368</v>
      </c>
      <c r="B2369" s="18" t="n">
        <v>1494943.32047739</v>
      </c>
      <c r="C2369" s="18" t="n">
        <v>17240.2804302779</v>
      </c>
      <c r="D2369" s="0" t="n">
        <v>1</v>
      </c>
    </row>
    <row r="2370" customFormat="false" ht="15" hidden="false" customHeight="false" outlineLevel="0" collapsed="false">
      <c r="A2370" s="0" t="n">
        <v>2369</v>
      </c>
      <c r="B2370" s="18" t="n">
        <v>1869145.53323404</v>
      </c>
      <c r="C2370" s="18" t="n">
        <v>0</v>
      </c>
      <c r="D2370" s="0" t="n">
        <v>0</v>
      </c>
      <c r="E2370" s="19" t="n">
        <v>50.4166666666667</v>
      </c>
    </row>
    <row r="2371" customFormat="false" ht="15" hidden="false" customHeight="false" outlineLevel="0" collapsed="false">
      <c r="A2371" s="0" t="n">
        <v>2370</v>
      </c>
      <c r="B2371" s="18" t="n">
        <v>1029382.11894575</v>
      </c>
      <c r="C2371" s="18" t="n">
        <v>2322759.32848883</v>
      </c>
      <c r="D2371" s="0" t="n">
        <v>1</v>
      </c>
    </row>
    <row r="2372" customFormat="false" ht="15" hidden="false" customHeight="false" outlineLevel="0" collapsed="false">
      <c r="A2372" s="0" t="n">
        <v>2371</v>
      </c>
      <c r="B2372" s="18" t="n">
        <v>573829.345134257</v>
      </c>
      <c r="C2372" s="18" t="n">
        <v>0</v>
      </c>
      <c r="D2372" s="0" t="n">
        <v>0</v>
      </c>
      <c r="E2372" s="19" t="n">
        <v>33.5</v>
      </c>
    </row>
    <row r="2373" customFormat="false" ht="15" hidden="false" customHeight="false" outlineLevel="0" collapsed="false">
      <c r="A2373" s="0" t="n">
        <v>2372</v>
      </c>
      <c r="B2373" s="18" t="n">
        <v>563464.870697243</v>
      </c>
      <c r="C2373" s="18" t="n">
        <v>0</v>
      </c>
      <c r="D2373" s="0" t="n">
        <v>0</v>
      </c>
      <c r="E2373" s="19" t="n">
        <v>33.75</v>
      </c>
    </row>
    <row r="2374" customFormat="false" ht="15" hidden="false" customHeight="false" outlineLevel="0" collapsed="false">
      <c r="A2374" s="0" t="n">
        <v>2373</v>
      </c>
      <c r="B2374" s="18" t="n">
        <v>813390.300051162</v>
      </c>
      <c r="C2374" s="18" t="n">
        <v>0</v>
      </c>
      <c r="D2374" s="0" t="n">
        <v>0</v>
      </c>
      <c r="E2374" s="19" t="n">
        <v>44.6666666666667</v>
      </c>
    </row>
    <row r="2375" customFormat="false" ht="15" hidden="false" customHeight="false" outlineLevel="0" collapsed="false">
      <c r="A2375" s="0" t="n">
        <v>2374</v>
      </c>
      <c r="B2375" s="18" t="n">
        <v>600290.632886255</v>
      </c>
      <c r="C2375" s="18" t="n">
        <v>2529318.65724087</v>
      </c>
      <c r="D2375" s="0" t="n">
        <v>1</v>
      </c>
    </row>
    <row r="2376" customFormat="false" ht="15" hidden="false" customHeight="false" outlineLevel="0" collapsed="false">
      <c r="A2376" s="0" t="n">
        <v>2375</v>
      </c>
      <c r="B2376" s="18" t="n">
        <v>2264547.55973609</v>
      </c>
      <c r="C2376" s="18" t="n">
        <v>46858255.219915</v>
      </c>
      <c r="D2376" s="0" t="n">
        <v>1</v>
      </c>
    </row>
    <row r="2377" customFormat="false" ht="15" hidden="false" customHeight="false" outlineLevel="0" collapsed="false">
      <c r="A2377" s="0" t="n">
        <v>2376</v>
      </c>
      <c r="B2377" s="18" t="n">
        <v>782857.252205295</v>
      </c>
      <c r="C2377" s="18" t="n">
        <v>0</v>
      </c>
      <c r="D2377" s="0" t="n">
        <v>0</v>
      </c>
      <c r="E2377" s="19" t="n">
        <v>42.4166666666667</v>
      </c>
    </row>
    <row r="2378" customFormat="false" ht="15" hidden="false" customHeight="false" outlineLevel="0" collapsed="false">
      <c r="A2378" s="0" t="n">
        <v>2377</v>
      </c>
      <c r="B2378" s="18" t="n">
        <v>649065.054828101</v>
      </c>
      <c r="C2378" s="18" t="n">
        <v>0</v>
      </c>
      <c r="D2378" s="0" t="n">
        <v>0</v>
      </c>
      <c r="E2378" s="19" t="n">
        <v>36.8333333333333</v>
      </c>
    </row>
    <row r="2379" customFormat="false" ht="15" hidden="false" customHeight="false" outlineLevel="0" collapsed="false">
      <c r="A2379" s="0" t="n">
        <v>2378</v>
      </c>
      <c r="B2379" s="18" t="n">
        <v>670945.947011815</v>
      </c>
      <c r="C2379" s="18" t="n">
        <v>0</v>
      </c>
      <c r="D2379" s="0" t="n">
        <v>0</v>
      </c>
      <c r="E2379" s="19" t="n">
        <v>34.3333333333333</v>
      </c>
    </row>
    <row r="2380" customFormat="false" ht="15" hidden="false" customHeight="false" outlineLevel="0" collapsed="false">
      <c r="A2380" s="0" t="n">
        <v>2379</v>
      </c>
      <c r="B2380" s="18" t="n">
        <v>676836.601534428</v>
      </c>
      <c r="C2380" s="18" t="n">
        <v>0</v>
      </c>
      <c r="D2380" s="0" t="n">
        <v>0</v>
      </c>
      <c r="E2380" s="19" t="n">
        <v>40.9166666666667</v>
      </c>
    </row>
    <row r="2381" customFormat="false" ht="15" hidden="false" customHeight="false" outlineLevel="0" collapsed="false">
      <c r="A2381" s="0" t="n">
        <v>2380</v>
      </c>
      <c r="B2381" s="18" t="n">
        <v>2448306.10920445</v>
      </c>
      <c r="C2381" s="18" t="n">
        <v>14460798.4232202</v>
      </c>
      <c r="D2381" s="0" t="n">
        <v>1</v>
      </c>
    </row>
    <row r="2382" customFormat="false" ht="15" hidden="false" customHeight="false" outlineLevel="0" collapsed="false">
      <c r="A2382" s="0" t="n">
        <v>2381</v>
      </c>
      <c r="B2382" s="18" t="n">
        <v>664382.1273737</v>
      </c>
      <c r="C2382" s="18" t="n">
        <v>1521374.39945797</v>
      </c>
      <c r="D2382" s="0" t="n">
        <v>1</v>
      </c>
    </row>
    <row r="2383" customFormat="false" ht="15" hidden="false" customHeight="false" outlineLevel="0" collapsed="false">
      <c r="A2383" s="0" t="n">
        <v>2382</v>
      </c>
      <c r="B2383" s="18" t="n">
        <v>483732.468790217</v>
      </c>
      <c r="C2383" s="18" t="n">
        <v>0</v>
      </c>
      <c r="D2383" s="0" t="n">
        <v>0</v>
      </c>
      <c r="E2383" s="19" t="n">
        <v>31.75</v>
      </c>
    </row>
    <row r="2384" customFormat="false" ht="15" hidden="false" customHeight="false" outlineLevel="0" collapsed="false">
      <c r="A2384" s="0" t="n">
        <v>2383</v>
      </c>
      <c r="B2384" s="18" t="n">
        <v>741888.597237388</v>
      </c>
      <c r="C2384" s="18" t="n">
        <v>199885.252505876</v>
      </c>
      <c r="D2384" s="0" t="n">
        <v>1</v>
      </c>
    </row>
    <row r="2385" customFormat="false" ht="15" hidden="false" customHeight="false" outlineLevel="0" collapsed="false">
      <c r="A2385" s="0" t="n">
        <v>2384</v>
      </c>
      <c r="B2385" s="18" t="n">
        <v>805885.454903199</v>
      </c>
      <c r="C2385" s="18" t="n">
        <v>0</v>
      </c>
      <c r="D2385" s="0" t="n">
        <v>0</v>
      </c>
      <c r="E2385" s="19" t="n">
        <v>34.75</v>
      </c>
    </row>
    <row r="2386" customFormat="false" ht="15" hidden="false" customHeight="false" outlineLevel="0" collapsed="false">
      <c r="A2386" s="0" t="n">
        <v>2385</v>
      </c>
      <c r="B2386" s="18" t="n">
        <v>841029.16567883</v>
      </c>
      <c r="C2386" s="18" t="n">
        <v>0</v>
      </c>
      <c r="D2386" s="0" t="n">
        <v>0</v>
      </c>
      <c r="E2386" s="19" t="n">
        <v>37.1666666666667</v>
      </c>
    </row>
    <row r="2387" customFormat="false" ht="15" hidden="false" customHeight="false" outlineLevel="0" collapsed="false">
      <c r="A2387" s="0" t="n">
        <v>2386</v>
      </c>
      <c r="B2387" s="18" t="n">
        <v>739761.574307848</v>
      </c>
      <c r="C2387" s="18" t="n">
        <v>0</v>
      </c>
      <c r="D2387" s="0" t="n">
        <v>0</v>
      </c>
      <c r="E2387" s="19" t="n">
        <v>36.0833333333333</v>
      </c>
    </row>
    <row r="2388" customFormat="false" ht="15" hidden="false" customHeight="false" outlineLevel="0" collapsed="false">
      <c r="A2388" s="0" t="n">
        <v>2387</v>
      </c>
      <c r="B2388" s="18" t="n">
        <v>2014152.36426031</v>
      </c>
      <c r="C2388" s="18" t="n">
        <v>758111.9381107</v>
      </c>
      <c r="D2388" s="0" t="n">
        <v>1</v>
      </c>
    </row>
    <row r="2389" customFormat="false" ht="15" hidden="false" customHeight="false" outlineLevel="0" collapsed="false">
      <c r="A2389" s="0" t="n">
        <v>2388</v>
      </c>
      <c r="B2389" s="18" t="n">
        <v>1005222.56721938</v>
      </c>
      <c r="C2389" s="18" t="n">
        <v>632155.878575231</v>
      </c>
      <c r="D2389" s="0" t="n">
        <v>1</v>
      </c>
    </row>
    <row r="2390" customFormat="false" ht="15" hidden="false" customHeight="false" outlineLevel="0" collapsed="false">
      <c r="A2390" s="0" t="n">
        <v>2389</v>
      </c>
      <c r="B2390" s="18" t="n">
        <v>1328235.50400601</v>
      </c>
      <c r="C2390" s="18" t="n">
        <v>3019241.15696251</v>
      </c>
      <c r="D2390" s="0" t="n">
        <v>1</v>
      </c>
    </row>
    <row r="2391" customFormat="false" ht="15" hidden="false" customHeight="false" outlineLevel="0" collapsed="false">
      <c r="A2391" s="0" t="n">
        <v>2390</v>
      </c>
      <c r="B2391" s="18" t="n">
        <v>368172.404939052</v>
      </c>
      <c r="C2391" s="18" t="n">
        <v>0</v>
      </c>
      <c r="D2391" s="0" t="n">
        <v>0</v>
      </c>
      <c r="E2391" s="19" t="n">
        <v>31.5</v>
      </c>
    </row>
    <row r="2392" customFormat="false" ht="15" hidden="false" customHeight="false" outlineLevel="0" collapsed="false">
      <c r="A2392" s="0" t="n">
        <v>2391</v>
      </c>
      <c r="B2392" s="18" t="n">
        <v>1490112.63586732</v>
      </c>
      <c r="C2392" s="18" t="n">
        <v>0</v>
      </c>
      <c r="D2392" s="0" t="n">
        <v>0</v>
      </c>
      <c r="E2392" s="19" t="n">
        <v>44.8333333333333</v>
      </c>
    </row>
    <row r="2393" customFormat="false" ht="15" hidden="false" customHeight="false" outlineLevel="0" collapsed="false">
      <c r="A2393" s="0" t="n">
        <v>2392</v>
      </c>
      <c r="B2393" s="18" t="n">
        <v>550364.674550748</v>
      </c>
      <c r="C2393" s="18" t="n">
        <v>0</v>
      </c>
      <c r="D2393" s="0" t="n">
        <v>0</v>
      </c>
      <c r="E2393" s="19" t="n">
        <v>38.4166666666667</v>
      </c>
    </row>
    <row r="2394" customFormat="false" ht="15" hidden="false" customHeight="false" outlineLevel="0" collapsed="false">
      <c r="A2394" s="0" t="n">
        <v>2393</v>
      </c>
      <c r="B2394" s="18" t="n">
        <v>1265006.28385383</v>
      </c>
      <c r="C2394" s="18" t="n">
        <v>0</v>
      </c>
      <c r="D2394" s="0" t="n">
        <v>0</v>
      </c>
      <c r="E2394" s="19" t="n">
        <v>42</v>
      </c>
    </row>
    <row r="2395" customFormat="false" ht="15" hidden="false" customHeight="false" outlineLevel="0" collapsed="false">
      <c r="A2395" s="0" t="n">
        <v>2394</v>
      </c>
      <c r="B2395" s="18" t="n">
        <v>642150.823921753</v>
      </c>
      <c r="C2395" s="18" t="n">
        <v>0</v>
      </c>
      <c r="D2395" s="0" t="n">
        <v>0</v>
      </c>
      <c r="E2395" s="19" t="n">
        <v>36.75</v>
      </c>
    </row>
    <row r="2396" customFormat="false" ht="15" hidden="false" customHeight="false" outlineLevel="0" collapsed="false">
      <c r="A2396" s="0" t="n">
        <v>2395</v>
      </c>
      <c r="B2396" s="18" t="n">
        <v>310256.125156829</v>
      </c>
      <c r="C2396" s="18" t="n">
        <v>0</v>
      </c>
      <c r="D2396" s="0" t="n">
        <v>0</v>
      </c>
      <c r="E2396" s="19" t="n">
        <v>30.4166666666667</v>
      </c>
    </row>
    <row r="2397" customFormat="false" ht="15" hidden="false" customHeight="false" outlineLevel="0" collapsed="false">
      <c r="A2397" s="0" t="n">
        <v>2396</v>
      </c>
      <c r="B2397" s="18" t="n">
        <v>4038172.57680819</v>
      </c>
      <c r="C2397" s="18" t="n">
        <v>5846631.30411079</v>
      </c>
      <c r="D2397" s="0" t="n">
        <v>1</v>
      </c>
    </row>
    <row r="2398" customFormat="false" ht="15" hidden="false" customHeight="false" outlineLevel="0" collapsed="false">
      <c r="A2398" s="0" t="n">
        <v>2397</v>
      </c>
      <c r="B2398" s="18" t="n">
        <v>2350479.04879116</v>
      </c>
      <c r="C2398" s="18" t="n">
        <v>6671979.60888728</v>
      </c>
      <c r="D2398" s="0" t="n">
        <v>1</v>
      </c>
    </row>
    <row r="2399" customFormat="false" ht="15" hidden="false" customHeight="false" outlineLevel="0" collapsed="false">
      <c r="A2399" s="0" t="n">
        <v>2398</v>
      </c>
      <c r="B2399" s="18" t="n">
        <v>711340.425521175</v>
      </c>
      <c r="C2399" s="18" t="n">
        <v>0</v>
      </c>
      <c r="D2399" s="0" t="n">
        <v>0</v>
      </c>
      <c r="E2399" s="19" t="n">
        <v>41.1666666666667</v>
      </c>
    </row>
    <row r="2400" customFormat="false" ht="15" hidden="false" customHeight="false" outlineLevel="0" collapsed="false">
      <c r="A2400" s="0" t="n">
        <v>2399</v>
      </c>
      <c r="B2400" s="18" t="n">
        <v>810195.183980383</v>
      </c>
      <c r="C2400" s="18" t="n">
        <v>0</v>
      </c>
      <c r="D2400" s="0" t="n">
        <v>0</v>
      </c>
      <c r="E2400" s="19" t="n">
        <v>38.4166666666667</v>
      </c>
    </row>
    <row r="2401" customFormat="false" ht="15" hidden="false" customHeight="false" outlineLevel="0" collapsed="false">
      <c r="A2401" s="0" t="n">
        <v>2400</v>
      </c>
      <c r="B2401" s="18" t="n">
        <v>1404997.67127497</v>
      </c>
      <c r="C2401" s="18" t="n">
        <v>1246544.57947516</v>
      </c>
      <c r="D2401" s="0" t="n">
        <v>1</v>
      </c>
    </row>
    <row r="2402" customFormat="false" ht="15" hidden="false" customHeight="false" outlineLevel="0" collapsed="false">
      <c r="A2402" s="0" t="n">
        <v>2401</v>
      </c>
      <c r="B2402" s="18" t="n">
        <v>548575.551025545</v>
      </c>
      <c r="C2402" s="18" t="n">
        <v>0</v>
      </c>
      <c r="D2402" s="0" t="n">
        <v>0</v>
      </c>
      <c r="E2402" s="19" t="n">
        <v>33.6666666666667</v>
      </c>
    </row>
    <row r="2403" customFormat="false" ht="15" hidden="false" customHeight="false" outlineLevel="0" collapsed="false">
      <c r="A2403" s="0" t="n">
        <v>2402</v>
      </c>
      <c r="B2403" s="18" t="n">
        <v>1477493.59101959</v>
      </c>
      <c r="C2403" s="18" t="n">
        <v>4848172.82926688</v>
      </c>
      <c r="D2403" s="0" t="n">
        <v>1</v>
      </c>
    </row>
    <row r="2404" customFormat="false" ht="15" hidden="false" customHeight="false" outlineLevel="0" collapsed="false">
      <c r="A2404" s="0" t="n">
        <v>2403</v>
      </c>
      <c r="B2404" s="18" t="n">
        <v>2087926.98903021</v>
      </c>
      <c r="C2404" s="18" t="n">
        <v>13570460.584727</v>
      </c>
      <c r="D2404" s="0" t="n">
        <v>1</v>
      </c>
    </row>
    <row r="2405" customFormat="false" ht="15" hidden="false" customHeight="false" outlineLevel="0" collapsed="false">
      <c r="A2405" s="0" t="n">
        <v>2404</v>
      </c>
      <c r="B2405" s="18" t="n">
        <v>714566.790133134</v>
      </c>
      <c r="C2405" s="18" t="n">
        <v>0</v>
      </c>
      <c r="D2405" s="0" t="n">
        <v>0</v>
      </c>
      <c r="E2405" s="19" t="n">
        <v>42.4166666666667</v>
      </c>
    </row>
    <row r="2406" customFormat="false" ht="15" hidden="false" customHeight="false" outlineLevel="0" collapsed="false">
      <c r="A2406" s="0" t="n">
        <v>2405</v>
      </c>
      <c r="B2406" s="18" t="n">
        <v>424860.23528814</v>
      </c>
      <c r="C2406" s="18" t="n">
        <v>0</v>
      </c>
      <c r="D2406" s="0" t="n">
        <v>0</v>
      </c>
      <c r="E2406" s="19" t="n">
        <v>33.25</v>
      </c>
    </row>
    <row r="2407" customFormat="false" ht="15" hidden="false" customHeight="false" outlineLevel="0" collapsed="false">
      <c r="A2407" s="0" t="n">
        <v>2406</v>
      </c>
      <c r="B2407" s="18" t="n">
        <v>759605.789902736</v>
      </c>
      <c r="C2407" s="18" t="n">
        <v>0</v>
      </c>
      <c r="D2407" s="0" t="n">
        <v>0</v>
      </c>
      <c r="E2407" s="19" t="n">
        <v>31.6666666666667</v>
      </c>
    </row>
    <row r="2408" customFormat="false" ht="15" hidden="false" customHeight="false" outlineLevel="0" collapsed="false">
      <c r="A2408" s="0" t="n">
        <v>2407</v>
      </c>
      <c r="B2408" s="18" t="n">
        <v>974401.186618411</v>
      </c>
      <c r="C2408" s="18" t="n">
        <v>0</v>
      </c>
      <c r="D2408" s="0" t="n">
        <v>0</v>
      </c>
      <c r="E2408" s="19" t="n">
        <v>50</v>
      </c>
    </row>
    <row r="2409" customFormat="false" ht="15" hidden="false" customHeight="false" outlineLevel="0" collapsed="false">
      <c r="A2409" s="0" t="n">
        <v>2408</v>
      </c>
      <c r="B2409" s="18" t="n">
        <v>529940.003057763</v>
      </c>
      <c r="C2409" s="18" t="n">
        <v>0</v>
      </c>
      <c r="D2409" s="0" t="n">
        <v>0</v>
      </c>
      <c r="E2409" s="19" t="n">
        <v>37.6666666666667</v>
      </c>
    </row>
    <row r="2410" customFormat="false" ht="15" hidden="false" customHeight="false" outlineLevel="0" collapsed="false">
      <c r="A2410" s="0" t="n">
        <v>2409</v>
      </c>
      <c r="B2410" s="18" t="n">
        <v>762299.230307661</v>
      </c>
      <c r="C2410" s="18" t="n">
        <v>0</v>
      </c>
      <c r="D2410" s="0" t="n">
        <v>0</v>
      </c>
      <c r="E2410" s="19" t="n">
        <v>39.5</v>
      </c>
    </row>
    <row r="2411" customFormat="false" ht="15" hidden="false" customHeight="false" outlineLevel="0" collapsed="false">
      <c r="A2411" s="0" t="n">
        <v>2410</v>
      </c>
      <c r="B2411" s="18" t="n">
        <v>3080736.85122273</v>
      </c>
      <c r="C2411" s="18" t="n">
        <v>10614728.4050869</v>
      </c>
      <c r="D2411" s="0" t="n">
        <v>1</v>
      </c>
    </row>
    <row r="2412" customFormat="false" ht="15" hidden="false" customHeight="false" outlineLevel="0" collapsed="false">
      <c r="A2412" s="0" t="n">
        <v>2411</v>
      </c>
      <c r="B2412" s="18" t="n">
        <v>1317272.20880796</v>
      </c>
      <c r="C2412" s="18" t="n">
        <v>292309.89820013</v>
      </c>
      <c r="D2412" s="0" t="n">
        <v>1</v>
      </c>
    </row>
    <row r="2413" customFormat="false" ht="15" hidden="false" customHeight="false" outlineLevel="0" collapsed="false">
      <c r="A2413" s="0" t="n">
        <v>2412</v>
      </c>
      <c r="B2413" s="18" t="n">
        <v>627410.131311557</v>
      </c>
      <c r="C2413" s="18" t="n">
        <v>0</v>
      </c>
      <c r="D2413" s="0" t="n">
        <v>0</v>
      </c>
      <c r="E2413" s="19" t="n">
        <v>32.25</v>
      </c>
    </row>
    <row r="2414" customFormat="false" ht="15" hidden="false" customHeight="false" outlineLevel="0" collapsed="false">
      <c r="A2414" s="0" t="n">
        <v>2413</v>
      </c>
      <c r="B2414" s="18" t="n">
        <v>2525461.07034945</v>
      </c>
      <c r="C2414" s="18" t="n">
        <v>5074148.01833109</v>
      </c>
      <c r="D2414" s="0" t="n">
        <v>1</v>
      </c>
    </row>
    <row r="2415" customFormat="false" ht="15" hidden="false" customHeight="false" outlineLevel="0" collapsed="false">
      <c r="A2415" s="0" t="n">
        <v>2414</v>
      </c>
      <c r="B2415" s="18" t="n">
        <v>2407538.97083715</v>
      </c>
      <c r="C2415" s="18" t="n">
        <v>10905692.5812317</v>
      </c>
      <c r="D2415" s="0" t="n">
        <v>1</v>
      </c>
    </row>
    <row r="2416" customFormat="false" ht="15" hidden="false" customHeight="false" outlineLevel="0" collapsed="false">
      <c r="A2416" s="0" t="n">
        <v>2415</v>
      </c>
      <c r="B2416" s="18" t="n">
        <v>505011.389988658</v>
      </c>
      <c r="C2416" s="18" t="n">
        <v>0</v>
      </c>
      <c r="D2416" s="0" t="n">
        <v>0</v>
      </c>
      <c r="E2416" s="19" t="n">
        <v>33.9166666666667</v>
      </c>
    </row>
    <row r="2417" customFormat="false" ht="15" hidden="false" customHeight="false" outlineLevel="0" collapsed="false">
      <c r="A2417" s="0" t="n">
        <v>2416</v>
      </c>
      <c r="B2417" s="18" t="n">
        <v>1156869.54804232</v>
      </c>
      <c r="C2417" s="18" t="n">
        <v>0</v>
      </c>
      <c r="D2417" s="0" t="n">
        <v>0</v>
      </c>
      <c r="E2417" s="19" t="n">
        <v>43.1666666666667</v>
      </c>
    </row>
    <row r="2418" customFormat="false" ht="15" hidden="false" customHeight="false" outlineLevel="0" collapsed="false">
      <c r="A2418" s="0" t="n">
        <v>2417</v>
      </c>
      <c r="B2418" s="18" t="n">
        <v>670869.093687028</v>
      </c>
      <c r="C2418" s="18" t="n">
        <v>0</v>
      </c>
      <c r="D2418" s="0" t="n">
        <v>0</v>
      </c>
      <c r="E2418" s="19" t="n">
        <v>32.5833333333333</v>
      </c>
    </row>
    <row r="2419" customFormat="false" ht="15" hidden="false" customHeight="false" outlineLevel="0" collapsed="false">
      <c r="A2419" s="0" t="n">
        <v>2418</v>
      </c>
      <c r="B2419" s="18" t="n">
        <v>781560.219460574</v>
      </c>
      <c r="C2419" s="18" t="n">
        <v>0</v>
      </c>
      <c r="D2419" s="0" t="n">
        <v>0</v>
      </c>
      <c r="E2419" s="19" t="n">
        <v>35.3333333333333</v>
      </c>
    </row>
    <row r="2420" customFormat="false" ht="15" hidden="false" customHeight="false" outlineLevel="0" collapsed="false">
      <c r="A2420" s="0" t="n">
        <v>2419</v>
      </c>
      <c r="B2420" s="18" t="n">
        <v>390234.219776764</v>
      </c>
      <c r="C2420" s="18" t="n">
        <v>0</v>
      </c>
      <c r="D2420" s="0" t="n">
        <v>0</v>
      </c>
      <c r="E2420" s="19" t="n">
        <v>33.3333333333333</v>
      </c>
    </row>
    <row r="2421" customFormat="false" ht="15" hidden="false" customHeight="false" outlineLevel="0" collapsed="false">
      <c r="A2421" s="0" t="n">
        <v>2420</v>
      </c>
      <c r="B2421" s="18" t="n">
        <v>1026417.14405522</v>
      </c>
      <c r="C2421" s="18" t="n">
        <v>7842599.30210769</v>
      </c>
      <c r="D2421" s="0" t="n">
        <v>1</v>
      </c>
    </row>
    <row r="2422" customFormat="false" ht="15" hidden="false" customHeight="false" outlineLevel="0" collapsed="false">
      <c r="A2422" s="0" t="n">
        <v>2421</v>
      </c>
      <c r="B2422" s="18" t="n">
        <v>1583464.3285226</v>
      </c>
      <c r="C2422" s="18" t="n">
        <v>2871784.48970261</v>
      </c>
      <c r="D2422" s="0" t="n">
        <v>1</v>
      </c>
    </row>
    <row r="2423" customFormat="false" ht="15" hidden="false" customHeight="false" outlineLevel="0" collapsed="false">
      <c r="A2423" s="0" t="n">
        <v>2422</v>
      </c>
      <c r="B2423" s="18" t="n">
        <v>896220.827936478</v>
      </c>
      <c r="C2423" s="18" t="n">
        <v>0</v>
      </c>
      <c r="D2423" s="0" t="n">
        <v>0</v>
      </c>
      <c r="E2423" s="19" t="n">
        <v>38.0833333333333</v>
      </c>
    </row>
    <row r="2424" customFormat="false" ht="15" hidden="false" customHeight="false" outlineLevel="0" collapsed="false">
      <c r="A2424" s="0" t="n">
        <v>2423</v>
      </c>
      <c r="B2424" s="18" t="n">
        <v>1215684.96110572</v>
      </c>
      <c r="C2424" s="18" t="n">
        <v>15036599.5104347</v>
      </c>
      <c r="D2424" s="0" t="n">
        <v>1</v>
      </c>
    </row>
    <row r="2425" customFormat="false" ht="15" hidden="false" customHeight="false" outlineLevel="0" collapsed="false">
      <c r="A2425" s="0" t="n">
        <v>2424</v>
      </c>
      <c r="B2425" s="18" t="n">
        <v>826870.304511059</v>
      </c>
      <c r="C2425" s="18" t="n">
        <v>0</v>
      </c>
      <c r="D2425" s="0" t="n">
        <v>0</v>
      </c>
      <c r="E2425" s="19" t="n">
        <v>41.8333333333333</v>
      </c>
    </row>
    <row r="2426" customFormat="false" ht="15" hidden="false" customHeight="false" outlineLevel="0" collapsed="false">
      <c r="A2426" s="0" t="n">
        <v>2425</v>
      </c>
      <c r="B2426" s="18" t="n">
        <v>727029.055006162</v>
      </c>
      <c r="C2426" s="18" t="n">
        <v>0</v>
      </c>
      <c r="D2426" s="0" t="n">
        <v>0</v>
      </c>
      <c r="E2426" s="19" t="n">
        <v>48</v>
      </c>
    </row>
    <row r="2427" customFormat="false" ht="15" hidden="false" customHeight="false" outlineLevel="0" collapsed="false">
      <c r="A2427" s="0" t="n">
        <v>2426</v>
      </c>
      <c r="B2427" s="18" t="n">
        <v>1140470.38782107</v>
      </c>
      <c r="C2427" s="18" t="n">
        <v>615862.177120327</v>
      </c>
      <c r="D2427" s="0" t="n">
        <v>1</v>
      </c>
    </row>
    <row r="2428" customFormat="false" ht="15" hidden="false" customHeight="false" outlineLevel="0" collapsed="false">
      <c r="A2428" s="0" t="n">
        <v>2427</v>
      </c>
      <c r="B2428" s="18" t="n">
        <v>2503652.81381165</v>
      </c>
      <c r="C2428" s="18" t="n">
        <v>24122801.84486</v>
      </c>
      <c r="D2428" s="0" t="n">
        <v>1</v>
      </c>
    </row>
    <row r="2429" customFormat="false" ht="15" hidden="false" customHeight="false" outlineLevel="0" collapsed="false">
      <c r="A2429" s="0" t="n">
        <v>2428</v>
      </c>
      <c r="B2429" s="18" t="n">
        <v>648402.398634996</v>
      </c>
      <c r="C2429" s="18" t="n">
        <v>0</v>
      </c>
      <c r="D2429" s="0" t="n">
        <v>0</v>
      </c>
      <c r="E2429" s="19" t="n">
        <v>33.4166666666667</v>
      </c>
    </row>
    <row r="2430" customFormat="false" ht="15" hidden="false" customHeight="false" outlineLevel="0" collapsed="false">
      <c r="A2430" s="0" t="n">
        <v>2429</v>
      </c>
      <c r="B2430" s="18" t="n">
        <v>839349.414385119</v>
      </c>
      <c r="C2430" s="18" t="n">
        <v>0</v>
      </c>
      <c r="D2430" s="0" t="n">
        <v>0</v>
      </c>
      <c r="E2430" s="19" t="n">
        <v>36.1666666666667</v>
      </c>
    </row>
    <row r="2431" customFormat="false" ht="15" hidden="false" customHeight="false" outlineLevel="0" collapsed="false">
      <c r="A2431" s="0" t="n">
        <v>2430</v>
      </c>
      <c r="B2431" s="18" t="n">
        <v>469403.831298943</v>
      </c>
      <c r="C2431" s="18" t="n">
        <v>0</v>
      </c>
      <c r="D2431" s="0" t="n">
        <v>0</v>
      </c>
      <c r="E2431" s="19" t="n">
        <v>33.1666666666667</v>
      </c>
    </row>
    <row r="2432" customFormat="false" ht="15" hidden="false" customHeight="false" outlineLevel="0" collapsed="false">
      <c r="A2432" s="0" t="n">
        <v>2431</v>
      </c>
      <c r="B2432" s="18" t="n">
        <v>1279013.56685397</v>
      </c>
      <c r="C2432" s="18" t="n">
        <v>391475.989125631</v>
      </c>
      <c r="D2432" s="0" t="n">
        <v>1</v>
      </c>
    </row>
    <row r="2433" customFormat="false" ht="15" hidden="false" customHeight="false" outlineLevel="0" collapsed="false">
      <c r="A2433" s="0" t="n">
        <v>2432</v>
      </c>
      <c r="B2433" s="18" t="n">
        <v>2106754.5117227</v>
      </c>
      <c r="C2433" s="18" t="n">
        <v>2614845.22683236</v>
      </c>
      <c r="D2433" s="0" t="n">
        <v>1</v>
      </c>
    </row>
    <row r="2434" customFormat="false" ht="15" hidden="false" customHeight="false" outlineLevel="0" collapsed="false">
      <c r="A2434" s="0" t="n">
        <v>2433</v>
      </c>
      <c r="B2434" s="18" t="n">
        <v>2464425.06107205</v>
      </c>
      <c r="C2434" s="18" t="n">
        <v>3502914.8558602</v>
      </c>
      <c r="D2434" s="0" t="n">
        <v>1</v>
      </c>
    </row>
    <row r="2435" customFormat="false" ht="15" hidden="false" customHeight="false" outlineLevel="0" collapsed="false">
      <c r="A2435" s="0" t="n">
        <v>2434</v>
      </c>
      <c r="B2435" s="18" t="n">
        <v>1059409.77927352</v>
      </c>
      <c r="C2435" s="18" t="n">
        <v>0</v>
      </c>
      <c r="D2435" s="0" t="n">
        <v>0</v>
      </c>
      <c r="E2435" s="19" t="n">
        <v>47.3333333333333</v>
      </c>
    </row>
    <row r="2436" customFormat="false" ht="15" hidden="false" customHeight="false" outlineLevel="0" collapsed="false">
      <c r="A2436" s="0" t="n">
        <v>2435</v>
      </c>
      <c r="B2436" s="18" t="n">
        <v>1651880.07327304</v>
      </c>
      <c r="C2436" s="18" t="n">
        <v>2585339.32371608</v>
      </c>
      <c r="D2436" s="0" t="n">
        <v>1</v>
      </c>
    </row>
    <row r="2437" customFormat="false" ht="15" hidden="false" customHeight="false" outlineLevel="0" collapsed="false">
      <c r="A2437" s="0" t="n">
        <v>2436</v>
      </c>
      <c r="B2437" s="18" t="n">
        <v>822183.014362473</v>
      </c>
      <c r="C2437" s="18" t="n">
        <v>0</v>
      </c>
      <c r="D2437" s="0" t="n">
        <v>0</v>
      </c>
      <c r="E2437" s="19" t="n">
        <v>40.3333333333333</v>
      </c>
    </row>
    <row r="2438" customFormat="false" ht="15" hidden="false" customHeight="false" outlineLevel="0" collapsed="false">
      <c r="A2438" s="0" t="n">
        <v>2437</v>
      </c>
      <c r="B2438" s="18" t="n">
        <v>554041.611536175</v>
      </c>
      <c r="C2438" s="18" t="n">
        <v>0</v>
      </c>
      <c r="D2438" s="0" t="n">
        <v>0</v>
      </c>
      <c r="E2438" s="19" t="n">
        <v>31.9166666666667</v>
      </c>
    </row>
    <row r="2439" customFormat="false" ht="15" hidden="false" customHeight="false" outlineLevel="0" collapsed="false">
      <c r="A2439" s="0" t="n">
        <v>2438</v>
      </c>
      <c r="B2439" s="18" t="n">
        <v>465204.809536945</v>
      </c>
      <c r="C2439" s="18" t="n">
        <v>0</v>
      </c>
      <c r="D2439" s="0" t="n">
        <v>0</v>
      </c>
      <c r="E2439" s="19" t="n">
        <v>36.8333333333333</v>
      </c>
    </row>
    <row r="2440" customFormat="false" ht="15" hidden="false" customHeight="false" outlineLevel="0" collapsed="false">
      <c r="A2440" s="0" t="n">
        <v>2439</v>
      </c>
      <c r="B2440" s="18" t="n">
        <v>788284.731082471</v>
      </c>
      <c r="C2440" s="18" t="n">
        <v>0</v>
      </c>
      <c r="D2440" s="0" t="n">
        <v>0</v>
      </c>
      <c r="E2440" s="19" t="n">
        <v>36.25</v>
      </c>
    </row>
    <row r="2441" customFormat="false" ht="15" hidden="false" customHeight="false" outlineLevel="0" collapsed="false">
      <c r="A2441" s="0" t="n">
        <v>2440</v>
      </c>
      <c r="B2441" s="18" t="n">
        <v>3608453.43917913</v>
      </c>
      <c r="C2441" s="18" t="n">
        <v>3814143.57324176</v>
      </c>
      <c r="D2441" s="0" t="n">
        <v>1</v>
      </c>
    </row>
    <row r="2442" customFormat="false" ht="15" hidden="false" customHeight="false" outlineLevel="0" collapsed="false">
      <c r="A2442" s="0" t="n">
        <v>2441</v>
      </c>
      <c r="B2442" s="18" t="n">
        <v>318911.194309779</v>
      </c>
      <c r="C2442" s="18" t="n">
        <v>0</v>
      </c>
      <c r="D2442" s="0" t="n">
        <v>0</v>
      </c>
      <c r="E2442" s="19" t="n">
        <v>29.9166666666667</v>
      </c>
    </row>
    <row r="2443" customFormat="false" ht="15" hidden="false" customHeight="false" outlineLevel="0" collapsed="false">
      <c r="A2443" s="0" t="n">
        <v>2442</v>
      </c>
      <c r="B2443" s="18" t="n">
        <v>550127.696855617</v>
      </c>
      <c r="C2443" s="18" t="n">
        <v>0</v>
      </c>
      <c r="D2443" s="0" t="n">
        <v>0</v>
      </c>
      <c r="E2443" s="19" t="n">
        <v>45.6666666666667</v>
      </c>
    </row>
    <row r="2444" customFormat="false" ht="15" hidden="false" customHeight="false" outlineLevel="0" collapsed="false">
      <c r="A2444" s="0" t="n">
        <v>2443</v>
      </c>
      <c r="B2444" s="18" t="n">
        <v>539885.654826826</v>
      </c>
      <c r="C2444" s="18" t="n">
        <v>0</v>
      </c>
      <c r="D2444" s="0" t="n">
        <v>0</v>
      </c>
      <c r="E2444" s="19" t="n">
        <v>32.25</v>
      </c>
    </row>
    <row r="2445" customFormat="false" ht="15" hidden="false" customHeight="false" outlineLevel="0" collapsed="false">
      <c r="A2445" s="0" t="n">
        <v>2444</v>
      </c>
      <c r="B2445" s="18" t="n">
        <v>475014.157940021</v>
      </c>
      <c r="C2445" s="18" t="n">
        <v>0</v>
      </c>
      <c r="D2445" s="0" t="n">
        <v>0</v>
      </c>
      <c r="E2445" s="19" t="n">
        <v>31.6666666666667</v>
      </c>
    </row>
    <row r="2446" customFormat="false" ht="15" hidden="false" customHeight="false" outlineLevel="0" collapsed="false">
      <c r="A2446" s="0" t="n">
        <v>2445</v>
      </c>
      <c r="B2446" s="18" t="n">
        <v>2315887.34102799</v>
      </c>
      <c r="C2446" s="18" t="n">
        <v>2550863.9710025</v>
      </c>
      <c r="D2446" s="0" t="n">
        <v>1</v>
      </c>
    </row>
    <row r="2447" customFormat="false" ht="15" hidden="false" customHeight="false" outlineLevel="0" collapsed="false">
      <c r="A2447" s="0" t="n">
        <v>2446</v>
      </c>
      <c r="B2447" s="18" t="n">
        <v>544355.420034978</v>
      </c>
      <c r="C2447" s="18" t="n">
        <v>0</v>
      </c>
      <c r="D2447" s="0" t="n">
        <v>0</v>
      </c>
      <c r="E2447" s="19" t="n">
        <v>39.25</v>
      </c>
    </row>
    <row r="2448" customFormat="false" ht="15" hidden="false" customHeight="false" outlineLevel="0" collapsed="false">
      <c r="A2448" s="0" t="n">
        <v>2447</v>
      </c>
      <c r="B2448" s="18" t="n">
        <v>1140896.82182786</v>
      </c>
      <c r="C2448" s="18" t="n">
        <v>2237634.24044693</v>
      </c>
      <c r="D2448" s="0" t="n">
        <v>1</v>
      </c>
    </row>
    <row r="2449" customFormat="false" ht="15" hidden="false" customHeight="false" outlineLevel="0" collapsed="false">
      <c r="A2449" s="0" t="n">
        <v>2448</v>
      </c>
      <c r="B2449" s="18" t="n">
        <v>530298.071420641</v>
      </c>
      <c r="C2449" s="18" t="n">
        <v>0</v>
      </c>
      <c r="D2449" s="0" t="n">
        <v>0</v>
      </c>
      <c r="E2449" s="19" t="n">
        <v>43.0833333333333</v>
      </c>
    </row>
    <row r="2450" customFormat="false" ht="15" hidden="false" customHeight="false" outlineLevel="0" collapsed="false">
      <c r="A2450" s="0" t="n">
        <v>2449</v>
      </c>
      <c r="B2450" s="18" t="n">
        <v>710671.372287467</v>
      </c>
      <c r="C2450" s="18" t="n">
        <v>0</v>
      </c>
      <c r="D2450" s="0" t="n">
        <v>0</v>
      </c>
      <c r="E2450" s="19" t="n">
        <v>33.9166666666667</v>
      </c>
    </row>
    <row r="2451" customFormat="false" ht="15" hidden="false" customHeight="false" outlineLevel="0" collapsed="false">
      <c r="A2451" s="0" t="n">
        <v>2450</v>
      </c>
      <c r="B2451" s="18" t="n">
        <v>1655393.21131377</v>
      </c>
      <c r="C2451" s="18" t="n">
        <v>8600546.14169521</v>
      </c>
      <c r="D2451" s="0" t="n">
        <v>1</v>
      </c>
    </row>
    <row r="2452" customFormat="false" ht="15" hidden="false" customHeight="false" outlineLevel="0" collapsed="false">
      <c r="A2452" s="0" t="n">
        <v>2451</v>
      </c>
      <c r="B2452" s="18" t="n">
        <v>1378276.78839663</v>
      </c>
      <c r="C2452" s="18" t="n">
        <v>3155216.3586891</v>
      </c>
      <c r="D2452" s="0" t="n">
        <v>1</v>
      </c>
    </row>
    <row r="2453" customFormat="false" ht="15" hidden="false" customHeight="false" outlineLevel="0" collapsed="false">
      <c r="A2453" s="0" t="n">
        <v>2452</v>
      </c>
      <c r="B2453" s="18" t="n">
        <v>494982.940760888</v>
      </c>
      <c r="C2453" s="18" t="n">
        <v>0</v>
      </c>
      <c r="D2453" s="0" t="n">
        <v>0</v>
      </c>
      <c r="E2453" s="19" t="n">
        <v>39.3333333333333</v>
      </c>
    </row>
    <row r="2454" customFormat="false" ht="15" hidden="false" customHeight="false" outlineLevel="0" collapsed="false">
      <c r="A2454" s="0" t="n">
        <v>2453</v>
      </c>
      <c r="B2454" s="18" t="n">
        <v>841342.19798841</v>
      </c>
      <c r="C2454" s="18" t="n">
        <v>0</v>
      </c>
      <c r="D2454" s="0" t="n">
        <v>0</v>
      </c>
      <c r="E2454" s="19" t="n">
        <v>35.0833333333333</v>
      </c>
    </row>
    <row r="2455" customFormat="false" ht="15" hidden="false" customHeight="false" outlineLevel="0" collapsed="false">
      <c r="A2455" s="0" t="n">
        <v>2454</v>
      </c>
      <c r="B2455" s="18" t="n">
        <v>849900.649608018</v>
      </c>
      <c r="C2455" s="18" t="n">
        <v>0</v>
      </c>
      <c r="D2455" s="0" t="n">
        <v>0</v>
      </c>
      <c r="E2455" s="19" t="n">
        <v>43.8333333333333</v>
      </c>
    </row>
    <row r="2456" customFormat="false" ht="15" hidden="false" customHeight="false" outlineLevel="0" collapsed="false">
      <c r="A2456" s="0" t="n">
        <v>2455</v>
      </c>
      <c r="B2456" s="18" t="n">
        <v>928956.528502129</v>
      </c>
      <c r="C2456" s="18" t="n">
        <v>1654037.65537091</v>
      </c>
      <c r="D2456" s="0" t="n">
        <v>1</v>
      </c>
    </row>
    <row r="2457" customFormat="false" ht="15" hidden="false" customHeight="false" outlineLevel="0" collapsed="false">
      <c r="A2457" s="0" t="n">
        <v>2456</v>
      </c>
      <c r="B2457" s="18" t="n">
        <v>703840.825882262</v>
      </c>
      <c r="C2457" s="18" t="n">
        <v>0</v>
      </c>
      <c r="D2457" s="0" t="n">
        <v>0</v>
      </c>
      <c r="E2457" s="19" t="n">
        <v>49.75</v>
      </c>
    </row>
    <row r="2458" customFormat="false" ht="15" hidden="false" customHeight="false" outlineLevel="0" collapsed="false">
      <c r="A2458" s="0" t="n">
        <v>2457</v>
      </c>
      <c r="B2458" s="18" t="n">
        <v>1185223.09998146</v>
      </c>
      <c r="C2458" s="18" t="n">
        <v>0</v>
      </c>
      <c r="D2458" s="0" t="n">
        <v>0</v>
      </c>
      <c r="E2458" s="19" t="n">
        <v>41.6666666666667</v>
      </c>
    </row>
    <row r="2459" customFormat="false" ht="15" hidden="false" customHeight="false" outlineLevel="0" collapsed="false">
      <c r="A2459" s="0" t="n">
        <v>2458</v>
      </c>
      <c r="B2459" s="18" t="n">
        <v>575015.494949578</v>
      </c>
      <c r="C2459" s="18" t="n">
        <v>0</v>
      </c>
      <c r="D2459" s="0" t="n">
        <v>0</v>
      </c>
      <c r="E2459" s="19" t="n">
        <v>31.5833333333333</v>
      </c>
    </row>
    <row r="2460" customFormat="false" ht="15" hidden="false" customHeight="false" outlineLevel="0" collapsed="false">
      <c r="A2460" s="0" t="n">
        <v>2459</v>
      </c>
      <c r="B2460" s="18" t="n">
        <v>761977.947248088</v>
      </c>
      <c r="C2460" s="18" t="n">
        <v>0</v>
      </c>
      <c r="D2460" s="0" t="n">
        <v>0</v>
      </c>
      <c r="E2460" s="19" t="n">
        <v>43.75</v>
      </c>
    </row>
    <row r="2461" customFormat="false" ht="15" hidden="false" customHeight="false" outlineLevel="0" collapsed="false">
      <c r="A2461" s="0" t="n">
        <v>2460</v>
      </c>
      <c r="B2461" s="18" t="n">
        <v>759626.76935596</v>
      </c>
      <c r="C2461" s="18" t="n">
        <v>0</v>
      </c>
      <c r="D2461" s="0" t="n">
        <v>0</v>
      </c>
      <c r="E2461" s="19" t="n">
        <v>42.5833333333333</v>
      </c>
    </row>
    <row r="2462" customFormat="false" ht="15" hidden="false" customHeight="false" outlineLevel="0" collapsed="false">
      <c r="A2462" s="0" t="n">
        <v>2461</v>
      </c>
      <c r="B2462" s="18" t="n">
        <v>727383.636131644</v>
      </c>
      <c r="C2462" s="18" t="n">
        <v>0</v>
      </c>
      <c r="D2462" s="0" t="n">
        <v>0</v>
      </c>
      <c r="E2462" s="19" t="n">
        <v>49.9166666666667</v>
      </c>
    </row>
    <row r="2463" customFormat="false" ht="15" hidden="false" customHeight="false" outlineLevel="0" collapsed="false">
      <c r="A2463" s="0" t="n">
        <v>2462</v>
      </c>
      <c r="B2463" s="18" t="n">
        <v>2012380.50764973</v>
      </c>
      <c r="C2463" s="18" t="n">
        <v>1573449.58965114</v>
      </c>
      <c r="D2463" s="0" t="n">
        <v>1</v>
      </c>
    </row>
    <row r="2464" customFormat="false" ht="15" hidden="false" customHeight="false" outlineLevel="0" collapsed="false">
      <c r="A2464" s="0" t="n">
        <v>2463</v>
      </c>
      <c r="B2464" s="18" t="n">
        <v>469419.925705552</v>
      </c>
      <c r="C2464" s="18" t="n">
        <v>0</v>
      </c>
      <c r="D2464" s="0" t="n">
        <v>0</v>
      </c>
      <c r="E2464" s="19" t="n">
        <v>38.0833333333333</v>
      </c>
    </row>
    <row r="2465" customFormat="false" ht="15" hidden="false" customHeight="false" outlineLevel="0" collapsed="false">
      <c r="A2465" s="0" t="n">
        <v>2464</v>
      </c>
      <c r="B2465" s="18" t="n">
        <v>761282.287521671</v>
      </c>
      <c r="C2465" s="18" t="n">
        <v>0</v>
      </c>
      <c r="D2465" s="0" t="n">
        <v>0</v>
      </c>
      <c r="E2465" s="19" t="n">
        <v>40.0833333333333</v>
      </c>
    </row>
    <row r="2466" customFormat="false" ht="15" hidden="false" customHeight="false" outlineLevel="0" collapsed="false">
      <c r="A2466" s="0" t="n">
        <v>2465</v>
      </c>
      <c r="B2466" s="18" t="n">
        <v>658658.614258327</v>
      </c>
      <c r="C2466" s="18" t="n">
        <v>0</v>
      </c>
      <c r="D2466" s="0" t="n">
        <v>0</v>
      </c>
      <c r="E2466" s="19" t="n">
        <v>51.1666666666667</v>
      </c>
    </row>
    <row r="2467" customFormat="false" ht="15" hidden="false" customHeight="false" outlineLevel="0" collapsed="false">
      <c r="A2467" s="0" t="n">
        <v>2466</v>
      </c>
      <c r="B2467" s="18" t="n">
        <v>2102175.1900222</v>
      </c>
      <c r="C2467" s="18" t="n">
        <v>11203026.8426865</v>
      </c>
      <c r="D2467" s="0" t="n">
        <v>1</v>
      </c>
    </row>
    <row r="2468" customFormat="false" ht="15" hidden="false" customHeight="false" outlineLevel="0" collapsed="false">
      <c r="A2468" s="0" t="n">
        <v>2467</v>
      </c>
      <c r="B2468" s="18" t="n">
        <v>1141574.42278133</v>
      </c>
      <c r="C2468" s="18" t="n">
        <v>7257064.6010224</v>
      </c>
      <c r="D2468" s="0" t="n">
        <v>1</v>
      </c>
    </row>
    <row r="2469" customFormat="false" ht="15" hidden="false" customHeight="false" outlineLevel="0" collapsed="false">
      <c r="A2469" s="0" t="n">
        <v>2468</v>
      </c>
      <c r="B2469" s="18" t="n">
        <v>533155.418448795</v>
      </c>
      <c r="C2469" s="18" t="n">
        <v>0</v>
      </c>
      <c r="D2469" s="0" t="n">
        <v>0</v>
      </c>
      <c r="E2469" s="19" t="n">
        <v>42.1666666666667</v>
      </c>
    </row>
    <row r="2470" customFormat="false" ht="15" hidden="false" customHeight="false" outlineLevel="0" collapsed="false">
      <c r="A2470" s="0" t="n">
        <v>2469</v>
      </c>
      <c r="B2470" s="18" t="n">
        <v>2309276.72411552</v>
      </c>
      <c r="C2470" s="18" t="n">
        <v>9222087.41631077</v>
      </c>
      <c r="D2470" s="0" t="n">
        <v>1</v>
      </c>
    </row>
    <row r="2471" customFormat="false" ht="15" hidden="false" customHeight="false" outlineLevel="0" collapsed="false">
      <c r="A2471" s="0" t="n">
        <v>2470</v>
      </c>
      <c r="B2471" s="18" t="n">
        <v>1233650.20671401</v>
      </c>
      <c r="C2471" s="18" t="n">
        <v>1482918.63272395</v>
      </c>
      <c r="D2471" s="0" t="n">
        <v>1</v>
      </c>
    </row>
    <row r="2472" customFormat="false" ht="15" hidden="false" customHeight="false" outlineLevel="0" collapsed="false">
      <c r="A2472" s="0" t="n">
        <v>2471</v>
      </c>
      <c r="B2472" s="18" t="n">
        <v>849957.489869059</v>
      </c>
      <c r="C2472" s="18" t="n">
        <v>0</v>
      </c>
      <c r="D2472" s="0" t="n">
        <v>0</v>
      </c>
      <c r="E2472" s="19" t="n">
        <v>48.6666666666667</v>
      </c>
    </row>
    <row r="2473" customFormat="false" ht="15" hidden="false" customHeight="false" outlineLevel="0" collapsed="false">
      <c r="A2473" s="0" t="n">
        <v>2472</v>
      </c>
      <c r="B2473" s="18" t="n">
        <v>1209555.60138877</v>
      </c>
      <c r="C2473" s="18" t="n">
        <v>0</v>
      </c>
      <c r="D2473" s="0" t="n">
        <v>0</v>
      </c>
      <c r="E2473" s="19" t="n">
        <v>50.4166666666667</v>
      </c>
    </row>
    <row r="2474" customFormat="false" ht="15" hidden="false" customHeight="false" outlineLevel="0" collapsed="false">
      <c r="A2474" s="0" t="n">
        <v>2473</v>
      </c>
      <c r="B2474" s="18" t="n">
        <v>1072945.32447755</v>
      </c>
      <c r="C2474" s="18" t="n">
        <v>1734179.41374842</v>
      </c>
      <c r="D2474" s="0" t="n">
        <v>1</v>
      </c>
    </row>
    <row r="2475" customFormat="false" ht="15" hidden="false" customHeight="false" outlineLevel="0" collapsed="false">
      <c r="A2475" s="0" t="n">
        <v>2474</v>
      </c>
      <c r="B2475" s="18" t="n">
        <v>474059.936272497</v>
      </c>
      <c r="C2475" s="18" t="n">
        <v>0</v>
      </c>
      <c r="D2475" s="0" t="n">
        <v>0</v>
      </c>
      <c r="E2475" s="19" t="n">
        <v>35.5</v>
      </c>
    </row>
    <row r="2476" customFormat="false" ht="15" hidden="false" customHeight="false" outlineLevel="0" collapsed="false">
      <c r="A2476" s="0" t="n">
        <v>2475</v>
      </c>
      <c r="B2476" s="18" t="n">
        <v>1237398.98969245</v>
      </c>
      <c r="C2476" s="18" t="n">
        <v>599904.621393259</v>
      </c>
      <c r="D2476" s="0" t="n">
        <v>1</v>
      </c>
    </row>
    <row r="2477" customFormat="false" ht="15" hidden="false" customHeight="false" outlineLevel="0" collapsed="false">
      <c r="A2477" s="0" t="n">
        <v>2476</v>
      </c>
      <c r="B2477" s="18" t="n">
        <v>1321896.36214728</v>
      </c>
      <c r="C2477" s="18" t="n">
        <v>4975258.54074421</v>
      </c>
      <c r="D2477" s="0" t="n">
        <v>1</v>
      </c>
    </row>
    <row r="2478" customFormat="false" ht="15" hidden="false" customHeight="false" outlineLevel="0" collapsed="false">
      <c r="A2478" s="0" t="n">
        <v>2477</v>
      </c>
      <c r="B2478" s="18" t="n">
        <v>1936557.27657675</v>
      </c>
      <c r="C2478" s="18" t="n">
        <v>2777353.19043322</v>
      </c>
      <c r="D2478" s="0" t="n">
        <v>1</v>
      </c>
    </row>
    <row r="2479" customFormat="false" ht="15" hidden="false" customHeight="false" outlineLevel="0" collapsed="false">
      <c r="A2479" s="0" t="n">
        <v>2478</v>
      </c>
      <c r="B2479" s="18" t="n">
        <v>634259.73115906</v>
      </c>
      <c r="C2479" s="18" t="n">
        <v>0</v>
      </c>
      <c r="D2479" s="0" t="n">
        <v>0</v>
      </c>
      <c r="E2479" s="19" t="n">
        <v>31.5833333333333</v>
      </c>
    </row>
    <row r="2480" customFormat="false" ht="15" hidden="false" customHeight="false" outlineLevel="0" collapsed="false">
      <c r="A2480" s="0" t="n">
        <v>2479</v>
      </c>
      <c r="B2480" s="18" t="n">
        <v>1456804.3846635</v>
      </c>
      <c r="C2480" s="18" t="n">
        <v>1098749.34863998</v>
      </c>
      <c r="D2480" s="0" t="n">
        <v>1</v>
      </c>
    </row>
    <row r="2481" customFormat="false" ht="15" hidden="false" customHeight="false" outlineLevel="0" collapsed="false">
      <c r="A2481" s="0" t="n">
        <v>2480</v>
      </c>
      <c r="B2481" s="18" t="n">
        <v>1039738.31436814</v>
      </c>
      <c r="C2481" s="18" t="n">
        <v>833330.247962797</v>
      </c>
      <c r="D2481" s="0" t="n">
        <v>1</v>
      </c>
    </row>
    <row r="2482" customFormat="false" ht="15" hidden="false" customHeight="false" outlineLevel="0" collapsed="false">
      <c r="A2482" s="0" t="n">
        <v>2481</v>
      </c>
      <c r="B2482" s="18" t="n">
        <v>607187.428174329</v>
      </c>
      <c r="C2482" s="18" t="n">
        <v>0</v>
      </c>
      <c r="D2482" s="0" t="n">
        <v>0</v>
      </c>
      <c r="E2482" s="19" t="n">
        <v>35.6666666666667</v>
      </c>
    </row>
    <row r="2483" customFormat="false" ht="15" hidden="false" customHeight="false" outlineLevel="0" collapsed="false">
      <c r="A2483" s="0" t="n">
        <v>2482</v>
      </c>
      <c r="B2483" s="18" t="n">
        <v>416560.873712995</v>
      </c>
      <c r="C2483" s="18" t="n">
        <v>0</v>
      </c>
      <c r="D2483" s="0" t="n">
        <v>0</v>
      </c>
      <c r="E2483" s="19" t="n">
        <v>30.5</v>
      </c>
    </row>
    <row r="2484" customFormat="false" ht="15" hidden="false" customHeight="false" outlineLevel="0" collapsed="false">
      <c r="A2484" s="0" t="n">
        <v>2483</v>
      </c>
      <c r="B2484" s="18" t="n">
        <v>1797482.07843848</v>
      </c>
      <c r="C2484" s="18" t="n">
        <v>4161016.08811104</v>
      </c>
      <c r="D2484" s="0" t="n">
        <v>1</v>
      </c>
    </row>
    <row r="2485" customFormat="false" ht="15" hidden="false" customHeight="false" outlineLevel="0" collapsed="false">
      <c r="A2485" s="0" t="n">
        <v>2484</v>
      </c>
      <c r="B2485" s="18" t="n">
        <v>270761.802344971</v>
      </c>
      <c r="C2485" s="18" t="n">
        <v>0</v>
      </c>
      <c r="D2485" s="0" t="n">
        <v>0</v>
      </c>
      <c r="E2485" s="19" t="n">
        <v>29.5</v>
      </c>
    </row>
    <row r="2486" customFormat="false" ht="15" hidden="false" customHeight="false" outlineLevel="0" collapsed="false">
      <c r="A2486" s="0" t="n">
        <v>2485</v>
      </c>
      <c r="B2486" s="18" t="n">
        <v>2180988.27180231</v>
      </c>
      <c r="C2486" s="18" t="n">
        <v>434418.033344973</v>
      </c>
      <c r="D2486" s="0" t="n">
        <v>1</v>
      </c>
    </row>
    <row r="2487" customFormat="false" ht="15" hidden="false" customHeight="false" outlineLevel="0" collapsed="false">
      <c r="A2487" s="0" t="n">
        <v>2486</v>
      </c>
      <c r="B2487" s="18" t="n">
        <v>836371.222350758</v>
      </c>
      <c r="C2487" s="18" t="n">
        <v>0</v>
      </c>
      <c r="D2487" s="0" t="n">
        <v>0</v>
      </c>
      <c r="E2487" s="19" t="n">
        <v>49.8333333333333</v>
      </c>
    </row>
    <row r="2488" customFormat="false" ht="15" hidden="false" customHeight="false" outlineLevel="0" collapsed="false">
      <c r="A2488" s="0" t="n">
        <v>2487</v>
      </c>
      <c r="B2488" s="18" t="n">
        <v>691362.944042458</v>
      </c>
      <c r="C2488" s="18" t="n">
        <v>0</v>
      </c>
      <c r="D2488" s="0" t="n">
        <v>0</v>
      </c>
      <c r="E2488" s="19" t="n">
        <v>38</v>
      </c>
    </row>
    <row r="2489" customFormat="false" ht="15" hidden="false" customHeight="false" outlineLevel="0" collapsed="false">
      <c r="A2489" s="0" t="n">
        <v>2488</v>
      </c>
      <c r="B2489" s="18" t="n">
        <v>710818.661982048</v>
      </c>
      <c r="C2489" s="18" t="n">
        <v>0</v>
      </c>
      <c r="D2489" s="0" t="n">
        <v>0</v>
      </c>
      <c r="E2489" s="19" t="n">
        <v>37.75</v>
      </c>
    </row>
    <row r="2490" customFormat="false" ht="15" hidden="false" customHeight="false" outlineLevel="0" collapsed="false">
      <c r="A2490" s="0" t="n">
        <v>2489</v>
      </c>
      <c r="B2490" s="18" t="n">
        <v>2010629.3114982</v>
      </c>
      <c r="C2490" s="18" t="n">
        <v>8783893.75361198</v>
      </c>
      <c r="D2490" s="0" t="n">
        <v>1</v>
      </c>
    </row>
    <row r="2491" customFormat="false" ht="15" hidden="false" customHeight="false" outlineLevel="0" collapsed="false">
      <c r="A2491" s="0" t="n">
        <v>2490</v>
      </c>
      <c r="B2491" s="18" t="n">
        <v>580073.40098063</v>
      </c>
      <c r="C2491" s="18" t="n">
        <v>0</v>
      </c>
      <c r="D2491" s="0" t="n">
        <v>0</v>
      </c>
      <c r="E2491" s="19" t="n">
        <v>34.9166666666667</v>
      </c>
    </row>
    <row r="2492" customFormat="false" ht="15" hidden="false" customHeight="false" outlineLevel="0" collapsed="false">
      <c r="A2492" s="0" t="n">
        <v>2491</v>
      </c>
      <c r="B2492" s="18" t="n">
        <v>890940.364522706</v>
      </c>
      <c r="C2492" s="18" t="n">
        <v>0</v>
      </c>
      <c r="D2492" s="0" t="n">
        <v>0</v>
      </c>
      <c r="E2492" s="19" t="n">
        <v>40.4166666666667</v>
      </c>
    </row>
    <row r="2493" customFormat="false" ht="15" hidden="false" customHeight="false" outlineLevel="0" collapsed="false">
      <c r="A2493" s="0" t="n">
        <v>2492</v>
      </c>
      <c r="B2493" s="18" t="n">
        <v>863128.907080215</v>
      </c>
      <c r="C2493" s="18" t="n">
        <v>0</v>
      </c>
      <c r="D2493" s="0" t="n">
        <v>0</v>
      </c>
      <c r="E2493" s="19" t="n">
        <v>44.1666666666667</v>
      </c>
    </row>
    <row r="2494" customFormat="false" ht="15" hidden="false" customHeight="false" outlineLevel="0" collapsed="false">
      <c r="A2494" s="0" t="n">
        <v>2493</v>
      </c>
      <c r="B2494" s="18" t="n">
        <v>446906.315763755</v>
      </c>
      <c r="C2494" s="18" t="n">
        <v>0</v>
      </c>
      <c r="D2494" s="0" t="n">
        <v>0</v>
      </c>
      <c r="E2494" s="19" t="n">
        <v>36.75</v>
      </c>
    </row>
    <row r="2495" customFormat="false" ht="15" hidden="false" customHeight="false" outlineLevel="0" collapsed="false">
      <c r="A2495" s="0" t="n">
        <v>2494</v>
      </c>
      <c r="B2495" s="18" t="n">
        <v>473102.968988272</v>
      </c>
      <c r="C2495" s="18" t="n">
        <v>0</v>
      </c>
      <c r="D2495" s="0" t="n">
        <v>0</v>
      </c>
      <c r="E2495" s="19" t="n">
        <v>36.1666666666667</v>
      </c>
    </row>
    <row r="2496" customFormat="false" ht="15" hidden="false" customHeight="false" outlineLevel="0" collapsed="false">
      <c r="A2496" s="0" t="n">
        <v>2495</v>
      </c>
      <c r="B2496" s="18" t="n">
        <v>712053.961955752</v>
      </c>
      <c r="C2496" s="18" t="n">
        <v>0</v>
      </c>
      <c r="D2496" s="0" t="n">
        <v>0</v>
      </c>
      <c r="E2496" s="19" t="n">
        <v>41.5</v>
      </c>
    </row>
    <row r="2497" customFormat="false" ht="15" hidden="false" customHeight="false" outlineLevel="0" collapsed="false">
      <c r="A2497" s="0" t="n">
        <v>2496</v>
      </c>
      <c r="B2497" s="18" t="n">
        <v>1608470.45821739</v>
      </c>
      <c r="C2497" s="18" t="n">
        <v>11177480.2451297</v>
      </c>
      <c r="D2497" s="0" t="n">
        <v>1</v>
      </c>
    </row>
    <row r="2498" customFormat="false" ht="15" hidden="false" customHeight="false" outlineLevel="0" collapsed="false">
      <c r="A2498" s="0" t="n">
        <v>2497</v>
      </c>
      <c r="B2498" s="18" t="n">
        <v>359224.780816072</v>
      </c>
      <c r="C2498" s="18" t="n">
        <v>0</v>
      </c>
      <c r="D2498" s="0" t="n">
        <v>0</v>
      </c>
      <c r="E2498" s="19" t="n">
        <v>32.0833333333333</v>
      </c>
    </row>
    <row r="2499" customFormat="false" ht="15" hidden="false" customHeight="false" outlineLevel="0" collapsed="false">
      <c r="A2499" s="0" t="n">
        <v>2498</v>
      </c>
      <c r="B2499" s="18" t="n">
        <v>1288557.38434972</v>
      </c>
      <c r="C2499" s="18" t="n">
        <v>3625440.42917944</v>
      </c>
      <c r="D2499" s="0" t="n">
        <v>1</v>
      </c>
    </row>
    <row r="2500" customFormat="false" ht="15" hidden="false" customHeight="false" outlineLevel="0" collapsed="false">
      <c r="A2500" s="0" t="n">
        <v>2499</v>
      </c>
      <c r="B2500" s="18" t="n">
        <v>933060.870963377</v>
      </c>
      <c r="C2500" s="18" t="n">
        <v>0</v>
      </c>
      <c r="D2500" s="0" t="n">
        <v>0</v>
      </c>
      <c r="E2500" s="19" t="n">
        <v>40.6666666666667</v>
      </c>
    </row>
    <row r="2501" customFormat="false" ht="15" hidden="false" customHeight="false" outlineLevel="0" collapsed="false">
      <c r="A2501" s="0" t="n">
        <v>2500</v>
      </c>
      <c r="B2501" s="18" t="n">
        <v>606517.155068915</v>
      </c>
      <c r="C2501" s="18" t="n">
        <v>0</v>
      </c>
      <c r="D2501" s="0" t="n">
        <v>0</v>
      </c>
      <c r="E2501" s="19" t="n">
        <v>36.3333333333333</v>
      </c>
    </row>
    <row r="2502" customFormat="false" ht="15" hidden="false" customHeight="false" outlineLevel="0" collapsed="false">
      <c r="A2502" s="0" t="n">
        <v>2501</v>
      </c>
      <c r="B2502" s="18" t="n">
        <v>667145.551751674</v>
      </c>
      <c r="C2502" s="18" t="n">
        <v>0</v>
      </c>
      <c r="D2502" s="0" t="n">
        <v>0</v>
      </c>
      <c r="E2502" s="19" t="n">
        <v>33.9166666666667</v>
      </c>
    </row>
    <row r="2503" customFormat="false" ht="15" hidden="false" customHeight="false" outlineLevel="0" collapsed="false">
      <c r="A2503" s="0" t="n">
        <v>2502</v>
      </c>
      <c r="B2503" s="18" t="n">
        <v>813074.390538848</v>
      </c>
      <c r="C2503" s="18" t="n">
        <v>0</v>
      </c>
      <c r="D2503" s="0" t="n">
        <v>0</v>
      </c>
      <c r="E2503" s="19" t="n">
        <v>48.1666666666667</v>
      </c>
    </row>
    <row r="2504" customFormat="false" ht="15" hidden="false" customHeight="false" outlineLevel="0" collapsed="false">
      <c r="A2504" s="0" t="n">
        <v>2503</v>
      </c>
      <c r="B2504" s="18" t="n">
        <v>1511706.62729701</v>
      </c>
      <c r="C2504" s="18" t="n">
        <v>1583553.89773159</v>
      </c>
      <c r="D2504" s="0" t="n">
        <v>1</v>
      </c>
    </row>
    <row r="2505" customFormat="false" ht="15" hidden="false" customHeight="false" outlineLevel="0" collapsed="false">
      <c r="A2505" s="0" t="n">
        <v>2504</v>
      </c>
      <c r="B2505" s="18" t="n">
        <v>857344.101614181</v>
      </c>
      <c r="C2505" s="18" t="n">
        <v>0</v>
      </c>
      <c r="D2505" s="0" t="n">
        <v>0</v>
      </c>
      <c r="E2505" s="19" t="n">
        <v>40.5833333333333</v>
      </c>
    </row>
    <row r="2506" customFormat="false" ht="15" hidden="false" customHeight="false" outlineLevel="0" collapsed="false">
      <c r="A2506" s="0" t="n">
        <v>2505</v>
      </c>
      <c r="B2506" s="18" t="n">
        <v>1526161.74166484</v>
      </c>
      <c r="C2506" s="18" t="n">
        <v>0</v>
      </c>
      <c r="D2506" s="0" t="n">
        <v>0</v>
      </c>
      <c r="E2506" s="19" t="n">
        <v>48</v>
      </c>
    </row>
    <row r="2507" customFormat="false" ht="15" hidden="false" customHeight="false" outlineLevel="0" collapsed="false">
      <c r="A2507" s="0" t="n">
        <v>2506</v>
      </c>
      <c r="B2507" s="18" t="n">
        <v>875136.904428189</v>
      </c>
      <c r="C2507" s="18" t="n">
        <v>0</v>
      </c>
      <c r="D2507" s="0" t="n">
        <v>0</v>
      </c>
      <c r="E2507" s="19" t="n">
        <v>49.8333333333333</v>
      </c>
    </row>
    <row r="2508" customFormat="false" ht="15" hidden="false" customHeight="false" outlineLevel="0" collapsed="false">
      <c r="A2508" s="0" t="n">
        <v>2507</v>
      </c>
      <c r="B2508" s="18" t="n">
        <v>1896968.03551995</v>
      </c>
      <c r="C2508" s="18" t="n">
        <v>0</v>
      </c>
      <c r="D2508" s="0" t="n">
        <v>0</v>
      </c>
      <c r="E2508" s="19" t="n">
        <v>51.0833333333333</v>
      </c>
    </row>
    <row r="2509" customFormat="false" ht="15" hidden="false" customHeight="false" outlineLevel="0" collapsed="false">
      <c r="A2509" s="0" t="n">
        <v>2508</v>
      </c>
      <c r="B2509" s="18" t="n">
        <v>995506.802596405</v>
      </c>
      <c r="C2509" s="18" t="n">
        <v>14733924.2178748</v>
      </c>
      <c r="D2509" s="0" t="n">
        <v>1</v>
      </c>
    </row>
    <row r="2510" customFormat="false" ht="15" hidden="false" customHeight="false" outlineLevel="0" collapsed="false">
      <c r="A2510" s="0" t="n">
        <v>2509</v>
      </c>
      <c r="B2510" s="18" t="n">
        <v>861994.575616184</v>
      </c>
      <c r="C2510" s="18" t="n">
        <v>0</v>
      </c>
      <c r="D2510" s="0" t="n">
        <v>0</v>
      </c>
      <c r="E2510" s="19" t="n">
        <v>38.4166666666667</v>
      </c>
    </row>
    <row r="2511" customFormat="false" ht="15" hidden="false" customHeight="false" outlineLevel="0" collapsed="false">
      <c r="A2511" s="0" t="n">
        <v>2510</v>
      </c>
      <c r="B2511" s="18" t="n">
        <v>831148.703157836</v>
      </c>
      <c r="C2511" s="18" t="n">
        <v>373902.437290899</v>
      </c>
      <c r="D2511" s="0" t="n">
        <v>1</v>
      </c>
    </row>
    <row r="2512" customFormat="false" ht="15" hidden="false" customHeight="false" outlineLevel="0" collapsed="false">
      <c r="A2512" s="0" t="n">
        <v>2511</v>
      </c>
      <c r="B2512" s="18" t="n">
        <v>1196605.41115859</v>
      </c>
      <c r="C2512" s="18" t="n">
        <v>9889458.82293865</v>
      </c>
      <c r="D2512" s="0" t="n">
        <v>1</v>
      </c>
    </row>
    <row r="2513" customFormat="false" ht="15" hidden="false" customHeight="false" outlineLevel="0" collapsed="false">
      <c r="A2513" s="0" t="n">
        <v>2512</v>
      </c>
      <c r="B2513" s="18" t="n">
        <v>822330.350982674</v>
      </c>
      <c r="C2513" s="18" t="n">
        <v>3680193.44440213</v>
      </c>
      <c r="D2513" s="0" t="n">
        <v>1</v>
      </c>
    </row>
    <row r="2514" customFormat="false" ht="15" hidden="false" customHeight="false" outlineLevel="0" collapsed="false">
      <c r="A2514" s="0" t="n">
        <v>2513</v>
      </c>
      <c r="B2514" s="18" t="n">
        <v>917243.474196932</v>
      </c>
      <c r="C2514" s="18" t="n">
        <v>1258535.51973346</v>
      </c>
      <c r="D2514" s="0" t="n">
        <v>1</v>
      </c>
    </row>
    <row r="2515" customFormat="false" ht="15" hidden="false" customHeight="false" outlineLevel="0" collapsed="false">
      <c r="A2515" s="0" t="n">
        <v>2514</v>
      </c>
      <c r="B2515" s="18" t="n">
        <v>1464211.27045697</v>
      </c>
      <c r="C2515" s="18" t="n">
        <v>16073090.8113474</v>
      </c>
      <c r="D2515" s="0" t="n">
        <v>1</v>
      </c>
    </row>
    <row r="2516" customFormat="false" ht="15" hidden="false" customHeight="false" outlineLevel="0" collapsed="false">
      <c r="A2516" s="0" t="n">
        <v>2515</v>
      </c>
      <c r="B2516" s="18" t="n">
        <v>695631.685487379</v>
      </c>
      <c r="C2516" s="18" t="n">
        <v>0</v>
      </c>
      <c r="D2516" s="0" t="n">
        <v>0</v>
      </c>
      <c r="E2516" s="19" t="n">
        <v>34.9166666666667</v>
      </c>
    </row>
    <row r="2517" customFormat="false" ht="15" hidden="false" customHeight="false" outlineLevel="0" collapsed="false">
      <c r="A2517" s="0" t="n">
        <v>2516</v>
      </c>
      <c r="B2517" s="18" t="n">
        <v>482458.320378421</v>
      </c>
      <c r="C2517" s="18" t="n">
        <v>0</v>
      </c>
      <c r="D2517" s="0" t="n">
        <v>0</v>
      </c>
      <c r="E2517" s="19" t="n">
        <v>32.1666666666667</v>
      </c>
    </row>
    <row r="2518" customFormat="false" ht="15" hidden="false" customHeight="false" outlineLevel="0" collapsed="false">
      <c r="A2518" s="0" t="n">
        <v>2517</v>
      </c>
      <c r="B2518" s="18" t="n">
        <v>374061.572182866</v>
      </c>
      <c r="C2518" s="18" t="n">
        <v>0</v>
      </c>
      <c r="D2518" s="0" t="n">
        <v>0</v>
      </c>
      <c r="E2518" s="19" t="n">
        <v>32.6666666666667</v>
      </c>
    </row>
    <row r="2519" customFormat="false" ht="15" hidden="false" customHeight="false" outlineLevel="0" collapsed="false">
      <c r="A2519" s="0" t="n">
        <v>2518</v>
      </c>
      <c r="B2519" s="18" t="n">
        <v>3120705.69557575</v>
      </c>
      <c r="C2519" s="18" t="n">
        <v>2947105.92765737</v>
      </c>
      <c r="D2519" s="0" t="n">
        <v>1</v>
      </c>
    </row>
    <row r="2520" customFormat="false" ht="15" hidden="false" customHeight="false" outlineLevel="0" collapsed="false">
      <c r="A2520" s="0" t="n">
        <v>2519</v>
      </c>
      <c r="B2520" s="18" t="n">
        <v>800039.041394953</v>
      </c>
      <c r="C2520" s="18" t="n">
        <v>0</v>
      </c>
      <c r="D2520" s="0" t="n">
        <v>0</v>
      </c>
      <c r="E2520" s="19" t="n">
        <v>37</v>
      </c>
    </row>
    <row r="2521" customFormat="false" ht="15" hidden="false" customHeight="false" outlineLevel="0" collapsed="false">
      <c r="A2521" s="0" t="n">
        <v>2520</v>
      </c>
      <c r="B2521" s="18" t="n">
        <v>1120818.01768422</v>
      </c>
      <c r="C2521" s="18" t="n">
        <v>0</v>
      </c>
      <c r="D2521" s="0" t="n">
        <v>0</v>
      </c>
      <c r="E2521" s="19" t="n">
        <v>39</v>
      </c>
    </row>
    <row r="2522" customFormat="false" ht="15" hidden="false" customHeight="false" outlineLevel="0" collapsed="false">
      <c r="A2522" s="0" t="n">
        <v>2521</v>
      </c>
      <c r="B2522" s="18" t="n">
        <v>476579.341351894</v>
      </c>
      <c r="C2522" s="18" t="n">
        <v>0</v>
      </c>
      <c r="D2522" s="0" t="n">
        <v>0</v>
      </c>
      <c r="E2522" s="19" t="n">
        <v>33.75</v>
      </c>
    </row>
    <row r="2523" customFormat="false" ht="15" hidden="false" customHeight="false" outlineLevel="0" collapsed="false">
      <c r="A2523" s="0" t="n">
        <v>2522</v>
      </c>
      <c r="B2523" s="18" t="n">
        <v>748344.39522116</v>
      </c>
      <c r="C2523" s="18" t="n">
        <v>0</v>
      </c>
      <c r="D2523" s="0" t="n">
        <v>0</v>
      </c>
      <c r="E2523" s="19" t="n">
        <v>39.5</v>
      </c>
    </row>
    <row r="2524" customFormat="false" ht="15" hidden="false" customHeight="false" outlineLevel="0" collapsed="false">
      <c r="A2524" s="0" t="n">
        <v>2523</v>
      </c>
      <c r="B2524" s="18" t="n">
        <v>760148.509501418</v>
      </c>
      <c r="C2524" s="18" t="n">
        <v>0</v>
      </c>
      <c r="D2524" s="0" t="n">
        <v>0</v>
      </c>
      <c r="E2524" s="19" t="n">
        <v>45.75</v>
      </c>
    </row>
    <row r="2525" customFormat="false" ht="15" hidden="false" customHeight="false" outlineLevel="0" collapsed="false">
      <c r="A2525" s="0" t="n">
        <v>2524</v>
      </c>
      <c r="B2525" s="18" t="n">
        <v>1160487.79231993</v>
      </c>
      <c r="C2525" s="18" t="n">
        <v>1586107.7939906</v>
      </c>
      <c r="D2525" s="0" t="n">
        <v>1</v>
      </c>
    </row>
    <row r="2526" customFormat="false" ht="15" hidden="false" customHeight="false" outlineLevel="0" collapsed="false">
      <c r="A2526" s="0" t="n">
        <v>2525</v>
      </c>
      <c r="B2526" s="18" t="n">
        <v>683069.25572821</v>
      </c>
      <c r="C2526" s="18" t="n">
        <v>2217496.24231925</v>
      </c>
      <c r="D2526" s="0" t="n">
        <v>1</v>
      </c>
    </row>
    <row r="2527" customFormat="false" ht="15" hidden="false" customHeight="false" outlineLevel="0" collapsed="false">
      <c r="A2527" s="0" t="n">
        <v>2526</v>
      </c>
      <c r="B2527" s="18" t="n">
        <v>746156.894864329</v>
      </c>
      <c r="C2527" s="18" t="n">
        <v>0</v>
      </c>
      <c r="D2527" s="0" t="n">
        <v>0</v>
      </c>
      <c r="E2527" s="19" t="n">
        <v>44.1666666666667</v>
      </c>
    </row>
    <row r="2528" customFormat="false" ht="15" hidden="false" customHeight="false" outlineLevel="0" collapsed="false">
      <c r="A2528" s="0" t="n">
        <v>2527</v>
      </c>
      <c r="B2528" s="18" t="n">
        <v>1569872.27887318</v>
      </c>
      <c r="C2528" s="18" t="n">
        <v>292155.90839426</v>
      </c>
      <c r="D2528" s="0" t="n">
        <v>1</v>
      </c>
    </row>
    <row r="2529" customFormat="false" ht="15" hidden="false" customHeight="false" outlineLevel="0" collapsed="false">
      <c r="A2529" s="0" t="n">
        <v>2528</v>
      </c>
      <c r="B2529" s="18" t="n">
        <v>370936.491385416</v>
      </c>
      <c r="C2529" s="18" t="n">
        <v>0</v>
      </c>
      <c r="D2529" s="0" t="n">
        <v>0</v>
      </c>
      <c r="E2529" s="19" t="n">
        <v>30.6666666666667</v>
      </c>
    </row>
    <row r="2530" customFormat="false" ht="15" hidden="false" customHeight="false" outlineLevel="0" collapsed="false">
      <c r="A2530" s="0" t="n">
        <v>2529</v>
      </c>
      <c r="B2530" s="18" t="n">
        <v>1370400.38831787</v>
      </c>
      <c r="C2530" s="18" t="n">
        <v>2746758.29752748</v>
      </c>
      <c r="D2530" s="0" t="n">
        <v>1</v>
      </c>
    </row>
    <row r="2531" customFormat="false" ht="15" hidden="false" customHeight="false" outlineLevel="0" collapsed="false">
      <c r="A2531" s="0" t="n">
        <v>2530</v>
      </c>
      <c r="B2531" s="18" t="n">
        <v>1213016.42403597</v>
      </c>
      <c r="C2531" s="18" t="n">
        <v>9037420.78518064</v>
      </c>
      <c r="D2531" s="0" t="n">
        <v>1</v>
      </c>
    </row>
    <row r="2532" customFormat="false" ht="15" hidden="false" customHeight="false" outlineLevel="0" collapsed="false">
      <c r="A2532" s="0" t="n">
        <v>2531</v>
      </c>
      <c r="B2532" s="18" t="n">
        <v>1005667.13207314</v>
      </c>
      <c r="C2532" s="18" t="n">
        <v>0</v>
      </c>
      <c r="D2532" s="0" t="n">
        <v>0</v>
      </c>
      <c r="E2532" s="19" t="n">
        <v>34.4166666666667</v>
      </c>
    </row>
    <row r="2533" customFormat="false" ht="15" hidden="false" customHeight="false" outlineLevel="0" collapsed="false">
      <c r="A2533" s="0" t="n">
        <v>2532</v>
      </c>
      <c r="B2533" s="18" t="n">
        <v>457392.700221972</v>
      </c>
      <c r="C2533" s="18" t="n">
        <v>0</v>
      </c>
      <c r="D2533" s="0" t="n">
        <v>0</v>
      </c>
      <c r="E2533" s="19" t="n">
        <v>32.8333333333333</v>
      </c>
    </row>
    <row r="2534" customFormat="false" ht="15" hidden="false" customHeight="false" outlineLevel="0" collapsed="false">
      <c r="A2534" s="0" t="n">
        <v>2533</v>
      </c>
      <c r="B2534" s="18" t="n">
        <v>622215.080287808</v>
      </c>
      <c r="C2534" s="18" t="n">
        <v>0</v>
      </c>
      <c r="D2534" s="0" t="n">
        <v>0</v>
      </c>
      <c r="E2534" s="19" t="n">
        <v>38</v>
      </c>
    </row>
    <row r="2535" customFormat="false" ht="15" hidden="false" customHeight="false" outlineLevel="0" collapsed="false">
      <c r="A2535" s="0" t="n">
        <v>2534</v>
      </c>
      <c r="B2535" s="18" t="n">
        <v>743642.581110029</v>
      </c>
      <c r="C2535" s="18" t="n">
        <v>0</v>
      </c>
      <c r="D2535" s="0" t="n">
        <v>0</v>
      </c>
      <c r="E2535" s="19" t="n">
        <v>38.0833333333333</v>
      </c>
    </row>
    <row r="2536" customFormat="false" ht="15" hidden="false" customHeight="false" outlineLevel="0" collapsed="false">
      <c r="A2536" s="0" t="n">
        <v>2535</v>
      </c>
      <c r="B2536" s="18" t="n">
        <v>3465695.37477838</v>
      </c>
      <c r="C2536" s="18" t="n">
        <v>22713841.4885033</v>
      </c>
      <c r="D2536" s="0" t="n">
        <v>1</v>
      </c>
    </row>
    <row r="2537" customFormat="false" ht="15" hidden="false" customHeight="false" outlineLevel="0" collapsed="false">
      <c r="A2537" s="0" t="n">
        <v>2536</v>
      </c>
      <c r="B2537" s="18" t="n">
        <v>589361.94178927</v>
      </c>
      <c r="C2537" s="18" t="n">
        <v>0</v>
      </c>
      <c r="D2537" s="0" t="n">
        <v>0</v>
      </c>
      <c r="E2537" s="19" t="n">
        <v>35.75</v>
      </c>
    </row>
    <row r="2538" customFormat="false" ht="15" hidden="false" customHeight="false" outlineLevel="0" collapsed="false">
      <c r="A2538" s="0" t="n">
        <v>2537</v>
      </c>
      <c r="B2538" s="18" t="n">
        <v>511476.339298082</v>
      </c>
      <c r="C2538" s="18" t="n">
        <v>0</v>
      </c>
      <c r="D2538" s="0" t="n">
        <v>0</v>
      </c>
      <c r="E2538" s="19" t="n">
        <v>35.9166666666667</v>
      </c>
    </row>
    <row r="2539" customFormat="false" ht="15" hidden="false" customHeight="false" outlineLevel="0" collapsed="false">
      <c r="A2539" s="0" t="n">
        <v>2538</v>
      </c>
      <c r="B2539" s="18" t="n">
        <v>1040867.71584228</v>
      </c>
      <c r="C2539" s="18" t="n">
        <v>0</v>
      </c>
      <c r="D2539" s="0" t="n">
        <v>0</v>
      </c>
      <c r="E2539" s="19" t="n">
        <v>54.5833333333333</v>
      </c>
    </row>
    <row r="2540" customFormat="false" ht="15" hidden="false" customHeight="false" outlineLevel="0" collapsed="false">
      <c r="A2540" s="0" t="n">
        <v>2539</v>
      </c>
      <c r="B2540" s="18" t="n">
        <v>744376.407706019</v>
      </c>
      <c r="C2540" s="18" t="n">
        <v>0</v>
      </c>
      <c r="D2540" s="0" t="n">
        <v>0</v>
      </c>
      <c r="E2540" s="19" t="n">
        <v>38.1666666666667</v>
      </c>
    </row>
    <row r="2541" customFormat="false" ht="15" hidden="false" customHeight="false" outlineLevel="0" collapsed="false">
      <c r="A2541" s="0" t="n">
        <v>2540</v>
      </c>
      <c r="B2541" s="18" t="n">
        <v>2714683.73718881</v>
      </c>
      <c r="C2541" s="18" t="n">
        <v>20540814.5484623</v>
      </c>
      <c r="D2541" s="0" t="n">
        <v>1</v>
      </c>
    </row>
    <row r="2542" customFormat="false" ht="15" hidden="false" customHeight="false" outlineLevel="0" collapsed="false">
      <c r="A2542" s="0" t="n">
        <v>2541</v>
      </c>
      <c r="B2542" s="18" t="n">
        <v>1414188.3592448</v>
      </c>
      <c r="C2542" s="18" t="n">
        <v>5575247.53608412</v>
      </c>
      <c r="D2542" s="0" t="n">
        <v>1</v>
      </c>
    </row>
    <row r="2543" customFormat="false" ht="15" hidden="false" customHeight="false" outlineLevel="0" collapsed="false">
      <c r="A2543" s="0" t="n">
        <v>2542</v>
      </c>
      <c r="B2543" s="18" t="n">
        <v>1247765.19306618</v>
      </c>
      <c r="C2543" s="18" t="n">
        <v>311991.677597142</v>
      </c>
      <c r="D2543" s="0" t="n">
        <v>1</v>
      </c>
    </row>
    <row r="2544" customFormat="false" ht="15" hidden="false" customHeight="false" outlineLevel="0" collapsed="false">
      <c r="A2544" s="0" t="n">
        <v>2543</v>
      </c>
      <c r="B2544" s="18" t="n">
        <v>1354924.32358131</v>
      </c>
      <c r="C2544" s="18" t="n">
        <v>0</v>
      </c>
      <c r="D2544" s="0" t="n">
        <v>0</v>
      </c>
      <c r="E2544" s="19" t="n">
        <v>50.3333333333333</v>
      </c>
    </row>
    <row r="2545" customFormat="false" ht="15" hidden="false" customHeight="false" outlineLevel="0" collapsed="false">
      <c r="A2545" s="0" t="n">
        <v>2544</v>
      </c>
      <c r="B2545" s="18" t="n">
        <v>248059.572958963</v>
      </c>
      <c r="C2545" s="18" t="n">
        <v>0</v>
      </c>
      <c r="D2545" s="0" t="n">
        <v>0</v>
      </c>
      <c r="E2545" s="19" t="n">
        <v>29.8333333333333</v>
      </c>
    </row>
    <row r="2546" customFormat="false" ht="15" hidden="false" customHeight="false" outlineLevel="0" collapsed="false">
      <c r="A2546" s="0" t="n">
        <v>2545</v>
      </c>
      <c r="B2546" s="18" t="n">
        <v>628529.374475362</v>
      </c>
      <c r="C2546" s="18" t="n">
        <v>0</v>
      </c>
      <c r="D2546" s="0" t="n">
        <v>0</v>
      </c>
      <c r="E2546" s="19" t="n">
        <v>38.3333333333333</v>
      </c>
    </row>
    <row r="2547" customFormat="false" ht="15" hidden="false" customHeight="false" outlineLevel="0" collapsed="false">
      <c r="A2547" s="0" t="n">
        <v>2546</v>
      </c>
      <c r="B2547" s="18" t="n">
        <v>267369.799891447</v>
      </c>
      <c r="C2547" s="18" t="n">
        <v>0</v>
      </c>
      <c r="D2547" s="0" t="n">
        <v>0</v>
      </c>
      <c r="E2547" s="19" t="n">
        <v>29</v>
      </c>
    </row>
    <row r="2548" customFormat="false" ht="15" hidden="false" customHeight="false" outlineLevel="0" collapsed="false">
      <c r="A2548" s="0" t="n">
        <v>2547</v>
      </c>
      <c r="B2548" s="18" t="n">
        <v>1738217.48521546</v>
      </c>
      <c r="C2548" s="18" t="n">
        <v>11674924.4230585</v>
      </c>
      <c r="D2548" s="0" t="n">
        <v>1</v>
      </c>
    </row>
    <row r="2549" customFormat="false" ht="15" hidden="false" customHeight="false" outlineLevel="0" collapsed="false">
      <c r="A2549" s="0" t="n">
        <v>2548</v>
      </c>
      <c r="B2549" s="18" t="n">
        <v>1738743.68854746</v>
      </c>
      <c r="C2549" s="18" t="n">
        <v>10051121.7414281</v>
      </c>
      <c r="D2549" s="0" t="n">
        <v>1</v>
      </c>
    </row>
    <row r="2550" customFormat="false" ht="15" hidden="false" customHeight="false" outlineLevel="0" collapsed="false">
      <c r="A2550" s="0" t="n">
        <v>2549</v>
      </c>
      <c r="B2550" s="18" t="n">
        <v>709083.112340463</v>
      </c>
      <c r="C2550" s="18" t="n">
        <v>0</v>
      </c>
      <c r="D2550" s="0" t="n">
        <v>0</v>
      </c>
      <c r="E2550" s="19" t="n">
        <v>37.75</v>
      </c>
    </row>
    <row r="2551" customFormat="false" ht="15" hidden="false" customHeight="false" outlineLevel="0" collapsed="false">
      <c r="A2551" s="0" t="n">
        <v>2550</v>
      </c>
      <c r="B2551" s="18" t="n">
        <v>445096.980373815</v>
      </c>
      <c r="C2551" s="18" t="n">
        <v>0</v>
      </c>
      <c r="D2551" s="0" t="n">
        <v>0</v>
      </c>
      <c r="E2551" s="19" t="n">
        <v>31.3333333333333</v>
      </c>
    </row>
    <row r="2552" customFormat="false" ht="15" hidden="false" customHeight="false" outlineLevel="0" collapsed="false">
      <c r="A2552" s="0" t="n">
        <v>2551</v>
      </c>
      <c r="B2552" s="18" t="n">
        <v>667690.229627907</v>
      </c>
      <c r="C2552" s="18" t="n">
        <v>0</v>
      </c>
      <c r="D2552" s="0" t="n">
        <v>0</v>
      </c>
      <c r="E2552" s="19" t="n">
        <v>35.6666666666667</v>
      </c>
    </row>
    <row r="2553" customFormat="false" ht="15" hidden="false" customHeight="false" outlineLevel="0" collapsed="false">
      <c r="A2553" s="0" t="n">
        <v>2552</v>
      </c>
      <c r="B2553" s="18" t="n">
        <v>441826.199511106</v>
      </c>
      <c r="C2553" s="18" t="n">
        <v>0</v>
      </c>
      <c r="D2553" s="0" t="n">
        <v>0</v>
      </c>
      <c r="E2553" s="19" t="n">
        <v>32.0833333333333</v>
      </c>
    </row>
    <row r="2554" customFormat="false" ht="15" hidden="false" customHeight="false" outlineLevel="0" collapsed="false">
      <c r="A2554" s="0" t="n">
        <v>2553</v>
      </c>
      <c r="B2554" s="18" t="n">
        <v>1021360.66067447</v>
      </c>
      <c r="C2554" s="18" t="n">
        <v>0</v>
      </c>
      <c r="D2554" s="0" t="n">
        <v>0</v>
      </c>
      <c r="E2554" s="19" t="n">
        <v>45.8333333333333</v>
      </c>
    </row>
    <row r="2555" customFormat="false" ht="15" hidden="false" customHeight="false" outlineLevel="0" collapsed="false">
      <c r="A2555" s="0" t="n">
        <v>2554</v>
      </c>
      <c r="B2555" s="18" t="n">
        <v>1190915.33583235</v>
      </c>
      <c r="C2555" s="18" t="n">
        <v>4670333.38833602</v>
      </c>
      <c r="D2555" s="0" t="n">
        <v>1</v>
      </c>
    </row>
    <row r="2556" customFormat="false" ht="15" hidden="false" customHeight="false" outlineLevel="0" collapsed="false">
      <c r="A2556" s="0" t="n">
        <v>2555</v>
      </c>
      <c r="B2556" s="18" t="n">
        <v>488125.63098814</v>
      </c>
      <c r="C2556" s="18" t="n">
        <v>0</v>
      </c>
      <c r="D2556" s="0" t="n">
        <v>0</v>
      </c>
      <c r="E2556" s="19" t="n">
        <v>33.1666666666667</v>
      </c>
    </row>
    <row r="2557" customFormat="false" ht="15" hidden="false" customHeight="false" outlineLevel="0" collapsed="false">
      <c r="A2557" s="0" t="n">
        <v>2556</v>
      </c>
      <c r="B2557" s="18" t="n">
        <v>552443.903764923</v>
      </c>
      <c r="C2557" s="18" t="n">
        <v>0</v>
      </c>
      <c r="D2557" s="0" t="n">
        <v>0</v>
      </c>
      <c r="E2557" s="19" t="n">
        <v>41.6666666666667</v>
      </c>
    </row>
    <row r="2558" customFormat="false" ht="15" hidden="false" customHeight="false" outlineLevel="0" collapsed="false">
      <c r="A2558" s="0" t="n">
        <v>2557</v>
      </c>
      <c r="B2558" s="18" t="n">
        <v>291266.242750218</v>
      </c>
      <c r="C2558" s="18" t="n">
        <v>0</v>
      </c>
      <c r="D2558" s="0" t="n">
        <v>0</v>
      </c>
      <c r="E2558" s="19" t="n">
        <v>29.75</v>
      </c>
    </row>
    <row r="2559" customFormat="false" ht="15" hidden="false" customHeight="false" outlineLevel="0" collapsed="false">
      <c r="A2559" s="0" t="n">
        <v>2558</v>
      </c>
      <c r="B2559" s="18" t="n">
        <v>583408.999448827</v>
      </c>
      <c r="C2559" s="18" t="n">
        <v>0</v>
      </c>
      <c r="D2559" s="0" t="n">
        <v>0</v>
      </c>
      <c r="E2559" s="19" t="n">
        <v>38.75</v>
      </c>
    </row>
    <row r="2560" customFormat="false" ht="15" hidden="false" customHeight="false" outlineLevel="0" collapsed="false">
      <c r="A2560" s="0" t="n">
        <v>2559</v>
      </c>
      <c r="B2560" s="18" t="n">
        <v>1875809.26225958</v>
      </c>
      <c r="C2560" s="18" t="n">
        <v>9651673.98672395</v>
      </c>
      <c r="D2560" s="0" t="n">
        <v>1</v>
      </c>
    </row>
    <row r="2561" customFormat="false" ht="15" hidden="false" customHeight="false" outlineLevel="0" collapsed="false">
      <c r="A2561" s="0" t="n">
        <v>2560</v>
      </c>
      <c r="B2561" s="18" t="n">
        <v>3280288.70746828</v>
      </c>
      <c r="C2561" s="18" t="n">
        <v>58337120.0288195</v>
      </c>
      <c r="D2561" s="0" t="n">
        <v>1</v>
      </c>
    </row>
    <row r="2562" customFormat="false" ht="15" hidden="false" customHeight="false" outlineLevel="0" collapsed="false">
      <c r="A2562" s="0" t="n">
        <v>2561</v>
      </c>
      <c r="B2562" s="18" t="n">
        <v>1652799.41365796</v>
      </c>
      <c r="C2562" s="18" t="n">
        <v>0</v>
      </c>
      <c r="D2562" s="0" t="n">
        <v>0</v>
      </c>
      <c r="E2562" s="19" t="n">
        <v>47.3333333333333</v>
      </c>
    </row>
    <row r="2563" customFormat="false" ht="15" hidden="false" customHeight="false" outlineLevel="0" collapsed="false">
      <c r="A2563" s="0" t="n">
        <v>2562</v>
      </c>
      <c r="B2563" s="18" t="n">
        <v>1332832.05933245</v>
      </c>
      <c r="C2563" s="18" t="n">
        <v>3452375.1114487</v>
      </c>
      <c r="D2563" s="0" t="n">
        <v>1</v>
      </c>
    </row>
    <row r="2564" customFormat="false" ht="15" hidden="false" customHeight="false" outlineLevel="0" collapsed="false">
      <c r="A2564" s="0" t="n">
        <v>2563</v>
      </c>
      <c r="B2564" s="18" t="n">
        <v>1405838.86141715</v>
      </c>
      <c r="C2564" s="18" t="n">
        <v>0</v>
      </c>
      <c r="D2564" s="0" t="n">
        <v>0</v>
      </c>
      <c r="E2564" s="19" t="n">
        <v>42.4166666666667</v>
      </c>
    </row>
    <row r="2565" customFormat="false" ht="15" hidden="false" customHeight="false" outlineLevel="0" collapsed="false">
      <c r="A2565" s="0" t="n">
        <v>2564</v>
      </c>
      <c r="B2565" s="18" t="n">
        <v>1079576.76215993</v>
      </c>
      <c r="C2565" s="18" t="n">
        <v>1355556.9460623</v>
      </c>
      <c r="D2565" s="0" t="n">
        <v>1</v>
      </c>
    </row>
    <row r="2566" customFormat="false" ht="15" hidden="false" customHeight="false" outlineLevel="0" collapsed="false">
      <c r="A2566" s="0" t="n">
        <v>2565</v>
      </c>
      <c r="B2566" s="18" t="n">
        <v>759688.632588729</v>
      </c>
      <c r="C2566" s="18" t="n">
        <v>0</v>
      </c>
      <c r="D2566" s="0" t="n">
        <v>0</v>
      </c>
      <c r="E2566" s="19" t="n">
        <v>37.5</v>
      </c>
    </row>
    <row r="2567" customFormat="false" ht="15" hidden="false" customHeight="false" outlineLevel="0" collapsed="false">
      <c r="A2567" s="0" t="n">
        <v>2566</v>
      </c>
      <c r="B2567" s="18" t="n">
        <v>2175164.59032469</v>
      </c>
      <c r="C2567" s="18" t="n">
        <v>40114928.5834357</v>
      </c>
      <c r="D2567" s="0" t="n">
        <v>1</v>
      </c>
    </row>
    <row r="2568" customFormat="false" ht="15" hidden="false" customHeight="false" outlineLevel="0" collapsed="false">
      <c r="A2568" s="0" t="n">
        <v>2567</v>
      </c>
      <c r="B2568" s="18" t="n">
        <v>908491.428043403</v>
      </c>
      <c r="C2568" s="18" t="n">
        <v>3476287.33928662</v>
      </c>
      <c r="D2568" s="0" t="n">
        <v>1</v>
      </c>
    </row>
    <row r="2569" customFormat="false" ht="15" hidden="false" customHeight="false" outlineLevel="0" collapsed="false">
      <c r="A2569" s="0" t="n">
        <v>2568</v>
      </c>
      <c r="B2569" s="18" t="n">
        <v>1119780.59152063</v>
      </c>
      <c r="C2569" s="18" t="n">
        <v>0</v>
      </c>
      <c r="D2569" s="0" t="n">
        <v>0</v>
      </c>
      <c r="E2569" s="19" t="n">
        <v>53.5</v>
      </c>
    </row>
    <row r="2570" customFormat="false" ht="15" hidden="false" customHeight="false" outlineLevel="0" collapsed="false">
      <c r="A2570" s="0" t="n">
        <v>2569</v>
      </c>
      <c r="B2570" s="18" t="n">
        <v>2479883.04163921</v>
      </c>
      <c r="C2570" s="18" t="n">
        <v>7864900.02435377</v>
      </c>
      <c r="D2570" s="0" t="n">
        <v>1</v>
      </c>
    </row>
    <row r="2571" customFormat="false" ht="15" hidden="false" customHeight="false" outlineLevel="0" collapsed="false">
      <c r="A2571" s="0" t="n">
        <v>2570</v>
      </c>
      <c r="B2571" s="18" t="n">
        <v>873209.180980677</v>
      </c>
      <c r="C2571" s="18" t="n">
        <v>0</v>
      </c>
      <c r="D2571" s="0" t="n">
        <v>0</v>
      </c>
      <c r="E2571" s="19" t="n">
        <v>37.9166666666667</v>
      </c>
    </row>
    <row r="2572" customFormat="false" ht="15" hidden="false" customHeight="false" outlineLevel="0" collapsed="false">
      <c r="A2572" s="0" t="n">
        <v>2571</v>
      </c>
      <c r="B2572" s="18" t="n">
        <v>832476.374872126</v>
      </c>
      <c r="C2572" s="18" t="n">
        <v>0</v>
      </c>
      <c r="D2572" s="0" t="n">
        <v>0</v>
      </c>
      <c r="E2572" s="19" t="n">
        <v>42.5833333333333</v>
      </c>
    </row>
    <row r="2573" customFormat="false" ht="15" hidden="false" customHeight="false" outlineLevel="0" collapsed="false">
      <c r="A2573" s="0" t="n">
        <v>2572</v>
      </c>
      <c r="B2573" s="18" t="n">
        <v>819325.177746889</v>
      </c>
      <c r="C2573" s="18" t="n">
        <v>353398.465655203</v>
      </c>
      <c r="D2573" s="0" t="n">
        <v>1</v>
      </c>
    </row>
    <row r="2574" customFormat="false" ht="15" hidden="false" customHeight="false" outlineLevel="0" collapsed="false">
      <c r="A2574" s="0" t="n">
        <v>2573</v>
      </c>
      <c r="B2574" s="18" t="n">
        <v>2043155.95605181</v>
      </c>
      <c r="C2574" s="18" t="n">
        <v>0</v>
      </c>
      <c r="D2574" s="0" t="n">
        <v>0</v>
      </c>
      <c r="E2574" s="19" t="n">
        <v>47.5833333333333</v>
      </c>
    </row>
    <row r="2575" customFormat="false" ht="15" hidden="false" customHeight="false" outlineLevel="0" collapsed="false">
      <c r="A2575" s="0" t="n">
        <v>2574</v>
      </c>
      <c r="B2575" s="18" t="n">
        <v>619722.024666992</v>
      </c>
      <c r="C2575" s="18" t="n">
        <v>0</v>
      </c>
      <c r="D2575" s="0" t="n">
        <v>0</v>
      </c>
      <c r="E2575" s="19" t="n">
        <v>37.3333333333333</v>
      </c>
    </row>
    <row r="2576" customFormat="false" ht="15" hidden="false" customHeight="false" outlineLevel="0" collapsed="false">
      <c r="A2576" s="0" t="n">
        <v>2575</v>
      </c>
      <c r="B2576" s="18" t="n">
        <v>565773.610889879</v>
      </c>
      <c r="C2576" s="18" t="n">
        <v>0</v>
      </c>
      <c r="D2576" s="0" t="n">
        <v>0</v>
      </c>
      <c r="E2576" s="19" t="n">
        <v>34.1666666666667</v>
      </c>
    </row>
    <row r="2577" customFormat="false" ht="15" hidden="false" customHeight="false" outlineLevel="0" collapsed="false">
      <c r="A2577" s="0" t="n">
        <v>2576</v>
      </c>
      <c r="B2577" s="18" t="n">
        <v>424563.012234575</v>
      </c>
      <c r="C2577" s="18" t="n">
        <v>0</v>
      </c>
      <c r="D2577" s="0" t="n">
        <v>0</v>
      </c>
      <c r="E2577" s="19" t="n">
        <v>30.6666666666667</v>
      </c>
    </row>
    <row r="2578" customFormat="false" ht="15" hidden="false" customHeight="false" outlineLevel="0" collapsed="false">
      <c r="A2578" s="0" t="n">
        <v>2577</v>
      </c>
      <c r="B2578" s="18" t="n">
        <v>454676.660460842</v>
      </c>
      <c r="C2578" s="18" t="n">
        <v>0</v>
      </c>
      <c r="D2578" s="0" t="n">
        <v>0</v>
      </c>
      <c r="E2578" s="19" t="n">
        <v>35</v>
      </c>
    </row>
    <row r="2579" customFormat="false" ht="15" hidden="false" customHeight="false" outlineLevel="0" collapsed="false">
      <c r="A2579" s="0" t="n">
        <v>2578</v>
      </c>
      <c r="B2579" s="18" t="n">
        <v>754748.164789913</v>
      </c>
      <c r="C2579" s="18" t="n">
        <v>0</v>
      </c>
      <c r="D2579" s="0" t="n">
        <v>0</v>
      </c>
      <c r="E2579" s="19" t="n">
        <v>39.25</v>
      </c>
    </row>
    <row r="2580" customFormat="false" ht="15" hidden="false" customHeight="false" outlineLevel="0" collapsed="false">
      <c r="A2580" s="0" t="n">
        <v>2579</v>
      </c>
      <c r="B2580" s="18" t="n">
        <v>433863.680472976</v>
      </c>
      <c r="C2580" s="18" t="n">
        <v>0</v>
      </c>
      <c r="D2580" s="0" t="n">
        <v>0</v>
      </c>
      <c r="E2580" s="19" t="n">
        <v>30.3333333333333</v>
      </c>
    </row>
    <row r="2581" customFormat="false" ht="15" hidden="false" customHeight="false" outlineLevel="0" collapsed="false">
      <c r="A2581" s="0" t="n">
        <v>2580</v>
      </c>
      <c r="B2581" s="18" t="n">
        <v>700833.737060944</v>
      </c>
      <c r="C2581" s="18" t="n">
        <v>0</v>
      </c>
      <c r="D2581" s="0" t="n">
        <v>0</v>
      </c>
      <c r="E2581" s="19" t="n">
        <v>39.4166666666667</v>
      </c>
    </row>
    <row r="2582" customFormat="false" ht="15" hidden="false" customHeight="false" outlineLevel="0" collapsed="false">
      <c r="A2582" s="0" t="n">
        <v>2581</v>
      </c>
      <c r="B2582" s="18" t="n">
        <v>1459660.54787695</v>
      </c>
      <c r="C2582" s="18" t="n">
        <v>128786.109043147</v>
      </c>
      <c r="D2582" s="0" t="n">
        <v>1</v>
      </c>
    </row>
    <row r="2583" customFormat="false" ht="15" hidden="false" customHeight="false" outlineLevel="0" collapsed="false">
      <c r="A2583" s="0" t="n">
        <v>2582</v>
      </c>
      <c r="B2583" s="18" t="n">
        <v>995900.963811578</v>
      </c>
      <c r="C2583" s="18" t="n">
        <v>1541317.85053483</v>
      </c>
      <c r="D2583" s="0" t="n">
        <v>1</v>
      </c>
    </row>
    <row r="2584" customFormat="false" ht="15" hidden="false" customHeight="false" outlineLevel="0" collapsed="false">
      <c r="A2584" s="0" t="n">
        <v>2583</v>
      </c>
      <c r="B2584" s="18" t="n">
        <v>955177.522264966</v>
      </c>
      <c r="C2584" s="18" t="n">
        <v>1727025.09474361</v>
      </c>
      <c r="D2584" s="0" t="n">
        <v>1</v>
      </c>
    </row>
    <row r="2585" customFormat="false" ht="15" hidden="false" customHeight="false" outlineLevel="0" collapsed="false">
      <c r="A2585" s="0" t="n">
        <v>2584</v>
      </c>
      <c r="B2585" s="18" t="n">
        <v>1175802.29749237</v>
      </c>
      <c r="C2585" s="18" t="n">
        <v>0</v>
      </c>
      <c r="D2585" s="0" t="n">
        <v>0</v>
      </c>
      <c r="E2585" s="19" t="n">
        <v>54.4166666666667</v>
      </c>
    </row>
    <row r="2586" customFormat="false" ht="15" hidden="false" customHeight="false" outlineLevel="0" collapsed="false">
      <c r="A2586" s="0" t="n">
        <v>2585</v>
      </c>
      <c r="B2586" s="18" t="n">
        <v>780716.667138756</v>
      </c>
      <c r="C2586" s="18" t="n">
        <v>0</v>
      </c>
      <c r="D2586" s="0" t="n">
        <v>0</v>
      </c>
      <c r="E2586" s="19" t="n">
        <v>44.4166666666667</v>
      </c>
    </row>
    <row r="2587" customFormat="false" ht="15" hidden="false" customHeight="false" outlineLevel="0" collapsed="false">
      <c r="A2587" s="0" t="n">
        <v>2586</v>
      </c>
      <c r="B2587" s="18" t="n">
        <v>2656274.1667382</v>
      </c>
      <c r="C2587" s="18" t="n">
        <v>2275760.84693021</v>
      </c>
      <c r="D2587" s="0" t="n">
        <v>1</v>
      </c>
    </row>
    <row r="2588" customFormat="false" ht="15" hidden="false" customHeight="false" outlineLevel="0" collapsed="false">
      <c r="A2588" s="0" t="n">
        <v>2587</v>
      </c>
      <c r="B2588" s="18" t="n">
        <v>800916.833901174</v>
      </c>
      <c r="C2588" s="18" t="n">
        <v>0</v>
      </c>
      <c r="D2588" s="0" t="n">
        <v>0</v>
      </c>
      <c r="E2588" s="19" t="n">
        <v>41.1666666666667</v>
      </c>
    </row>
    <row r="2589" customFormat="false" ht="15" hidden="false" customHeight="false" outlineLevel="0" collapsed="false">
      <c r="A2589" s="0" t="n">
        <v>2588</v>
      </c>
      <c r="B2589" s="18" t="n">
        <v>1091895.01937062</v>
      </c>
      <c r="C2589" s="18" t="n">
        <v>3480694.28243036</v>
      </c>
      <c r="D2589" s="0" t="n">
        <v>1</v>
      </c>
    </row>
    <row r="2590" customFormat="false" ht="15" hidden="false" customHeight="false" outlineLevel="0" collapsed="false">
      <c r="A2590" s="0" t="n">
        <v>2589</v>
      </c>
      <c r="B2590" s="18" t="n">
        <v>1279262.33001491</v>
      </c>
      <c r="C2590" s="18" t="n">
        <v>0</v>
      </c>
      <c r="D2590" s="0" t="n">
        <v>0</v>
      </c>
      <c r="E2590" s="19" t="n">
        <v>47.25</v>
      </c>
    </row>
    <row r="2591" customFormat="false" ht="15" hidden="false" customHeight="false" outlineLevel="0" collapsed="false">
      <c r="A2591" s="0" t="n">
        <v>2590</v>
      </c>
      <c r="B2591" s="18" t="n">
        <v>1251295.90682875</v>
      </c>
      <c r="C2591" s="18" t="n">
        <v>152398.530979079</v>
      </c>
      <c r="D2591" s="0" t="n">
        <v>1</v>
      </c>
    </row>
    <row r="2592" customFormat="false" ht="15" hidden="false" customHeight="false" outlineLevel="0" collapsed="false">
      <c r="A2592" s="0" t="n">
        <v>2591</v>
      </c>
      <c r="B2592" s="18" t="n">
        <v>1217182.39719841</v>
      </c>
      <c r="C2592" s="18" t="n">
        <v>665995.618416803</v>
      </c>
      <c r="D2592" s="0" t="n">
        <v>1</v>
      </c>
    </row>
    <row r="2593" customFormat="false" ht="15" hidden="false" customHeight="false" outlineLevel="0" collapsed="false">
      <c r="A2593" s="0" t="n">
        <v>2592</v>
      </c>
      <c r="B2593" s="18" t="n">
        <v>418294.063630903</v>
      </c>
      <c r="C2593" s="18" t="n">
        <v>0</v>
      </c>
      <c r="D2593" s="0" t="n">
        <v>0</v>
      </c>
      <c r="E2593" s="19" t="n">
        <v>29.8333333333333</v>
      </c>
    </row>
    <row r="2594" customFormat="false" ht="15" hidden="false" customHeight="false" outlineLevel="0" collapsed="false">
      <c r="A2594" s="0" t="n">
        <v>2593</v>
      </c>
      <c r="B2594" s="18" t="n">
        <v>767157.593521331</v>
      </c>
      <c r="C2594" s="18" t="n">
        <v>0</v>
      </c>
      <c r="D2594" s="0" t="n">
        <v>0</v>
      </c>
      <c r="E2594" s="19" t="n">
        <v>42.8333333333333</v>
      </c>
    </row>
    <row r="2595" customFormat="false" ht="15" hidden="false" customHeight="false" outlineLevel="0" collapsed="false">
      <c r="A2595" s="0" t="n">
        <v>2594</v>
      </c>
      <c r="B2595" s="18" t="n">
        <v>453106.739595132</v>
      </c>
      <c r="C2595" s="18" t="n">
        <v>0</v>
      </c>
      <c r="D2595" s="0" t="n">
        <v>0</v>
      </c>
      <c r="E2595" s="19" t="n">
        <v>34.4166666666667</v>
      </c>
    </row>
    <row r="2596" customFormat="false" ht="15" hidden="false" customHeight="false" outlineLevel="0" collapsed="false">
      <c r="A2596" s="0" t="n">
        <v>2595</v>
      </c>
      <c r="B2596" s="18" t="n">
        <v>1244595.28971094</v>
      </c>
      <c r="C2596" s="18" t="n">
        <v>0</v>
      </c>
      <c r="D2596" s="0" t="n">
        <v>0</v>
      </c>
      <c r="E2596" s="19" t="n">
        <v>53.6666666666667</v>
      </c>
    </row>
    <row r="2597" customFormat="false" ht="15" hidden="false" customHeight="false" outlineLevel="0" collapsed="false">
      <c r="A2597" s="0" t="n">
        <v>2596</v>
      </c>
      <c r="B2597" s="18" t="n">
        <v>1239890.26738861</v>
      </c>
      <c r="C2597" s="18" t="n">
        <v>0</v>
      </c>
      <c r="D2597" s="0" t="n">
        <v>0</v>
      </c>
      <c r="E2597" s="19" t="n">
        <v>42.5</v>
      </c>
    </row>
    <row r="2598" customFormat="false" ht="15" hidden="false" customHeight="false" outlineLevel="0" collapsed="false">
      <c r="A2598" s="0" t="n">
        <v>2597</v>
      </c>
      <c r="B2598" s="18" t="n">
        <v>1477199.92174977</v>
      </c>
      <c r="C2598" s="18" t="n">
        <v>748674.785249374</v>
      </c>
      <c r="D2598" s="0" t="n">
        <v>1</v>
      </c>
    </row>
    <row r="2599" customFormat="false" ht="15" hidden="false" customHeight="false" outlineLevel="0" collapsed="false">
      <c r="A2599" s="0" t="n">
        <v>2598</v>
      </c>
      <c r="B2599" s="18" t="n">
        <v>1206267.59970005</v>
      </c>
      <c r="C2599" s="18" t="n">
        <v>2093492.79088134</v>
      </c>
      <c r="D2599" s="0" t="n">
        <v>1</v>
      </c>
    </row>
    <row r="2600" customFormat="false" ht="15" hidden="false" customHeight="false" outlineLevel="0" collapsed="false">
      <c r="A2600" s="0" t="n">
        <v>2599</v>
      </c>
      <c r="B2600" s="18" t="n">
        <v>961585.436142527</v>
      </c>
      <c r="C2600" s="18" t="n">
        <v>0</v>
      </c>
      <c r="D2600" s="0" t="n">
        <v>0</v>
      </c>
      <c r="E2600" s="19" t="n">
        <v>43.4166666666667</v>
      </c>
    </row>
    <row r="2601" customFormat="false" ht="15" hidden="false" customHeight="false" outlineLevel="0" collapsed="false">
      <c r="A2601" s="0" t="n">
        <v>2600</v>
      </c>
      <c r="B2601" s="18" t="n">
        <v>593475.663253637</v>
      </c>
      <c r="C2601" s="18" t="n">
        <v>0</v>
      </c>
      <c r="D2601" s="0" t="n">
        <v>0</v>
      </c>
      <c r="E2601" s="19" t="n">
        <v>33.8333333333333</v>
      </c>
    </row>
    <row r="2602" customFormat="false" ht="15" hidden="false" customHeight="false" outlineLevel="0" collapsed="false">
      <c r="A2602" s="0" t="n">
        <v>2601</v>
      </c>
      <c r="B2602" s="18" t="n">
        <v>392792.383966319</v>
      </c>
      <c r="C2602" s="18" t="n">
        <v>0</v>
      </c>
      <c r="D2602" s="0" t="n">
        <v>0</v>
      </c>
      <c r="E2602" s="19" t="n">
        <v>31.4166666666667</v>
      </c>
    </row>
    <row r="2603" customFormat="false" ht="15" hidden="false" customHeight="false" outlineLevel="0" collapsed="false">
      <c r="A2603" s="0" t="n">
        <v>2602</v>
      </c>
      <c r="B2603" s="18" t="n">
        <v>888862.976785687</v>
      </c>
      <c r="C2603" s="18" t="n">
        <v>0</v>
      </c>
      <c r="D2603" s="0" t="n">
        <v>0</v>
      </c>
      <c r="E2603" s="19" t="n">
        <v>39.3333333333333</v>
      </c>
    </row>
    <row r="2604" customFormat="false" ht="15" hidden="false" customHeight="false" outlineLevel="0" collapsed="false">
      <c r="A2604" s="0" t="n">
        <v>2603</v>
      </c>
      <c r="B2604" s="18" t="n">
        <v>445174.021879618</v>
      </c>
      <c r="C2604" s="18" t="n">
        <v>0</v>
      </c>
      <c r="D2604" s="0" t="n">
        <v>0</v>
      </c>
      <c r="E2604" s="19" t="n">
        <v>31.5833333333333</v>
      </c>
    </row>
    <row r="2605" customFormat="false" ht="15" hidden="false" customHeight="false" outlineLevel="0" collapsed="false">
      <c r="A2605" s="0" t="n">
        <v>2604</v>
      </c>
      <c r="B2605" s="18" t="n">
        <v>342156.338325893</v>
      </c>
      <c r="C2605" s="18" t="n">
        <v>0</v>
      </c>
      <c r="D2605" s="0" t="n">
        <v>0</v>
      </c>
      <c r="E2605" s="19" t="n">
        <v>30.8333333333333</v>
      </c>
    </row>
    <row r="2606" customFormat="false" ht="15" hidden="false" customHeight="false" outlineLevel="0" collapsed="false">
      <c r="A2606" s="0" t="n">
        <v>2605</v>
      </c>
      <c r="B2606" s="18" t="n">
        <v>971950.285232164</v>
      </c>
      <c r="C2606" s="18" t="n">
        <v>0</v>
      </c>
      <c r="D2606" s="0" t="n">
        <v>0</v>
      </c>
      <c r="E2606" s="19" t="n">
        <v>43.3333333333333</v>
      </c>
    </row>
    <row r="2607" customFormat="false" ht="15" hidden="false" customHeight="false" outlineLevel="0" collapsed="false">
      <c r="A2607" s="0" t="n">
        <v>2606</v>
      </c>
      <c r="B2607" s="18" t="n">
        <v>1204301.17580878</v>
      </c>
      <c r="C2607" s="18" t="n">
        <v>5827365.40612651</v>
      </c>
      <c r="D2607" s="0" t="n">
        <v>1</v>
      </c>
    </row>
    <row r="2608" customFormat="false" ht="15" hidden="false" customHeight="false" outlineLevel="0" collapsed="false">
      <c r="A2608" s="0" t="n">
        <v>2607</v>
      </c>
      <c r="B2608" s="18" t="n">
        <v>667710.193796677</v>
      </c>
      <c r="C2608" s="18" t="n">
        <v>0</v>
      </c>
      <c r="D2608" s="0" t="n">
        <v>0</v>
      </c>
      <c r="E2608" s="19" t="n">
        <v>35.3333333333333</v>
      </c>
    </row>
    <row r="2609" customFormat="false" ht="15" hidden="false" customHeight="false" outlineLevel="0" collapsed="false">
      <c r="A2609" s="0" t="n">
        <v>2608</v>
      </c>
      <c r="B2609" s="18" t="n">
        <v>873896.632584939</v>
      </c>
      <c r="C2609" s="18" t="n">
        <v>0</v>
      </c>
      <c r="D2609" s="0" t="n">
        <v>0</v>
      </c>
      <c r="E2609" s="19" t="n">
        <v>35.25</v>
      </c>
    </row>
    <row r="2610" customFormat="false" ht="15" hidden="false" customHeight="false" outlineLevel="0" collapsed="false">
      <c r="A2610" s="0" t="n">
        <v>2609</v>
      </c>
      <c r="B2610" s="18" t="n">
        <v>690211.342847464</v>
      </c>
      <c r="C2610" s="18" t="n">
        <v>0</v>
      </c>
      <c r="D2610" s="0" t="n">
        <v>0</v>
      </c>
      <c r="E2610" s="19" t="n">
        <v>43.5833333333333</v>
      </c>
    </row>
    <row r="2611" customFormat="false" ht="15" hidden="false" customHeight="false" outlineLevel="0" collapsed="false">
      <c r="A2611" s="0" t="n">
        <v>2610</v>
      </c>
      <c r="B2611" s="18" t="n">
        <v>254726.192337222</v>
      </c>
      <c r="C2611" s="18" t="n">
        <v>0</v>
      </c>
      <c r="D2611" s="0" t="n">
        <v>0</v>
      </c>
      <c r="E2611" s="19" t="n">
        <v>28.75</v>
      </c>
    </row>
    <row r="2612" customFormat="false" ht="15" hidden="false" customHeight="false" outlineLevel="0" collapsed="false">
      <c r="A2612" s="0" t="n">
        <v>2611</v>
      </c>
      <c r="B2612" s="18" t="n">
        <v>260806.856645442</v>
      </c>
      <c r="C2612" s="18" t="n">
        <v>0</v>
      </c>
      <c r="D2612" s="0" t="n">
        <v>0</v>
      </c>
      <c r="E2612" s="19" t="n">
        <v>28.3333333333333</v>
      </c>
    </row>
    <row r="2613" customFormat="false" ht="15" hidden="false" customHeight="false" outlineLevel="0" collapsed="false">
      <c r="A2613" s="0" t="n">
        <v>2612</v>
      </c>
      <c r="B2613" s="18" t="n">
        <v>630460.843233566</v>
      </c>
      <c r="C2613" s="18" t="n">
        <v>0</v>
      </c>
      <c r="D2613" s="0" t="n">
        <v>0</v>
      </c>
      <c r="E2613" s="19" t="n">
        <v>33.5833333333333</v>
      </c>
    </row>
    <row r="2614" customFormat="false" ht="15" hidden="false" customHeight="false" outlineLevel="0" collapsed="false">
      <c r="A2614" s="0" t="n">
        <v>2613</v>
      </c>
      <c r="B2614" s="18" t="n">
        <v>1002427.99121461</v>
      </c>
      <c r="C2614" s="18" t="n">
        <v>36699.0297512635</v>
      </c>
      <c r="D2614" s="0" t="n">
        <v>1</v>
      </c>
    </row>
    <row r="2615" customFormat="false" ht="15" hidden="false" customHeight="false" outlineLevel="0" collapsed="false">
      <c r="A2615" s="0" t="n">
        <v>2614</v>
      </c>
      <c r="B2615" s="18" t="n">
        <v>2327692.88246281</v>
      </c>
      <c r="C2615" s="18" t="n">
        <v>796110.418204117</v>
      </c>
      <c r="D2615" s="0" t="n">
        <v>1</v>
      </c>
    </row>
    <row r="2616" customFormat="false" ht="15" hidden="false" customHeight="false" outlineLevel="0" collapsed="false">
      <c r="A2616" s="0" t="n">
        <v>2615</v>
      </c>
      <c r="B2616" s="18" t="n">
        <v>628776.640236564</v>
      </c>
      <c r="C2616" s="18" t="n">
        <v>0</v>
      </c>
      <c r="D2616" s="0" t="n">
        <v>0</v>
      </c>
      <c r="E2616" s="19" t="n">
        <v>32.5833333333333</v>
      </c>
    </row>
    <row r="2617" customFormat="false" ht="15" hidden="false" customHeight="false" outlineLevel="0" collapsed="false">
      <c r="A2617" s="0" t="n">
        <v>2616</v>
      </c>
      <c r="B2617" s="18" t="n">
        <v>936258.584266261</v>
      </c>
      <c r="C2617" s="18" t="n">
        <v>0</v>
      </c>
      <c r="D2617" s="0" t="n">
        <v>0</v>
      </c>
      <c r="E2617" s="19" t="n">
        <v>37.25</v>
      </c>
    </row>
    <row r="2618" customFormat="false" ht="15" hidden="false" customHeight="false" outlineLevel="0" collapsed="false">
      <c r="A2618" s="0" t="n">
        <v>2617</v>
      </c>
      <c r="B2618" s="18" t="n">
        <v>609049.483422425</v>
      </c>
      <c r="C2618" s="18" t="n">
        <v>0</v>
      </c>
      <c r="D2618" s="0" t="n">
        <v>0</v>
      </c>
      <c r="E2618" s="19" t="n">
        <v>35</v>
      </c>
    </row>
    <row r="2619" customFormat="false" ht="15" hidden="false" customHeight="false" outlineLevel="0" collapsed="false">
      <c r="A2619" s="0" t="n">
        <v>2618</v>
      </c>
      <c r="B2619" s="18" t="n">
        <v>456113.376358971</v>
      </c>
      <c r="C2619" s="18" t="n">
        <v>0</v>
      </c>
      <c r="D2619" s="0" t="n">
        <v>0</v>
      </c>
      <c r="E2619" s="19" t="n">
        <v>31.3333333333333</v>
      </c>
    </row>
    <row r="2620" customFormat="false" ht="15" hidden="false" customHeight="false" outlineLevel="0" collapsed="false">
      <c r="A2620" s="0" t="n">
        <v>2619</v>
      </c>
      <c r="B2620" s="18" t="n">
        <v>1250953.50019827</v>
      </c>
      <c r="C2620" s="18" t="n">
        <v>1110087.15477059</v>
      </c>
      <c r="D2620" s="0" t="n">
        <v>1</v>
      </c>
    </row>
    <row r="2621" customFormat="false" ht="15" hidden="false" customHeight="false" outlineLevel="0" collapsed="false">
      <c r="A2621" s="0" t="n">
        <v>2620</v>
      </c>
      <c r="B2621" s="18" t="n">
        <v>1852159.61558713</v>
      </c>
      <c r="C2621" s="18" t="n">
        <v>4755517.9896386</v>
      </c>
      <c r="D2621" s="0" t="n">
        <v>1</v>
      </c>
    </row>
    <row r="2622" customFormat="false" ht="15" hidden="false" customHeight="false" outlineLevel="0" collapsed="false">
      <c r="A2622" s="0" t="n">
        <v>2621</v>
      </c>
      <c r="B2622" s="18" t="n">
        <v>588387.190312792</v>
      </c>
      <c r="C2622" s="18" t="n">
        <v>0</v>
      </c>
      <c r="D2622" s="0" t="n">
        <v>0</v>
      </c>
      <c r="E2622" s="19" t="n">
        <v>36.25</v>
      </c>
    </row>
    <row r="2623" customFormat="false" ht="15" hidden="false" customHeight="false" outlineLevel="0" collapsed="false">
      <c r="A2623" s="0" t="n">
        <v>2622</v>
      </c>
      <c r="B2623" s="18" t="n">
        <v>938093.156572148</v>
      </c>
      <c r="C2623" s="18" t="n">
        <v>0</v>
      </c>
      <c r="D2623" s="0" t="n">
        <v>0</v>
      </c>
      <c r="E2623" s="19" t="n">
        <v>39.6666666666667</v>
      </c>
    </row>
    <row r="2624" customFormat="false" ht="15" hidden="false" customHeight="false" outlineLevel="0" collapsed="false">
      <c r="A2624" s="0" t="n">
        <v>2623</v>
      </c>
      <c r="B2624" s="18" t="n">
        <v>1549107.41333584</v>
      </c>
      <c r="C2624" s="18" t="n">
        <v>3332988.53534815</v>
      </c>
      <c r="D2624" s="0" t="n">
        <v>1</v>
      </c>
    </row>
    <row r="2625" customFormat="false" ht="15" hidden="false" customHeight="false" outlineLevel="0" collapsed="false">
      <c r="A2625" s="0" t="n">
        <v>2624</v>
      </c>
      <c r="B2625" s="18" t="n">
        <v>412856.34506324</v>
      </c>
      <c r="C2625" s="18" t="n">
        <v>0</v>
      </c>
      <c r="D2625" s="0" t="n">
        <v>0</v>
      </c>
      <c r="E2625" s="19" t="n">
        <v>31.5</v>
      </c>
    </row>
    <row r="2626" customFormat="false" ht="15" hidden="false" customHeight="false" outlineLevel="0" collapsed="false">
      <c r="A2626" s="0" t="n">
        <v>2625</v>
      </c>
      <c r="B2626" s="18" t="n">
        <v>1067195.95230587</v>
      </c>
      <c r="C2626" s="18" t="n">
        <v>10466374.3356488</v>
      </c>
      <c r="D2626" s="0" t="n">
        <v>1</v>
      </c>
    </row>
    <row r="2627" customFormat="false" ht="15" hidden="false" customHeight="false" outlineLevel="0" collapsed="false">
      <c r="A2627" s="0" t="n">
        <v>2626</v>
      </c>
      <c r="B2627" s="18" t="n">
        <v>970221.656848835</v>
      </c>
      <c r="C2627" s="18" t="n">
        <v>0</v>
      </c>
      <c r="D2627" s="0" t="n">
        <v>0</v>
      </c>
      <c r="E2627" s="19" t="n">
        <v>38.1666666666667</v>
      </c>
    </row>
    <row r="2628" customFormat="false" ht="15" hidden="false" customHeight="false" outlineLevel="0" collapsed="false">
      <c r="A2628" s="0" t="n">
        <v>2627</v>
      </c>
      <c r="B2628" s="18" t="n">
        <v>701791.126165862</v>
      </c>
      <c r="C2628" s="18" t="n">
        <v>0</v>
      </c>
      <c r="D2628" s="0" t="n">
        <v>0</v>
      </c>
      <c r="E2628" s="19" t="n">
        <v>48.4166666666667</v>
      </c>
    </row>
    <row r="2629" customFormat="false" ht="15" hidden="false" customHeight="false" outlineLevel="0" collapsed="false">
      <c r="A2629" s="0" t="n">
        <v>2628</v>
      </c>
      <c r="B2629" s="18" t="n">
        <v>893337.911100726</v>
      </c>
      <c r="C2629" s="18" t="n">
        <v>0</v>
      </c>
      <c r="D2629" s="0" t="n">
        <v>0</v>
      </c>
      <c r="E2629" s="19" t="n">
        <v>51.0833333333333</v>
      </c>
    </row>
    <row r="2630" customFormat="false" ht="15" hidden="false" customHeight="false" outlineLevel="0" collapsed="false">
      <c r="A2630" s="0" t="n">
        <v>2629</v>
      </c>
      <c r="B2630" s="18" t="n">
        <v>1406805.33859585</v>
      </c>
      <c r="C2630" s="18" t="n">
        <v>0</v>
      </c>
      <c r="D2630" s="0" t="n">
        <v>0</v>
      </c>
      <c r="E2630" s="19" t="n">
        <v>46.1666666666667</v>
      </c>
    </row>
    <row r="2631" customFormat="false" ht="15" hidden="false" customHeight="false" outlineLevel="0" collapsed="false">
      <c r="A2631" s="0" t="n">
        <v>2630</v>
      </c>
      <c r="B2631" s="18" t="n">
        <v>2355751.96500409</v>
      </c>
      <c r="C2631" s="18" t="n">
        <v>10658357.1463569</v>
      </c>
      <c r="D2631" s="0" t="n">
        <v>1</v>
      </c>
    </row>
    <row r="2632" customFormat="false" ht="15" hidden="false" customHeight="false" outlineLevel="0" collapsed="false">
      <c r="A2632" s="0" t="n">
        <v>2631</v>
      </c>
      <c r="B2632" s="18" t="n">
        <v>1209892.67857514</v>
      </c>
      <c r="C2632" s="18" t="n">
        <v>0</v>
      </c>
      <c r="D2632" s="0" t="n">
        <v>0</v>
      </c>
      <c r="E2632" s="19" t="n">
        <v>43.5</v>
      </c>
    </row>
    <row r="2633" customFormat="false" ht="15" hidden="false" customHeight="false" outlineLevel="0" collapsed="false">
      <c r="A2633" s="0" t="n">
        <v>2632</v>
      </c>
      <c r="B2633" s="18" t="n">
        <v>1825488.37814725</v>
      </c>
      <c r="C2633" s="18" t="n">
        <v>52568739.3232756</v>
      </c>
      <c r="D2633" s="0" t="n">
        <v>1</v>
      </c>
    </row>
    <row r="2634" customFormat="false" ht="15" hidden="false" customHeight="false" outlineLevel="0" collapsed="false">
      <c r="A2634" s="0" t="n">
        <v>2633</v>
      </c>
      <c r="B2634" s="18" t="n">
        <v>1363199.16459842</v>
      </c>
      <c r="C2634" s="18" t="n">
        <v>3781868.07716357</v>
      </c>
      <c r="D2634" s="0" t="n">
        <v>1</v>
      </c>
    </row>
    <row r="2635" customFormat="false" ht="15" hidden="false" customHeight="false" outlineLevel="0" collapsed="false">
      <c r="A2635" s="0" t="n">
        <v>2634</v>
      </c>
      <c r="B2635" s="18" t="n">
        <v>728909.837718088</v>
      </c>
      <c r="C2635" s="18" t="n">
        <v>0</v>
      </c>
      <c r="D2635" s="0" t="n">
        <v>0</v>
      </c>
      <c r="E2635" s="19" t="n">
        <v>34.6666666666667</v>
      </c>
    </row>
    <row r="2636" customFormat="false" ht="15" hidden="false" customHeight="false" outlineLevel="0" collapsed="false">
      <c r="A2636" s="0" t="n">
        <v>2635</v>
      </c>
      <c r="B2636" s="18" t="n">
        <v>1021191.72747538</v>
      </c>
      <c r="C2636" s="18" t="n">
        <v>0</v>
      </c>
      <c r="D2636" s="0" t="n">
        <v>0</v>
      </c>
      <c r="E2636" s="19" t="n">
        <v>44.9166666666667</v>
      </c>
    </row>
    <row r="2637" customFormat="false" ht="15" hidden="false" customHeight="false" outlineLevel="0" collapsed="false">
      <c r="A2637" s="0" t="n">
        <v>2636</v>
      </c>
      <c r="B2637" s="18" t="n">
        <v>441058.966384356</v>
      </c>
      <c r="C2637" s="18" t="n">
        <v>0</v>
      </c>
      <c r="D2637" s="0" t="n">
        <v>0</v>
      </c>
      <c r="E2637" s="19" t="n">
        <v>33.25</v>
      </c>
    </row>
    <row r="2638" customFormat="false" ht="15" hidden="false" customHeight="false" outlineLevel="0" collapsed="false">
      <c r="A2638" s="0" t="n">
        <v>2637</v>
      </c>
      <c r="B2638" s="18" t="n">
        <v>578300.975358162</v>
      </c>
      <c r="C2638" s="18" t="n">
        <v>0</v>
      </c>
      <c r="D2638" s="0" t="n">
        <v>0</v>
      </c>
      <c r="E2638" s="19" t="n">
        <v>32.5833333333333</v>
      </c>
    </row>
    <row r="2639" customFormat="false" ht="15" hidden="false" customHeight="false" outlineLevel="0" collapsed="false">
      <c r="A2639" s="0" t="n">
        <v>2638</v>
      </c>
      <c r="B2639" s="18" t="n">
        <v>369862.582344367</v>
      </c>
      <c r="C2639" s="18" t="n">
        <v>0</v>
      </c>
      <c r="D2639" s="0" t="n">
        <v>0</v>
      </c>
      <c r="E2639" s="19" t="n">
        <v>36.1666666666667</v>
      </c>
    </row>
    <row r="2640" customFormat="false" ht="15" hidden="false" customHeight="false" outlineLevel="0" collapsed="false">
      <c r="A2640" s="0" t="n">
        <v>2639</v>
      </c>
      <c r="B2640" s="18" t="n">
        <v>921881.817553864</v>
      </c>
      <c r="C2640" s="18" t="n">
        <v>0</v>
      </c>
      <c r="D2640" s="0" t="n">
        <v>0</v>
      </c>
      <c r="E2640" s="19" t="n">
        <v>39.75</v>
      </c>
    </row>
    <row r="2641" customFormat="false" ht="15" hidden="false" customHeight="false" outlineLevel="0" collapsed="false">
      <c r="A2641" s="0" t="n">
        <v>2640</v>
      </c>
      <c r="B2641" s="18" t="n">
        <v>901160.446799863</v>
      </c>
      <c r="C2641" s="18" t="n">
        <v>0</v>
      </c>
      <c r="D2641" s="0" t="n">
        <v>0</v>
      </c>
      <c r="E2641" s="19" t="n">
        <v>43.0833333333333</v>
      </c>
    </row>
    <row r="2642" customFormat="false" ht="15" hidden="false" customHeight="false" outlineLevel="0" collapsed="false">
      <c r="A2642" s="0" t="n">
        <v>2641</v>
      </c>
      <c r="B2642" s="18" t="n">
        <v>896527.886099314</v>
      </c>
      <c r="C2642" s="18" t="n">
        <v>0</v>
      </c>
      <c r="D2642" s="0" t="n">
        <v>0</v>
      </c>
      <c r="E2642" s="19" t="n">
        <v>37.3333333333333</v>
      </c>
    </row>
    <row r="2643" customFormat="false" ht="15" hidden="false" customHeight="false" outlineLevel="0" collapsed="false">
      <c r="A2643" s="0" t="n">
        <v>2642</v>
      </c>
      <c r="B2643" s="18" t="n">
        <v>970687.874437936</v>
      </c>
      <c r="C2643" s="18" t="n">
        <v>2992031.81313549</v>
      </c>
      <c r="D2643" s="0" t="n">
        <v>1</v>
      </c>
    </row>
    <row r="2644" customFormat="false" ht="15" hidden="false" customHeight="false" outlineLevel="0" collapsed="false">
      <c r="A2644" s="0" t="n">
        <v>2643</v>
      </c>
      <c r="B2644" s="18" t="n">
        <v>875559.968899867</v>
      </c>
      <c r="C2644" s="18" t="n">
        <v>0</v>
      </c>
      <c r="D2644" s="0" t="n">
        <v>0</v>
      </c>
      <c r="E2644" s="19" t="n">
        <v>46.9166666666667</v>
      </c>
    </row>
    <row r="2645" customFormat="false" ht="15" hidden="false" customHeight="false" outlineLevel="0" collapsed="false">
      <c r="A2645" s="0" t="n">
        <v>2644</v>
      </c>
      <c r="B2645" s="18" t="n">
        <v>906107.02184842</v>
      </c>
      <c r="C2645" s="18" t="n">
        <v>0</v>
      </c>
      <c r="D2645" s="0" t="n">
        <v>0</v>
      </c>
      <c r="E2645" s="19" t="n">
        <v>33.5833333333333</v>
      </c>
    </row>
    <row r="2646" customFormat="false" ht="15" hidden="false" customHeight="false" outlineLevel="0" collapsed="false">
      <c r="A2646" s="0" t="n">
        <v>2645</v>
      </c>
      <c r="B2646" s="18" t="n">
        <v>2281911.52710878</v>
      </c>
      <c r="C2646" s="18" t="n">
        <v>367233.594774919</v>
      </c>
      <c r="D2646" s="0" t="n">
        <v>1</v>
      </c>
    </row>
    <row r="2647" customFormat="false" ht="15" hidden="false" customHeight="false" outlineLevel="0" collapsed="false">
      <c r="A2647" s="0" t="n">
        <v>2646</v>
      </c>
      <c r="B2647" s="18" t="n">
        <v>930316.754662758</v>
      </c>
      <c r="C2647" s="18" t="n">
        <v>0</v>
      </c>
      <c r="D2647" s="0" t="n">
        <v>0</v>
      </c>
      <c r="E2647" s="19" t="n">
        <v>46.0833333333333</v>
      </c>
    </row>
    <row r="2648" customFormat="false" ht="15" hidden="false" customHeight="false" outlineLevel="0" collapsed="false">
      <c r="A2648" s="0" t="n">
        <v>2647</v>
      </c>
      <c r="B2648" s="18" t="n">
        <v>1796565.50827432</v>
      </c>
      <c r="C2648" s="18" t="n">
        <v>0</v>
      </c>
      <c r="D2648" s="0" t="n">
        <v>0</v>
      </c>
      <c r="E2648" s="19" t="n">
        <v>54.6666666666667</v>
      </c>
    </row>
    <row r="2649" customFormat="false" ht="15" hidden="false" customHeight="false" outlineLevel="0" collapsed="false">
      <c r="A2649" s="0" t="n">
        <v>2648</v>
      </c>
      <c r="B2649" s="18" t="n">
        <v>973815.88055283</v>
      </c>
      <c r="C2649" s="18" t="n">
        <v>2148840.20698234</v>
      </c>
      <c r="D2649" s="0" t="n">
        <v>1</v>
      </c>
    </row>
    <row r="2650" customFormat="false" ht="15" hidden="false" customHeight="false" outlineLevel="0" collapsed="false">
      <c r="A2650" s="0" t="n">
        <v>2649</v>
      </c>
      <c r="B2650" s="18" t="n">
        <v>241235.148625361</v>
      </c>
      <c r="C2650" s="18" t="n">
        <v>0</v>
      </c>
      <c r="D2650" s="0" t="n">
        <v>0</v>
      </c>
      <c r="E2650" s="19" t="n">
        <v>31.25</v>
      </c>
    </row>
    <row r="2651" customFormat="false" ht="15" hidden="false" customHeight="false" outlineLevel="0" collapsed="false">
      <c r="A2651" s="0" t="n">
        <v>2650</v>
      </c>
      <c r="B2651" s="18" t="n">
        <v>539755.821479058</v>
      </c>
      <c r="C2651" s="18" t="n">
        <v>0</v>
      </c>
      <c r="D2651" s="0" t="n">
        <v>0</v>
      </c>
      <c r="E2651" s="19" t="n">
        <v>31.5</v>
      </c>
    </row>
    <row r="2652" customFormat="false" ht="15" hidden="false" customHeight="false" outlineLevel="0" collapsed="false">
      <c r="A2652" s="0" t="n">
        <v>2651</v>
      </c>
      <c r="B2652" s="18" t="n">
        <v>946558.264003663</v>
      </c>
      <c r="C2652" s="18" t="n">
        <v>477336.764607212</v>
      </c>
      <c r="D2652" s="0" t="n">
        <v>1</v>
      </c>
    </row>
    <row r="2653" customFormat="false" ht="15" hidden="false" customHeight="false" outlineLevel="0" collapsed="false">
      <c r="A2653" s="0" t="n">
        <v>2652</v>
      </c>
      <c r="B2653" s="18" t="n">
        <v>765808.02503158</v>
      </c>
      <c r="C2653" s="18" t="n">
        <v>0</v>
      </c>
      <c r="D2653" s="0" t="n">
        <v>0</v>
      </c>
      <c r="E2653" s="19" t="n">
        <v>38.0833333333333</v>
      </c>
    </row>
    <row r="2654" customFormat="false" ht="15" hidden="false" customHeight="false" outlineLevel="0" collapsed="false">
      <c r="A2654" s="0" t="n">
        <v>2653</v>
      </c>
      <c r="B2654" s="18" t="n">
        <v>622283.117744706</v>
      </c>
      <c r="C2654" s="18" t="n">
        <v>0</v>
      </c>
      <c r="D2654" s="0" t="n">
        <v>0</v>
      </c>
      <c r="E2654" s="19" t="n">
        <v>34.1666666666667</v>
      </c>
    </row>
    <row r="2655" customFormat="false" ht="15" hidden="false" customHeight="false" outlineLevel="0" collapsed="false">
      <c r="A2655" s="0" t="n">
        <v>2654</v>
      </c>
      <c r="B2655" s="18" t="n">
        <v>1240289.90916912</v>
      </c>
      <c r="C2655" s="18" t="n">
        <v>320074.106262157</v>
      </c>
      <c r="D2655" s="0" t="n">
        <v>1</v>
      </c>
    </row>
    <row r="2656" customFormat="false" ht="15" hidden="false" customHeight="false" outlineLevel="0" collapsed="false">
      <c r="A2656" s="0" t="n">
        <v>2655</v>
      </c>
      <c r="B2656" s="18" t="n">
        <v>418394.132858026</v>
      </c>
      <c r="C2656" s="18" t="n">
        <v>0</v>
      </c>
      <c r="D2656" s="0" t="n">
        <v>0</v>
      </c>
      <c r="E2656" s="19" t="n">
        <v>31.3333333333333</v>
      </c>
    </row>
    <row r="2657" customFormat="false" ht="15" hidden="false" customHeight="false" outlineLevel="0" collapsed="false">
      <c r="A2657" s="0" t="n">
        <v>2656</v>
      </c>
      <c r="B2657" s="18" t="n">
        <v>951604.449326514</v>
      </c>
      <c r="C2657" s="18" t="n">
        <v>0</v>
      </c>
      <c r="D2657" s="0" t="n">
        <v>0</v>
      </c>
      <c r="E2657" s="19" t="n">
        <v>39.9166666666667</v>
      </c>
    </row>
    <row r="2658" customFormat="false" ht="15" hidden="false" customHeight="false" outlineLevel="0" collapsed="false">
      <c r="A2658" s="0" t="n">
        <v>2657</v>
      </c>
      <c r="B2658" s="18" t="n">
        <v>441514.418334786</v>
      </c>
      <c r="C2658" s="18" t="n">
        <v>0</v>
      </c>
      <c r="D2658" s="0" t="n">
        <v>0</v>
      </c>
      <c r="E2658" s="19" t="n">
        <v>32.3333333333333</v>
      </c>
    </row>
    <row r="2659" customFormat="false" ht="15" hidden="false" customHeight="false" outlineLevel="0" collapsed="false">
      <c r="A2659" s="0" t="n">
        <v>2658</v>
      </c>
      <c r="B2659" s="18" t="n">
        <v>641069.91259274</v>
      </c>
      <c r="C2659" s="18" t="n">
        <v>0</v>
      </c>
      <c r="D2659" s="0" t="n">
        <v>0</v>
      </c>
      <c r="E2659" s="19" t="n">
        <v>41.25</v>
      </c>
    </row>
    <row r="2660" customFormat="false" ht="15" hidden="false" customHeight="false" outlineLevel="0" collapsed="false">
      <c r="A2660" s="0" t="n">
        <v>2659</v>
      </c>
      <c r="B2660" s="18" t="n">
        <v>441712.742959195</v>
      </c>
      <c r="C2660" s="18" t="n">
        <v>0</v>
      </c>
      <c r="D2660" s="0" t="n">
        <v>0</v>
      </c>
      <c r="E2660" s="19" t="n">
        <v>34.25</v>
      </c>
    </row>
    <row r="2661" customFormat="false" ht="15" hidden="false" customHeight="false" outlineLevel="0" collapsed="false">
      <c r="A2661" s="0" t="n">
        <v>2660</v>
      </c>
      <c r="B2661" s="18" t="n">
        <v>1525876.58413022</v>
      </c>
      <c r="C2661" s="18" t="n">
        <v>12768100.7239199</v>
      </c>
      <c r="D2661" s="0" t="n">
        <v>1</v>
      </c>
    </row>
    <row r="2662" customFormat="false" ht="15" hidden="false" customHeight="false" outlineLevel="0" collapsed="false">
      <c r="A2662" s="0" t="n">
        <v>2661</v>
      </c>
      <c r="B2662" s="18" t="n">
        <v>877846.991552742</v>
      </c>
      <c r="C2662" s="18" t="n">
        <v>15458410.5996931</v>
      </c>
      <c r="D2662" s="0" t="n">
        <v>1</v>
      </c>
    </row>
    <row r="2663" customFormat="false" ht="15" hidden="false" customHeight="false" outlineLevel="0" collapsed="false">
      <c r="A2663" s="0" t="n">
        <v>2662</v>
      </c>
      <c r="B2663" s="18" t="n">
        <v>407525.085943643</v>
      </c>
      <c r="C2663" s="18" t="n">
        <v>0</v>
      </c>
      <c r="D2663" s="0" t="n">
        <v>0</v>
      </c>
      <c r="E2663" s="19" t="n">
        <v>31.5</v>
      </c>
    </row>
    <row r="2664" customFormat="false" ht="15" hidden="false" customHeight="false" outlineLevel="0" collapsed="false">
      <c r="A2664" s="0" t="n">
        <v>2663</v>
      </c>
      <c r="B2664" s="18" t="n">
        <v>556236.844410945</v>
      </c>
      <c r="C2664" s="18" t="n">
        <v>0</v>
      </c>
      <c r="D2664" s="0" t="n">
        <v>0</v>
      </c>
      <c r="E2664" s="19" t="n">
        <v>34</v>
      </c>
    </row>
    <row r="2665" customFormat="false" ht="15" hidden="false" customHeight="false" outlineLevel="0" collapsed="false">
      <c r="A2665" s="0" t="n">
        <v>2664</v>
      </c>
      <c r="B2665" s="18" t="n">
        <v>979768.956471421</v>
      </c>
      <c r="C2665" s="18" t="n">
        <v>0</v>
      </c>
      <c r="D2665" s="0" t="n">
        <v>0</v>
      </c>
      <c r="E2665" s="19" t="n">
        <v>41.4166666666667</v>
      </c>
    </row>
    <row r="2666" customFormat="false" ht="15" hidden="false" customHeight="false" outlineLevel="0" collapsed="false">
      <c r="A2666" s="0" t="n">
        <v>2665</v>
      </c>
      <c r="B2666" s="18" t="n">
        <v>649181.287688294</v>
      </c>
      <c r="C2666" s="18" t="n">
        <v>0</v>
      </c>
      <c r="D2666" s="0" t="n">
        <v>0</v>
      </c>
      <c r="E2666" s="19" t="n">
        <v>31.6666666666667</v>
      </c>
    </row>
    <row r="2667" customFormat="false" ht="15" hidden="false" customHeight="false" outlineLevel="0" collapsed="false">
      <c r="A2667" s="0" t="n">
        <v>2666</v>
      </c>
      <c r="B2667" s="18" t="n">
        <v>545747.753523855</v>
      </c>
      <c r="C2667" s="18" t="n">
        <v>0</v>
      </c>
      <c r="D2667" s="0" t="n">
        <v>0</v>
      </c>
      <c r="E2667" s="19" t="n">
        <v>34.5833333333333</v>
      </c>
    </row>
    <row r="2668" customFormat="false" ht="15" hidden="false" customHeight="false" outlineLevel="0" collapsed="false">
      <c r="A2668" s="0" t="n">
        <v>2667</v>
      </c>
      <c r="B2668" s="18" t="n">
        <v>816514.378426478</v>
      </c>
      <c r="C2668" s="18" t="n">
        <v>0</v>
      </c>
      <c r="D2668" s="0" t="n">
        <v>0</v>
      </c>
      <c r="E2668" s="19" t="n">
        <v>39.75</v>
      </c>
    </row>
    <row r="2669" customFormat="false" ht="15" hidden="false" customHeight="false" outlineLevel="0" collapsed="false">
      <c r="A2669" s="0" t="n">
        <v>2668</v>
      </c>
      <c r="B2669" s="18" t="n">
        <v>1049750.9647332</v>
      </c>
      <c r="C2669" s="18" t="n">
        <v>0</v>
      </c>
      <c r="D2669" s="0" t="n">
        <v>0</v>
      </c>
      <c r="E2669" s="19" t="n">
        <v>53.4166666666667</v>
      </c>
    </row>
    <row r="2670" customFormat="false" ht="15" hidden="false" customHeight="false" outlineLevel="0" collapsed="false">
      <c r="A2670" s="0" t="n">
        <v>2669</v>
      </c>
      <c r="B2670" s="18" t="n">
        <v>1065464.03312277</v>
      </c>
      <c r="C2670" s="18" t="n">
        <v>4267500.76380176</v>
      </c>
      <c r="D2670" s="0" t="n">
        <v>1</v>
      </c>
    </row>
    <row r="2671" customFormat="false" ht="15" hidden="false" customHeight="false" outlineLevel="0" collapsed="false">
      <c r="A2671" s="0" t="n">
        <v>2670</v>
      </c>
      <c r="B2671" s="18" t="n">
        <v>929048.152987857</v>
      </c>
      <c r="C2671" s="18" t="n">
        <v>0</v>
      </c>
      <c r="D2671" s="0" t="n">
        <v>0</v>
      </c>
      <c r="E2671" s="19" t="n">
        <v>54.5833333333333</v>
      </c>
    </row>
    <row r="2672" customFormat="false" ht="15" hidden="false" customHeight="false" outlineLevel="0" collapsed="false">
      <c r="A2672" s="0" t="n">
        <v>2671</v>
      </c>
      <c r="B2672" s="18" t="n">
        <v>1110155.62245006</v>
      </c>
      <c r="C2672" s="18" t="n">
        <v>0</v>
      </c>
      <c r="D2672" s="0" t="n">
        <v>0</v>
      </c>
      <c r="E2672" s="19" t="n">
        <v>36.6666666666667</v>
      </c>
    </row>
    <row r="2673" customFormat="false" ht="15" hidden="false" customHeight="false" outlineLevel="0" collapsed="false">
      <c r="A2673" s="0" t="n">
        <v>2672</v>
      </c>
      <c r="B2673" s="18" t="n">
        <v>340861.819613433</v>
      </c>
      <c r="C2673" s="18" t="n">
        <v>0</v>
      </c>
      <c r="D2673" s="0" t="n">
        <v>0</v>
      </c>
      <c r="E2673" s="19" t="n">
        <v>32.0833333333333</v>
      </c>
    </row>
    <row r="2674" customFormat="false" ht="15" hidden="false" customHeight="false" outlineLevel="0" collapsed="false">
      <c r="A2674" s="0" t="n">
        <v>2673</v>
      </c>
      <c r="B2674" s="18" t="n">
        <v>579075.152663109</v>
      </c>
      <c r="C2674" s="18" t="n">
        <v>0</v>
      </c>
      <c r="D2674" s="0" t="n">
        <v>0</v>
      </c>
      <c r="E2674" s="19" t="n">
        <v>32.8333333333333</v>
      </c>
    </row>
    <row r="2675" customFormat="false" ht="15" hidden="false" customHeight="false" outlineLevel="0" collapsed="false">
      <c r="A2675" s="0" t="n">
        <v>2674</v>
      </c>
      <c r="B2675" s="18" t="n">
        <v>768662.986196244</v>
      </c>
      <c r="C2675" s="18" t="n">
        <v>0</v>
      </c>
      <c r="D2675" s="0" t="n">
        <v>0</v>
      </c>
      <c r="E2675" s="19" t="n">
        <v>43.4166666666667</v>
      </c>
    </row>
    <row r="2676" customFormat="false" ht="15" hidden="false" customHeight="false" outlineLevel="0" collapsed="false">
      <c r="A2676" s="0" t="n">
        <v>2675</v>
      </c>
      <c r="B2676" s="18" t="n">
        <v>567057.996202694</v>
      </c>
      <c r="C2676" s="18" t="n">
        <v>0</v>
      </c>
      <c r="D2676" s="0" t="n">
        <v>0</v>
      </c>
      <c r="E2676" s="19" t="n">
        <v>36.1666666666667</v>
      </c>
    </row>
    <row r="2677" customFormat="false" ht="15" hidden="false" customHeight="false" outlineLevel="0" collapsed="false">
      <c r="A2677" s="0" t="n">
        <v>2676</v>
      </c>
      <c r="B2677" s="18" t="n">
        <v>1725087.99258314</v>
      </c>
      <c r="C2677" s="18" t="n">
        <v>2441355.50358777</v>
      </c>
      <c r="D2677" s="0" t="n">
        <v>1</v>
      </c>
    </row>
    <row r="2678" customFormat="false" ht="15" hidden="false" customHeight="false" outlineLevel="0" collapsed="false">
      <c r="A2678" s="0" t="n">
        <v>2677</v>
      </c>
      <c r="B2678" s="18" t="n">
        <v>1677849.73737666</v>
      </c>
      <c r="C2678" s="18" t="n">
        <v>0</v>
      </c>
      <c r="D2678" s="0" t="n">
        <v>0</v>
      </c>
      <c r="E2678" s="19" t="n">
        <v>51.0833333333333</v>
      </c>
    </row>
    <row r="2679" customFormat="false" ht="15" hidden="false" customHeight="false" outlineLevel="0" collapsed="false">
      <c r="A2679" s="0" t="n">
        <v>2678</v>
      </c>
      <c r="B2679" s="18" t="n">
        <v>722851.333129168</v>
      </c>
      <c r="C2679" s="18" t="n">
        <v>0</v>
      </c>
      <c r="D2679" s="0" t="n">
        <v>0</v>
      </c>
      <c r="E2679" s="19" t="n">
        <v>39.4166666666667</v>
      </c>
    </row>
    <row r="2680" customFormat="false" ht="15" hidden="false" customHeight="false" outlineLevel="0" collapsed="false">
      <c r="A2680" s="0" t="n">
        <v>2679</v>
      </c>
      <c r="B2680" s="18" t="n">
        <v>879584.719950106</v>
      </c>
      <c r="C2680" s="18" t="n">
        <v>0</v>
      </c>
      <c r="D2680" s="0" t="n">
        <v>0</v>
      </c>
      <c r="E2680" s="19" t="n">
        <v>39.8333333333333</v>
      </c>
    </row>
    <row r="2681" customFormat="false" ht="15" hidden="false" customHeight="false" outlineLevel="0" collapsed="false">
      <c r="A2681" s="0" t="n">
        <v>2680</v>
      </c>
      <c r="B2681" s="18" t="n">
        <v>504660.476676519</v>
      </c>
      <c r="C2681" s="18" t="n">
        <v>0</v>
      </c>
      <c r="D2681" s="0" t="n">
        <v>0</v>
      </c>
      <c r="E2681" s="19" t="n">
        <v>37.6666666666667</v>
      </c>
    </row>
    <row r="2682" customFormat="false" ht="15" hidden="false" customHeight="false" outlineLevel="0" collapsed="false">
      <c r="A2682" s="0" t="n">
        <v>2681</v>
      </c>
      <c r="B2682" s="18" t="n">
        <v>265379.662914918</v>
      </c>
      <c r="C2682" s="18" t="n">
        <v>0</v>
      </c>
      <c r="D2682" s="0" t="n">
        <v>0</v>
      </c>
      <c r="E2682" s="19" t="n">
        <v>31.75</v>
      </c>
    </row>
    <row r="2683" customFormat="false" ht="15" hidden="false" customHeight="false" outlineLevel="0" collapsed="false">
      <c r="A2683" s="0" t="n">
        <v>2682</v>
      </c>
      <c r="B2683" s="18" t="n">
        <v>1507640.45874158</v>
      </c>
      <c r="C2683" s="18" t="n">
        <v>465813.915554643</v>
      </c>
      <c r="D2683" s="0" t="n">
        <v>1</v>
      </c>
    </row>
    <row r="2684" customFormat="false" ht="15" hidden="false" customHeight="false" outlineLevel="0" collapsed="false">
      <c r="A2684" s="0" t="n">
        <v>2683</v>
      </c>
      <c r="B2684" s="18" t="n">
        <v>499072.391090829</v>
      </c>
      <c r="C2684" s="18" t="n">
        <v>0</v>
      </c>
      <c r="D2684" s="0" t="n">
        <v>0</v>
      </c>
      <c r="E2684" s="19" t="n">
        <v>36.75</v>
      </c>
    </row>
    <row r="2685" customFormat="false" ht="15" hidden="false" customHeight="false" outlineLevel="0" collapsed="false">
      <c r="A2685" s="0" t="n">
        <v>2684</v>
      </c>
      <c r="B2685" s="18" t="n">
        <v>543835.693881727</v>
      </c>
      <c r="C2685" s="18" t="n">
        <v>0</v>
      </c>
      <c r="D2685" s="0" t="n">
        <v>0</v>
      </c>
      <c r="E2685" s="19" t="n">
        <v>38.9166666666667</v>
      </c>
    </row>
    <row r="2686" customFormat="false" ht="15" hidden="false" customHeight="false" outlineLevel="0" collapsed="false">
      <c r="A2686" s="0" t="n">
        <v>2685</v>
      </c>
      <c r="B2686" s="18" t="n">
        <v>503589.031538066</v>
      </c>
      <c r="C2686" s="18" t="n">
        <v>0</v>
      </c>
      <c r="D2686" s="0" t="n">
        <v>0</v>
      </c>
      <c r="E2686" s="19" t="n">
        <v>31.9166666666667</v>
      </c>
    </row>
    <row r="2687" customFormat="false" ht="15" hidden="false" customHeight="false" outlineLevel="0" collapsed="false">
      <c r="A2687" s="0" t="n">
        <v>2686</v>
      </c>
      <c r="B2687" s="18" t="n">
        <v>710275.148367512</v>
      </c>
      <c r="C2687" s="18" t="n">
        <v>0</v>
      </c>
      <c r="D2687" s="0" t="n">
        <v>0</v>
      </c>
      <c r="E2687" s="19" t="n">
        <v>44.25</v>
      </c>
    </row>
    <row r="2688" customFormat="false" ht="15" hidden="false" customHeight="false" outlineLevel="0" collapsed="false">
      <c r="A2688" s="0" t="n">
        <v>2687</v>
      </c>
      <c r="B2688" s="18" t="n">
        <v>1137134.57508277</v>
      </c>
      <c r="C2688" s="18" t="n">
        <v>0</v>
      </c>
      <c r="D2688" s="0" t="n">
        <v>0</v>
      </c>
      <c r="E2688" s="19" t="n">
        <v>45.9166666666667</v>
      </c>
    </row>
    <row r="2689" customFormat="false" ht="15" hidden="false" customHeight="false" outlineLevel="0" collapsed="false">
      <c r="A2689" s="0" t="n">
        <v>2688</v>
      </c>
      <c r="B2689" s="18" t="n">
        <v>1224860.80812726</v>
      </c>
      <c r="C2689" s="18" t="n">
        <v>0</v>
      </c>
      <c r="D2689" s="0" t="n">
        <v>0</v>
      </c>
      <c r="E2689" s="19" t="n">
        <v>51.0833333333333</v>
      </c>
    </row>
    <row r="2690" customFormat="false" ht="15" hidden="false" customHeight="false" outlineLevel="0" collapsed="false">
      <c r="A2690" s="0" t="n">
        <v>2689</v>
      </c>
      <c r="B2690" s="18" t="n">
        <v>1894443.21249367</v>
      </c>
      <c r="C2690" s="18" t="n">
        <v>2445956.33926601</v>
      </c>
      <c r="D2690" s="0" t="n">
        <v>1</v>
      </c>
    </row>
    <row r="2691" customFormat="false" ht="15" hidden="false" customHeight="false" outlineLevel="0" collapsed="false">
      <c r="A2691" s="0" t="n">
        <v>2690</v>
      </c>
      <c r="B2691" s="18" t="n">
        <v>314585.561120702</v>
      </c>
      <c r="C2691" s="18" t="n">
        <v>0</v>
      </c>
      <c r="D2691" s="0" t="n">
        <v>0</v>
      </c>
      <c r="E2691" s="19" t="n">
        <v>36.0833333333333</v>
      </c>
    </row>
    <row r="2692" customFormat="false" ht="15" hidden="false" customHeight="false" outlineLevel="0" collapsed="false">
      <c r="A2692" s="0" t="n">
        <v>2691</v>
      </c>
      <c r="B2692" s="18" t="n">
        <v>2988392.30246865</v>
      </c>
      <c r="C2692" s="18" t="n">
        <v>58648370.0622327</v>
      </c>
      <c r="D2692" s="0" t="n">
        <v>1</v>
      </c>
    </row>
    <row r="2693" customFormat="false" ht="15" hidden="false" customHeight="false" outlineLevel="0" collapsed="false">
      <c r="A2693" s="0" t="n">
        <v>2692</v>
      </c>
      <c r="B2693" s="18" t="n">
        <v>1577624.39467847</v>
      </c>
      <c r="C2693" s="18" t="n">
        <v>0</v>
      </c>
      <c r="D2693" s="0" t="n">
        <v>0</v>
      </c>
      <c r="E2693" s="19" t="n">
        <v>48.0833333333333</v>
      </c>
    </row>
    <row r="2694" customFormat="false" ht="15" hidden="false" customHeight="false" outlineLevel="0" collapsed="false">
      <c r="A2694" s="0" t="n">
        <v>2693</v>
      </c>
      <c r="B2694" s="18" t="n">
        <v>525762.563991107</v>
      </c>
      <c r="C2694" s="18" t="n">
        <v>0</v>
      </c>
      <c r="D2694" s="0" t="n">
        <v>0</v>
      </c>
      <c r="E2694" s="19" t="n">
        <v>39</v>
      </c>
    </row>
    <row r="2695" customFormat="false" ht="15" hidden="false" customHeight="false" outlineLevel="0" collapsed="false">
      <c r="A2695" s="0" t="n">
        <v>2694</v>
      </c>
      <c r="B2695" s="18" t="n">
        <v>1033503.7659982</v>
      </c>
      <c r="C2695" s="18" t="n">
        <v>0</v>
      </c>
      <c r="D2695" s="0" t="n">
        <v>0</v>
      </c>
      <c r="E2695" s="19" t="n">
        <v>46.1666666666667</v>
      </c>
    </row>
    <row r="2696" customFormat="false" ht="15" hidden="false" customHeight="false" outlineLevel="0" collapsed="false">
      <c r="A2696" s="0" t="n">
        <v>2695</v>
      </c>
      <c r="B2696" s="18" t="n">
        <v>612217.842336987</v>
      </c>
      <c r="C2696" s="18" t="n">
        <v>0</v>
      </c>
      <c r="D2696" s="0" t="n">
        <v>0</v>
      </c>
      <c r="E2696" s="19" t="n">
        <v>38.5833333333333</v>
      </c>
    </row>
    <row r="2697" customFormat="false" ht="15" hidden="false" customHeight="false" outlineLevel="0" collapsed="false">
      <c r="A2697" s="0" t="n">
        <v>2696</v>
      </c>
      <c r="B2697" s="18" t="n">
        <v>271942.137669695</v>
      </c>
      <c r="C2697" s="18" t="n">
        <v>0</v>
      </c>
      <c r="D2697" s="0" t="n">
        <v>0</v>
      </c>
      <c r="E2697" s="19" t="n">
        <v>30.4166666666667</v>
      </c>
    </row>
    <row r="2698" customFormat="false" ht="15" hidden="false" customHeight="false" outlineLevel="0" collapsed="false">
      <c r="A2698" s="0" t="n">
        <v>2697</v>
      </c>
      <c r="B2698" s="18" t="n">
        <v>701935.908198134</v>
      </c>
      <c r="C2698" s="18" t="n">
        <v>0</v>
      </c>
      <c r="D2698" s="0" t="n">
        <v>0</v>
      </c>
      <c r="E2698" s="19" t="n">
        <v>39.1666666666667</v>
      </c>
    </row>
    <row r="2699" customFormat="false" ht="15" hidden="false" customHeight="false" outlineLevel="0" collapsed="false">
      <c r="A2699" s="0" t="n">
        <v>2698</v>
      </c>
      <c r="B2699" s="18" t="n">
        <v>851695.331511239</v>
      </c>
      <c r="C2699" s="18" t="n">
        <v>97390.8824160542</v>
      </c>
      <c r="D2699" s="0" t="n">
        <v>1</v>
      </c>
    </row>
    <row r="2700" customFormat="false" ht="15" hidden="false" customHeight="false" outlineLevel="0" collapsed="false">
      <c r="A2700" s="0" t="n">
        <v>2699</v>
      </c>
      <c r="B2700" s="18" t="n">
        <v>984898.388010581</v>
      </c>
      <c r="C2700" s="18" t="n">
        <v>6059532.34273987</v>
      </c>
      <c r="D2700" s="0" t="n">
        <v>1</v>
      </c>
    </row>
    <row r="2701" customFormat="false" ht="15" hidden="false" customHeight="false" outlineLevel="0" collapsed="false">
      <c r="A2701" s="0" t="n">
        <v>2700</v>
      </c>
      <c r="B2701" s="18" t="n">
        <v>977776.440942149</v>
      </c>
      <c r="C2701" s="18" t="n">
        <v>0</v>
      </c>
      <c r="D2701" s="0" t="n">
        <v>0</v>
      </c>
      <c r="E2701" s="19" t="n">
        <v>40.3333333333333</v>
      </c>
    </row>
    <row r="2702" customFormat="false" ht="15" hidden="false" customHeight="false" outlineLevel="0" collapsed="false">
      <c r="A2702" s="0" t="n">
        <v>2701</v>
      </c>
      <c r="B2702" s="18" t="n">
        <v>630398.082587177</v>
      </c>
      <c r="C2702" s="18" t="n">
        <v>0</v>
      </c>
      <c r="D2702" s="0" t="n">
        <v>0</v>
      </c>
      <c r="E2702" s="19" t="n">
        <v>36.4166666666667</v>
      </c>
    </row>
    <row r="2703" customFormat="false" ht="15" hidden="false" customHeight="false" outlineLevel="0" collapsed="false">
      <c r="A2703" s="0" t="n">
        <v>2702</v>
      </c>
      <c r="B2703" s="18" t="n">
        <v>1075033.61347248</v>
      </c>
      <c r="C2703" s="18" t="n">
        <v>0</v>
      </c>
      <c r="D2703" s="0" t="n">
        <v>0</v>
      </c>
      <c r="E2703" s="19" t="n">
        <v>39.75</v>
      </c>
    </row>
    <row r="2704" customFormat="false" ht="15" hidden="false" customHeight="false" outlineLevel="0" collapsed="false">
      <c r="A2704" s="0" t="n">
        <v>2703</v>
      </c>
      <c r="B2704" s="18" t="n">
        <v>1107474.61150903</v>
      </c>
      <c r="C2704" s="18" t="n">
        <v>0</v>
      </c>
      <c r="D2704" s="0" t="n">
        <v>0</v>
      </c>
      <c r="E2704" s="19" t="n">
        <v>51.3333333333333</v>
      </c>
    </row>
    <row r="2705" customFormat="false" ht="15" hidden="false" customHeight="false" outlineLevel="0" collapsed="false">
      <c r="A2705" s="0" t="n">
        <v>2704</v>
      </c>
      <c r="B2705" s="18" t="n">
        <v>474176.3409875</v>
      </c>
      <c r="C2705" s="18" t="n">
        <v>0</v>
      </c>
      <c r="D2705" s="0" t="n">
        <v>0</v>
      </c>
      <c r="E2705" s="19" t="n">
        <v>38.3333333333333</v>
      </c>
    </row>
    <row r="2706" customFormat="false" ht="15" hidden="false" customHeight="false" outlineLevel="0" collapsed="false">
      <c r="A2706" s="0" t="n">
        <v>2705</v>
      </c>
      <c r="B2706" s="18" t="n">
        <v>756314.196704954</v>
      </c>
      <c r="C2706" s="18" t="n">
        <v>0</v>
      </c>
      <c r="D2706" s="0" t="n">
        <v>0</v>
      </c>
      <c r="E2706" s="19" t="n">
        <v>41.8333333333333</v>
      </c>
    </row>
    <row r="2707" customFormat="false" ht="15" hidden="false" customHeight="false" outlineLevel="0" collapsed="false">
      <c r="A2707" s="0" t="n">
        <v>2706</v>
      </c>
      <c r="B2707" s="18" t="n">
        <v>596501.879621754</v>
      </c>
      <c r="C2707" s="18" t="n">
        <v>0</v>
      </c>
      <c r="D2707" s="0" t="n">
        <v>0</v>
      </c>
      <c r="E2707" s="19" t="n">
        <v>32.5</v>
      </c>
    </row>
    <row r="2708" customFormat="false" ht="15" hidden="false" customHeight="false" outlineLevel="0" collapsed="false">
      <c r="A2708" s="0" t="n">
        <v>2707</v>
      </c>
      <c r="B2708" s="18" t="n">
        <v>742494.674702131</v>
      </c>
      <c r="C2708" s="18" t="n">
        <v>0</v>
      </c>
      <c r="D2708" s="0" t="n">
        <v>0</v>
      </c>
      <c r="E2708" s="19" t="n">
        <v>35.8333333333333</v>
      </c>
    </row>
    <row r="2709" customFormat="false" ht="15" hidden="false" customHeight="false" outlineLevel="0" collapsed="false">
      <c r="A2709" s="0" t="n">
        <v>2708</v>
      </c>
      <c r="B2709" s="18" t="n">
        <v>862243.654321436</v>
      </c>
      <c r="C2709" s="18" t="n">
        <v>7479717.14846152</v>
      </c>
      <c r="D2709" s="0" t="n">
        <v>1</v>
      </c>
    </row>
    <row r="2710" customFormat="false" ht="15" hidden="false" customHeight="false" outlineLevel="0" collapsed="false">
      <c r="A2710" s="0" t="n">
        <v>2709</v>
      </c>
      <c r="B2710" s="18" t="n">
        <v>584511.280819955</v>
      </c>
      <c r="C2710" s="18" t="n">
        <v>0</v>
      </c>
      <c r="D2710" s="0" t="n">
        <v>0</v>
      </c>
      <c r="E2710" s="19" t="n">
        <v>45.1666666666667</v>
      </c>
    </row>
    <row r="2711" customFormat="false" ht="15" hidden="false" customHeight="false" outlineLevel="0" collapsed="false">
      <c r="A2711" s="0" t="n">
        <v>2710</v>
      </c>
      <c r="B2711" s="18" t="n">
        <v>842802.41945412</v>
      </c>
      <c r="C2711" s="18" t="n">
        <v>0</v>
      </c>
      <c r="D2711" s="0" t="n">
        <v>0</v>
      </c>
      <c r="E2711" s="19" t="n">
        <v>44.8333333333333</v>
      </c>
    </row>
    <row r="2712" customFormat="false" ht="15" hidden="false" customHeight="false" outlineLevel="0" collapsed="false">
      <c r="A2712" s="0" t="n">
        <v>2711</v>
      </c>
      <c r="B2712" s="18" t="n">
        <v>646222.950562137</v>
      </c>
      <c r="C2712" s="18" t="n">
        <v>0</v>
      </c>
      <c r="D2712" s="0" t="n">
        <v>0</v>
      </c>
      <c r="E2712" s="19" t="n">
        <v>46.4166666666667</v>
      </c>
    </row>
    <row r="2713" customFormat="false" ht="15" hidden="false" customHeight="false" outlineLevel="0" collapsed="false">
      <c r="A2713" s="0" t="n">
        <v>2712</v>
      </c>
      <c r="B2713" s="18" t="n">
        <v>827045.661892498</v>
      </c>
      <c r="C2713" s="18" t="n">
        <v>0</v>
      </c>
      <c r="D2713" s="0" t="n">
        <v>0</v>
      </c>
      <c r="E2713" s="19" t="n">
        <v>45.6666666666667</v>
      </c>
    </row>
    <row r="2714" customFormat="false" ht="15" hidden="false" customHeight="false" outlineLevel="0" collapsed="false">
      <c r="A2714" s="0" t="n">
        <v>2713</v>
      </c>
      <c r="B2714" s="18" t="n">
        <v>358999.78436363</v>
      </c>
      <c r="C2714" s="18" t="n">
        <v>0</v>
      </c>
      <c r="D2714" s="0" t="n">
        <v>0</v>
      </c>
      <c r="E2714" s="19" t="n">
        <v>36.4166666666667</v>
      </c>
    </row>
    <row r="2715" customFormat="false" ht="15" hidden="false" customHeight="false" outlineLevel="0" collapsed="false">
      <c r="A2715" s="0" t="n">
        <v>2714</v>
      </c>
      <c r="B2715" s="18" t="n">
        <v>554537.303208113</v>
      </c>
      <c r="C2715" s="18" t="n">
        <v>0</v>
      </c>
      <c r="D2715" s="0" t="n">
        <v>0</v>
      </c>
      <c r="E2715" s="19" t="n">
        <v>35.5833333333333</v>
      </c>
    </row>
    <row r="2716" customFormat="false" ht="15" hidden="false" customHeight="false" outlineLevel="0" collapsed="false">
      <c r="A2716" s="0" t="n">
        <v>2715</v>
      </c>
      <c r="B2716" s="18" t="n">
        <v>815797.991822309</v>
      </c>
      <c r="C2716" s="18" t="n">
        <v>0</v>
      </c>
      <c r="D2716" s="0" t="n">
        <v>0</v>
      </c>
      <c r="E2716" s="19" t="n">
        <v>48.3333333333333</v>
      </c>
    </row>
    <row r="2717" customFormat="false" ht="15" hidden="false" customHeight="false" outlineLevel="0" collapsed="false">
      <c r="A2717" s="0" t="n">
        <v>2716</v>
      </c>
      <c r="B2717" s="18" t="n">
        <v>1985091.78065612</v>
      </c>
      <c r="C2717" s="18" t="n">
        <v>113619.8622414</v>
      </c>
      <c r="D2717" s="0" t="n">
        <v>1</v>
      </c>
    </row>
    <row r="2718" customFormat="false" ht="15" hidden="false" customHeight="false" outlineLevel="0" collapsed="false">
      <c r="A2718" s="0" t="n">
        <v>2717</v>
      </c>
      <c r="B2718" s="18" t="n">
        <v>698335.556630691</v>
      </c>
      <c r="C2718" s="18" t="n">
        <v>0</v>
      </c>
      <c r="D2718" s="0" t="n">
        <v>0</v>
      </c>
      <c r="E2718" s="19" t="n">
        <v>45.1666666666667</v>
      </c>
    </row>
    <row r="2719" customFormat="false" ht="15" hidden="false" customHeight="false" outlineLevel="0" collapsed="false">
      <c r="A2719" s="0" t="n">
        <v>2718</v>
      </c>
      <c r="B2719" s="18" t="n">
        <v>286834.195753645</v>
      </c>
      <c r="C2719" s="18" t="n">
        <v>0</v>
      </c>
      <c r="D2719" s="0" t="n">
        <v>0</v>
      </c>
      <c r="E2719" s="19" t="n">
        <v>29.25</v>
      </c>
    </row>
    <row r="2720" customFormat="false" ht="15" hidden="false" customHeight="false" outlineLevel="0" collapsed="false">
      <c r="A2720" s="0" t="n">
        <v>2719</v>
      </c>
      <c r="B2720" s="18" t="n">
        <v>1789513.37597321</v>
      </c>
      <c r="C2720" s="18" t="n">
        <v>14380411.9244118</v>
      </c>
      <c r="D2720" s="0" t="n">
        <v>1</v>
      </c>
    </row>
    <row r="2721" customFormat="false" ht="15" hidden="false" customHeight="false" outlineLevel="0" collapsed="false">
      <c r="A2721" s="0" t="n">
        <v>2720</v>
      </c>
      <c r="B2721" s="18" t="n">
        <v>1374109.93608539</v>
      </c>
      <c r="C2721" s="18" t="n">
        <v>0</v>
      </c>
      <c r="D2721" s="0" t="n">
        <v>0</v>
      </c>
      <c r="E2721" s="19" t="n">
        <v>50.4166666666667</v>
      </c>
    </row>
    <row r="2722" customFormat="false" ht="15" hidden="false" customHeight="false" outlineLevel="0" collapsed="false">
      <c r="A2722" s="0" t="n">
        <v>2721</v>
      </c>
      <c r="B2722" s="18" t="n">
        <v>987039.85597579</v>
      </c>
      <c r="C2722" s="18" t="n">
        <v>0</v>
      </c>
      <c r="D2722" s="0" t="n">
        <v>0</v>
      </c>
      <c r="E2722" s="19" t="n">
        <v>51.3333333333333</v>
      </c>
    </row>
    <row r="2723" customFormat="false" ht="15" hidden="false" customHeight="false" outlineLevel="0" collapsed="false">
      <c r="A2723" s="0" t="n">
        <v>2722</v>
      </c>
      <c r="B2723" s="18" t="n">
        <v>787181.400148684</v>
      </c>
      <c r="C2723" s="18" t="n">
        <v>0</v>
      </c>
      <c r="D2723" s="0" t="n">
        <v>0</v>
      </c>
      <c r="E2723" s="19" t="n">
        <v>42.75</v>
      </c>
    </row>
    <row r="2724" customFormat="false" ht="15" hidden="false" customHeight="false" outlineLevel="0" collapsed="false">
      <c r="A2724" s="0" t="n">
        <v>2723</v>
      </c>
      <c r="B2724" s="18" t="n">
        <v>1688780.13097079</v>
      </c>
      <c r="C2724" s="18" t="n">
        <v>0</v>
      </c>
      <c r="D2724" s="0" t="n">
        <v>0</v>
      </c>
      <c r="E2724" s="19" t="n">
        <v>43.5</v>
      </c>
    </row>
    <row r="2725" customFormat="false" ht="15" hidden="false" customHeight="false" outlineLevel="0" collapsed="false">
      <c r="A2725" s="0" t="n">
        <v>2724</v>
      </c>
      <c r="B2725" s="18" t="n">
        <v>1005955.07190586</v>
      </c>
      <c r="C2725" s="18" t="n">
        <v>0</v>
      </c>
      <c r="D2725" s="0" t="n">
        <v>0</v>
      </c>
      <c r="E2725" s="19" t="n">
        <v>52.25</v>
      </c>
    </row>
    <row r="2726" customFormat="false" ht="15" hidden="false" customHeight="false" outlineLevel="0" collapsed="false">
      <c r="A2726" s="0" t="n">
        <v>2725</v>
      </c>
      <c r="B2726" s="18" t="n">
        <v>244096.935289039</v>
      </c>
      <c r="C2726" s="18" t="n">
        <v>0</v>
      </c>
      <c r="D2726" s="0" t="n">
        <v>0</v>
      </c>
      <c r="E2726" s="19" t="n">
        <v>29.0833333333333</v>
      </c>
    </row>
    <row r="2727" customFormat="false" ht="15" hidden="false" customHeight="false" outlineLevel="0" collapsed="false">
      <c r="A2727" s="0" t="n">
        <v>2726</v>
      </c>
      <c r="B2727" s="18" t="n">
        <v>1217553.82182004</v>
      </c>
      <c r="C2727" s="18" t="n">
        <v>0</v>
      </c>
      <c r="D2727" s="0" t="n">
        <v>0</v>
      </c>
      <c r="E2727" s="19" t="n">
        <v>44.3333333333333</v>
      </c>
    </row>
    <row r="2728" customFormat="false" ht="15" hidden="false" customHeight="false" outlineLevel="0" collapsed="false">
      <c r="A2728" s="0" t="n">
        <v>2727</v>
      </c>
      <c r="B2728" s="18" t="n">
        <v>1243032.01207071</v>
      </c>
      <c r="C2728" s="18" t="n">
        <v>109501.010703941</v>
      </c>
      <c r="D2728" s="0" t="n">
        <v>1</v>
      </c>
    </row>
    <row r="2729" customFormat="false" ht="15" hidden="false" customHeight="false" outlineLevel="0" collapsed="false">
      <c r="A2729" s="0" t="n">
        <v>2728</v>
      </c>
      <c r="B2729" s="18" t="n">
        <v>569866.559895171</v>
      </c>
      <c r="C2729" s="18" t="n">
        <v>0</v>
      </c>
      <c r="D2729" s="0" t="n">
        <v>0</v>
      </c>
      <c r="E2729" s="19" t="n">
        <v>31.8333333333333</v>
      </c>
    </row>
    <row r="2730" customFormat="false" ht="15" hidden="false" customHeight="false" outlineLevel="0" collapsed="false">
      <c r="A2730" s="0" t="n">
        <v>2729</v>
      </c>
      <c r="B2730" s="18" t="n">
        <v>504599.028709486</v>
      </c>
      <c r="C2730" s="18" t="n">
        <v>0</v>
      </c>
      <c r="D2730" s="0" t="n">
        <v>0</v>
      </c>
      <c r="E2730" s="19" t="n">
        <v>32.4166666666667</v>
      </c>
    </row>
    <row r="2731" customFormat="false" ht="15" hidden="false" customHeight="false" outlineLevel="0" collapsed="false">
      <c r="A2731" s="0" t="n">
        <v>2730</v>
      </c>
      <c r="B2731" s="18" t="n">
        <v>1141592.59390737</v>
      </c>
      <c r="C2731" s="18" t="n">
        <v>109581.476395906</v>
      </c>
      <c r="D2731" s="0" t="n">
        <v>1</v>
      </c>
    </row>
    <row r="2732" customFormat="false" ht="15" hidden="false" customHeight="false" outlineLevel="0" collapsed="false">
      <c r="A2732" s="0" t="n">
        <v>2731</v>
      </c>
      <c r="B2732" s="18" t="n">
        <v>400538.277137563</v>
      </c>
      <c r="C2732" s="18" t="n">
        <v>0</v>
      </c>
      <c r="D2732" s="0" t="n">
        <v>0</v>
      </c>
      <c r="E2732" s="19" t="n">
        <v>30.9166666666667</v>
      </c>
    </row>
    <row r="2733" customFormat="false" ht="15" hidden="false" customHeight="false" outlineLevel="0" collapsed="false">
      <c r="A2733" s="0" t="n">
        <v>2732</v>
      </c>
      <c r="B2733" s="18" t="n">
        <v>957757.792485751</v>
      </c>
      <c r="C2733" s="18" t="n">
        <v>0</v>
      </c>
      <c r="D2733" s="0" t="n">
        <v>0</v>
      </c>
      <c r="E2733" s="19" t="n">
        <v>38.6666666666667</v>
      </c>
    </row>
    <row r="2734" customFormat="false" ht="15" hidden="false" customHeight="false" outlineLevel="0" collapsed="false">
      <c r="A2734" s="0" t="n">
        <v>2733</v>
      </c>
      <c r="B2734" s="18" t="n">
        <v>482788.928770387</v>
      </c>
      <c r="C2734" s="18" t="n">
        <v>0</v>
      </c>
      <c r="D2734" s="0" t="n">
        <v>0</v>
      </c>
      <c r="E2734" s="19" t="n">
        <v>32.1666666666667</v>
      </c>
    </row>
    <row r="2735" customFormat="false" ht="15" hidden="false" customHeight="false" outlineLevel="0" collapsed="false">
      <c r="A2735" s="0" t="n">
        <v>2734</v>
      </c>
      <c r="B2735" s="18" t="n">
        <v>655173.438185899</v>
      </c>
      <c r="C2735" s="18" t="n">
        <v>0</v>
      </c>
      <c r="D2735" s="0" t="n">
        <v>0</v>
      </c>
      <c r="E2735" s="19" t="n">
        <v>33.0833333333333</v>
      </c>
    </row>
    <row r="2736" customFormat="false" ht="15" hidden="false" customHeight="false" outlineLevel="0" collapsed="false">
      <c r="A2736" s="0" t="n">
        <v>2735</v>
      </c>
      <c r="B2736" s="18" t="n">
        <v>932797.82801087</v>
      </c>
      <c r="C2736" s="18" t="n">
        <v>0</v>
      </c>
      <c r="D2736" s="0" t="n">
        <v>0</v>
      </c>
      <c r="E2736" s="19" t="n">
        <v>39.8333333333333</v>
      </c>
    </row>
    <row r="2737" customFormat="false" ht="15" hidden="false" customHeight="false" outlineLevel="0" collapsed="false">
      <c r="A2737" s="0" t="n">
        <v>2736</v>
      </c>
      <c r="B2737" s="18" t="n">
        <v>2252355.83918831</v>
      </c>
      <c r="C2737" s="18" t="n">
        <v>9625079.98414401</v>
      </c>
      <c r="D2737" s="0" t="n">
        <v>1</v>
      </c>
    </row>
    <row r="2738" customFormat="false" ht="15" hidden="false" customHeight="false" outlineLevel="0" collapsed="false">
      <c r="A2738" s="0" t="n">
        <v>2737</v>
      </c>
      <c r="B2738" s="18" t="n">
        <v>455954.019051439</v>
      </c>
      <c r="C2738" s="18" t="n">
        <v>0</v>
      </c>
      <c r="D2738" s="0" t="n">
        <v>0</v>
      </c>
      <c r="E2738" s="19" t="n">
        <v>35.25</v>
      </c>
    </row>
    <row r="2739" customFormat="false" ht="15" hidden="false" customHeight="false" outlineLevel="0" collapsed="false">
      <c r="A2739" s="0" t="n">
        <v>2738</v>
      </c>
      <c r="B2739" s="18" t="n">
        <v>2015868.15286002</v>
      </c>
      <c r="C2739" s="18" t="n">
        <v>9775549.68543818</v>
      </c>
      <c r="D2739" s="0" t="n">
        <v>1</v>
      </c>
    </row>
    <row r="2740" customFormat="false" ht="15" hidden="false" customHeight="false" outlineLevel="0" collapsed="false">
      <c r="A2740" s="0" t="n">
        <v>2739</v>
      </c>
      <c r="B2740" s="18" t="n">
        <v>2030491.89434406</v>
      </c>
      <c r="C2740" s="18" t="n">
        <v>913903.508801849</v>
      </c>
      <c r="D2740" s="0" t="n">
        <v>1</v>
      </c>
    </row>
    <row r="2741" customFormat="false" ht="15" hidden="false" customHeight="false" outlineLevel="0" collapsed="false">
      <c r="A2741" s="0" t="n">
        <v>2740</v>
      </c>
      <c r="B2741" s="18" t="n">
        <v>427224.082853007</v>
      </c>
      <c r="C2741" s="18" t="n">
        <v>0</v>
      </c>
      <c r="D2741" s="0" t="n">
        <v>0</v>
      </c>
      <c r="E2741" s="19" t="n">
        <v>34.6666666666667</v>
      </c>
    </row>
    <row r="2742" customFormat="false" ht="15" hidden="false" customHeight="false" outlineLevel="0" collapsed="false">
      <c r="A2742" s="0" t="n">
        <v>2741</v>
      </c>
      <c r="B2742" s="18" t="n">
        <v>542838.763837983</v>
      </c>
      <c r="C2742" s="18" t="n">
        <v>0</v>
      </c>
      <c r="D2742" s="0" t="n">
        <v>0</v>
      </c>
      <c r="E2742" s="19" t="n">
        <v>31.75</v>
      </c>
    </row>
    <row r="2743" customFormat="false" ht="15" hidden="false" customHeight="false" outlineLevel="0" collapsed="false">
      <c r="A2743" s="0" t="n">
        <v>2742</v>
      </c>
      <c r="B2743" s="18" t="n">
        <v>1026339.48808204</v>
      </c>
      <c r="C2743" s="18" t="n">
        <v>9121169.79100172</v>
      </c>
      <c r="D2743" s="0" t="n">
        <v>1</v>
      </c>
    </row>
    <row r="2744" customFormat="false" ht="15" hidden="false" customHeight="false" outlineLevel="0" collapsed="false">
      <c r="A2744" s="0" t="n">
        <v>2743</v>
      </c>
      <c r="B2744" s="18" t="n">
        <v>1065422.67413765</v>
      </c>
      <c r="C2744" s="18" t="n">
        <v>0</v>
      </c>
      <c r="D2744" s="0" t="n">
        <v>0</v>
      </c>
      <c r="E2744" s="19" t="n">
        <v>46</v>
      </c>
    </row>
    <row r="2745" customFormat="false" ht="15" hidden="false" customHeight="false" outlineLevel="0" collapsed="false">
      <c r="A2745" s="0" t="n">
        <v>2744</v>
      </c>
      <c r="B2745" s="18" t="n">
        <v>471328.113181657</v>
      </c>
      <c r="C2745" s="18" t="n">
        <v>0</v>
      </c>
      <c r="D2745" s="0" t="n">
        <v>0</v>
      </c>
      <c r="E2745" s="19" t="n">
        <v>30.8333333333333</v>
      </c>
    </row>
    <row r="2746" customFormat="false" ht="15" hidden="false" customHeight="false" outlineLevel="0" collapsed="false">
      <c r="A2746" s="0" t="n">
        <v>2745</v>
      </c>
      <c r="B2746" s="18" t="n">
        <v>1121798.55421997</v>
      </c>
      <c r="C2746" s="18" t="n">
        <v>672617.198853735</v>
      </c>
      <c r="D2746" s="0" t="n">
        <v>1</v>
      </c>
    </row>
    <row r="2747" customFormat="false" ht="15" hidden="false" customHeight="false" outlineLevel="0" collapsed="false">
      <c r="A2747" s="0" t="n">
        <v>2746</v>
      </c>
      <c r="B2747" s="18" t="n">
        <v>718701.882539442</v>
      </c>
      <c r="C2747" s="18" t="n">
        <v>0</v>
      </c>
      <c r="D2747" s="0" t="n">
        <v>0</v>
      </c>
      <c r="E2747" s="19" t="n">
        <v>39.3333333333333</v>
      </c>
    </row>
    <row r="2748" customFormat="false" ht="15" hidden="false" customHeight="false" outlineLevel="0" collapsed="false">
      <c r="A2748" s="0" t="n">
        <v>2747</v>
      </c>
      <c r="B2748" s="18" t="n">
        <v>1654278.68110207</v>
      </c>
      <c r="C2748" s="18" t="n">
        <v>2424556.72891037</v>
      </c>
      <c r="D2748" s="0" t="n">
        <v>1</v>
      </c>
    </row>
    <row r="2749" customFormat="false" ht="15" hidden="false" customHeight="false" outlineLevel="0" collapsed="false">
      <c r="A2749" s="0" t="n">
        <v>2748</v>
      </c>
      <c r="B2749" s="18" t="n">
        <v>1065866.00570391</v>
      </c>
      <c r="C2749" s="18" t="n">
        <v>0</v>
      </c>
      <c r="D2749" s="0" t="n">
        <v>0</v>
      </c>
      <c r="E2749" s="19" t="n">
        <v>52.75</v>
      </c>
    </row>
    <row r="2750" customFormat="false" ht="15" hidden="false" customHeight="false" outlineLevel="0" collapsed="false">
      <c r="A2750" s="0" t="n">
        <v>2749</v>
      </c>
      <c r="B2750" s="18" t="n">
        <v>682662.292365131</v>
      </c>
      <c r="C2750" s="18" t="n">
        <v>0</v>
      </c>
      <c r="D2750" s="0" t="n">
        <v>0</v>
      </c>
      <c r="E2750" s="19" t="n">
        <v>45.5833333333333</v>
      </c>
    </row>
    <row r="2751" customFormat="false" ht="15" hidden="false" customHeight="false" outlineLevel="0" collapsed="false">
      <c r="A2751" s="0" t="n">
        <v>2750</v>
      </c>
      <c r="B2751" s="18" t="n">
        <v>456323.493960246</v>
      </c>
      <c r="C2751" s="18" t="n">
        <v>0</v>
      </c>
      <c r="D2751" s="0" t="n">
        <v>0</v>
      </c>
      <c r="E2751" s="19" t="n">
        <v>32.8333333333333</v>
      </c>
    </row>
    <row r="2752" customFormat="false" ht="15" hidden="false" customHeight="false" outlineLevel="0" collapsed="false">
      <c r="A2752" s="0" t="n">
        <v>2751</v>
      </c>
      <c r="B2752" s="18" t="n">
        <v>1273245.24811294</v>
      </c>
      <c r="C2752" s="18" t="n">
        <v>1355781.06505368</v>
      </c>
      <c r="D2752" s="0" t="n">
        <v>1</v>
      </c>
    </row>
    <row r="2753" customFormat="false" ht="15" hidden="false" customHeight="false" outlineLevel="0" collapsed="false">
      <c r="A2753" s="0" t="n">
        <v>2752</v>
      </c>
      <c r="B2753" s="18" t="n">
        <v>905960.323682841</v>
      </c>
      <c r="C2753" s="18" t="n">
        <v>1021244.04003814</v>
      </c>
      <c r="D2753" s="0" t="n">
        <v>1</v>
      </c>
    </row>
    <row r="2754" customFormat="false" ht="15" hidden="false" customHeight="false" outlineLevel="0" collapsed="false">
      <c r="A2754" s="0" t="n">
        <v>2753</v>
      </c>
      <c r="B2754" s="18" t="n">
        <v>529734.837697696</v>
      </c>
      <c r="C2754" s="18" t="n">
        <v>0</v>
      </c>
      <c r="D2754" s="0" t="n">
        <v>0</v>
      </c>
      <c r="E2754" s="19" t="n">
        <v>38.0833333333333</v>
      </c>
    </row>
    <row r="2755" customFormat="false" ht="15" hidden="false" customHeight="false" outlineLevel="0" collapsed="false">
      <c r="A2755" s="0" t="n">
        <v>2754</v>
      </c>
      <c r="B2755" s="18" t="n">
        <v>299799.239698887</v>
      </c>
      <c r="C2755" s="18" t="n">
        <v>0</v>
      </c>
      <c r="D2755" s="0" t="n">
        <v>0</v>
      </c>
      <c r="E2755" s="19" t="n">
        <v>29</v>
      </c>
    </row>
    <row r="2756" customFormat="false" ht="15" hidden="false" customHeight="false" outlineLevel="0" collapsed="false">
      <c r="A2756" s="0" t="n">
        <v>2755</v>
      </c>
      <c r="B2756" s="18" t="n">
        <v>938859.87185547</v>
      </c>
      <c r="C2756" s="18" t="n">
        <v>46878.4774855714</v>
      </c>
      <c r="D2756" s="0" t="n">
        <v>1</v>
      </c>
    </row>
    <row r="2757" customFormat="false" ht="15" hidden="false" customHeight="false" outlineLevel="0" collapsed="false">
      <c r="A2757" s="0" t="n">
        <v>2756</v>
      </c>
      <c r="B2757" s="18" t="n">
        <v>1338792.85350819</v>
      </c>
      <c r="C2757" s="18" t="n">
        <v>6178722.38621816</v>
      </c>
      <c r="D2757" s="0" t="n">
        <v>1</v>
      </c>
    </row>
    <row r="2758" customFormat="false" ht="15" hidden="false" customHeight="false" outlineLevel="0" collapsed="false">
      <c r="A2758" s="0" t="n">
        <v>2757</v>
      </c>
      <c r="B2758" s="18" t="n">
        <v>1007806.77911745</v>
      </c>
      <c r="C2758" s="18" t="n">
        <v>503238.683538507</v>
      </c>
      <c r="D2758" s="0" t="n">
        <v>1</v>
      </c>
    </row>
    <row r="2759" customFormat="false" ht="15" hidden="false" customHeight="false" outlineLevel="0" collapsed="false">
      <c r="A2759" s="0" t="n">
        <v>2758</v>
      </c>
      <c r="B2759" s="18" t="n">
        <v>1245070.88482244</v>
      </c>
      <c r="C2759" s="18" t="n">
        <v>293143.73249386</v>
      </c>
      <c r="D2759" s="0" t="n">
        <v>1</v>
      </c>
    </row>
    <row r="2760" customFormat="false" ht="15" hidden="false" customHeight="false" outlineLevel="0" collapsed="false">
      <c r="A2760" s="0" t="n">
        <v>2759</v>
      </c>
      <c r="B2760" s="18" t="n">
        <v>2441369.53122732</v>
      </c>
      <c r="C2760" s="18" t="n">
        <v>9559525.84733073</v>
      </c>
      <c r="D2760" s="0" t="n">
        <v>1</v>
      </c>
    </row>
    <row r="2761" customFormat="false" ht="15" hidden="false" customHeight="false" outlineLevel="0" collapsed="false">
      <c r="A2761" s="0" t="n">
        <v>2760</v>
      </c>
      <c r="B2761" s="18" t="n">
        <v>809607.169335154</v>
      </c>
      <c r="C2761" s="18" t="n">
        <v>0</v>
      </c>
      <c r="D2761" s="0" t="n">
        <v>0</v>
      </c>
      <c r="E2761" s="19" t="n">
        <v>43.1666666666667</v>
      </c>
    </row>
    <row r="2762" customFormat="false" ht="15" hidden="false" customHeight="false" outlineLevel="0" collapsed="false">
      <c r="A2762" s="0" t="n">
        <v>2761</v>
      </c>
      <c r="B2762" s="18" t="n">
        <v>540094.390833821</v>
      </c>
      <c r="C2762" s="18" t="n">
        <v>0</v>
      </c>
      <c r="D2762" s="0" t="n">
        <v>0</v>
      </c>
      <c r="E2762" s="19" t="n">
        <v>33.3333333333333</v>
      </c>
    </row>
    <row r="2763" customFormat="false" ht="15" hidden="false" customHeight="false" outlineLevel="0" collapsed="false">
      <c r="A2763" s="0" t="n">
        <v>2762</v>
      </c>
      <c r="B2763" s="18" t="n">
        <v>668177.517552698</v>
      </c>
      <c r="C2763" s="18" t="n">
        <v>0</v>
      </c>
      <c r="D2763" s="0" t="n">
        <v>0</v>
      </c>
      <c r="E2763" s="19" t="n">
        <v>35.4166666666667</v>
      </c>
    </row>
    <row r="2764" customFormat="false" ht="15" hidden="false" customHeight="false" outlineLevel="0" collapsed="false">
      <c r="A2764" s="0" t="n">
        <v>2763</v>
      </c>
      <c r="B2764" s="18" t="n">
        <v>713277.617567327</v>
      </c>
      <c r="C2764" s="18" t="n">
        <v>0</v>
      </c>
      <c r="D2764" s="0" t="n">
        <v>0</v>
      </c>
      <c r="E2764" s="19" t="n">
        <v>37.3333333333333</v>
      </c>
    </row>
    <row r="2765" customFormat="false" ht="15" hidden="false" customHeight="false" outlineLevel="0" collapsed="false">
      <c r="A2765" s="0" t="n">
        <v>2764</v>
      </c>
      <c r="B2765" s="18" t="n">
        <v>1199977.1237516</v>
      </c>
      <c r="C2765" s="18" t="n">
        <v>0</v>
      </c>
      <c r="D2765" s="0" t="n">
        <v>0</v>
      </c>
      <c r="E2765" s="19" t="n">
        <v>44.1666666666667</v>
      </c>
    </row>
    <row r="2766" customFormat="false" ht="15" hidden="false" customHeight="false" outlineLevel="0" collapsed="false">
      <c r="A2766" s="0" t="n">
        <v>2765</v>
      </c>
      <c r="B2766" s="18" t="n">
        <v>592403.53711373</v>
      </c>
      <c r="C2766" s="18" t="n">
        <v>0</v>
      </c>
      <c r="D2766" s="0" t="n">
        <v>0</v>
      </c>
      <c r="E2766" s="19" t="n">
        <v>34</v>
      </c>
    </row>
    <row r="2767" customFormat="false" ht="15" hidden="false" customHeight="false" outlineLevel="0" collapsed="false">
      <c r="A2767" s="0" t="n">
        <v>2766</v>
      </c>
      <c r="B2767" s="18" t="n">
        <v>6793044.75965719</v>
      </c>
      <c r="C2767" s="18" t="n">
        <v>10339638.3019405</v>
      </c>
      <c r="D2767" s="0" t="n">
        <v>1</v>
      </c>
    </row>
    <row r="2768" customFormat="false" ht="15" hidden="false" customHeight="false" outlineLevel="0" collapsed="false">
      <c r="A2768" s="0" t="n">
        <v>2767</v>
      </c>
      <c r="B2768" s="18" t="n">
        <v>933811.620663719</v>
      </c>
      <c r="C2768" s="18" t="n">
        <v>0</v>
      </c>
      <c r="D2768" s="0" t="n">
        <v>0</v>
      </c>
      <c r="E2768" s="19" t="n">
        <v>52.6666666666667</v>
      </c>
    </row>
    <row r="2769" customFormat="false" ht="15" hidden="false" customHeight="false" outlineLevel="0" collapsed="false">
      <c r="A2769" s="0" t="n">
        <v>2768</v>
      </c>
      <c r="B2769" s="18" t="n">
        <v>652142.761279658</v>
      </c>
      <c r="C2769" s="18" t="n">
        <v>0</v>
      </c>
      <c r="D2769" s="0" t="n">
        <v>0</v>
      </c>
      <c r="E2769" s="19" t="n">
        <v>33.8333333333333</v>
      </c>
    </row>
    <row r="2770" customFormat="false" ht="15" hidden="false" customHeight="false" outlineLevel="0" collapsed="false">
      <c r="A2770" s="0" t="n">
        <v>2769</v>
      </c>
      <c r="B2770" s="18" t="n">
        <v>1597506.75004184</v>
      </c>
      <c r="C2770" s="18" t="n">
        <v>282313.354796588</v>
      </c>
      <c r="D2770" s="0" t="n">
        <v>1</v>
      </c>
    </row>
    <row r="2771" customFormat="false" ht="15" hidden="false" customHeight="false" outlineLevel="0" collapsed="false">
      <c r="A2771" s="0" t="n">
        <v>2770</v>
      </c>
      <c r="B2771" s="18" t="n">
        <v>410630.308244258</v>
      </c>
      <c r="C2771" s="18" t="n">
        <v>0</v>
      </c>
      <c r="D2771" s="0" t="n">
        <v>0</v>
      </c>
      <c r="E2771" s="19" t="n">
        <v>38.0833333333333</v>
      </c>
    </row>
    <row r="2772" customFormat="false" ht="15" hidden="false" customHeight="false" outlineLevel="0" collapsed="false">
      <c r="A2772" s="0" t="n">
        <v>2771</v>
      </c>
      <c r="B2772" s="18" t="n">
        <v>733752.907160988</v>
      </c>
      <c r="C2772" s="18" t="n">
        <v>0</v>
      </c>
      <c r="D2772" s="0" t="n">
        <v>0</v>
      </c>
      <c r="E2772" s="19" t="n">
        <v>43</v>
      </c>
    </row>
    <row r="2773" customFormat="false" ht="15" hidden="false" customHeight="false" outlineLevel="0" collapsed="false">
      <c r="A2773" s="0" t="n">
        <v>2772</v>
      </c>
      <c r="B2773" s="18" t="n">
        <v>293911.851887107</v>
      </c>
      <c r="C2773" s="18" t="n">
        <v>0</v>
      </c>
      <c r="D2773" s="0" t="n">
        <v>0</v>
      </c>
      <c r="E2773" s="19" t="n">
        <v>31.3333333333333</v>
      </c>
    </row>
    <row r="2774" customFormat="false" ht="15" hidden="false" customHeight="false" outlineLevel="0" collapsed="false">
      <c r="A2774" s="0" t="n">
        <v>2773</v>
      </c>
      <c r="B2774" s="18" t="n">
        <v>616075.402361896</v>
      </c>
      <c r="C2774" s="18" t="n">
        <v>0</v>
      </c>
      <c r="D2774" s="0" t="n">
        <v>0</v>
      </c>
      <c r="E2774" s="19" t="n">
        <v>33.5</v>
      </c>
    </row>
    <row r="2775" customFormat="false" ht="15" hidden="false" customHeight="false" outlineLevel="0" collapsed="false">
      <c r="A2775" s="0" t="n">
        <v>2774</v>
      </c>
      <c r="B2775" s="18" t="n">
        <v>651354.789550757</v>
      </c>
      <c r="C2775" s="18" t="n">
        <v>860910.889774471</v>
      </c>
      <c r="D2775" s="0" t="n">
        <v>1</v>
      </c>
    </row>
    <row r="2776" customFormat="false" ht="15" hidden="false" customHeight="false" outlineLevel="0" collapsed="false">
      <c r="A2776" s="0" t="n">
        <v>2775</v>
      </c>
      <c r="B2776" s="18" t="n">
        <v>1174565.96441322</v>
      </c>
      <c r="C2776" s="18" t="n">
        <v>4804980.75734517</v>
      </c>
      <c r="D2776" s="0" t="n">
        <v>1</v>
      </c>
    </row>
    <row r="2777" customFormat="false" ht="15" hidden="false" customHeight="false" outlineLevel="0" collapsed="false">
      <c r="A2777" s="0" t="n">
        <v>2776</v>
      </c>
      <c r="B2777" s="18" t="n">
        <v>1148422.93455328</v>
      </c>
      <c r="C2777" s="18" t="n">
        <v>0</v>
      </c>
      <c r="D2777" s="0" t="n">
        <v>0</v>
      </c>
      <c r="E2777" s="19" t="n">
        <v>52.5</v>
      </c>
    </row>
    <row r="2778" customFormat="false" ht="15" hidden="false" customHeight="false" outlineLevel="0" collapsed="false">
      <c r="A2778" s="0" t="n">
        <v>2777</v>
      </c>
      <c r="B2778" s="18" t="n">
        <v>539975.140937674</v>
      </c>
      <c r="C2778" s="18" t="n">
        <v>0</v>
      </c>
      <c r="D2778" s="0" t="n">
        <v>0</v>
      </c>
      <c r="E2778" s="19" t="n">
        <v>34.5</v>
      </c>
    </row>
    <row r="2779" customFormat="false" ht="15" hidden="false" customHeight="false" outlineLevel="0" collapsed="false">
      <c r="A2779" s="0" t="n">
        <v>2778</v>
      </c>
      <c r="B2779" s="18" t="n">
        <v>993657.209626641</v>
      </c>
      <c r="C2779" s="18" t="n">
        <v>0</v>
      </c>
      <c r="D2779" s="0" t="n">
        <v>0</v>
      </c>
      <c r="E2779" s="19" t="n">
        <v>46.5833333333333</v>
      </c>
    </row>
    <row r="2780" customFormat="false" ht="15" hidden="false" customHeight="false" outlineLevel="0" collapsed="false">
      <c r="A2780" s="0" t="n">
        <v>2779</v>
      </c>
      <c r="B2780" s="18" t="n">
        <v>2710597.9166025</v>
      </c>
      <c r="C2780" s="18" t="n">
        <v>374311.242400111</v>
      </c>
      <c r="D2780" s="0" t="n">
        <v>1</v>
      </c>
    </row>
    <row r="2781" customFormat="false" ht="15" hidden="false" customHeight="false" outlineLevel="0" collapsed="false">
      <c r="A2781" s="0" t="n">
        <v>2780</v>
      </c>
      <c r="B2781" s="18" t="n">
        <v>2019811.01680651</v>
      </c>
      <c r="C2781" s="18" t="n">
        <v>789013.065141699</v>
      </c>
      <c r="D2781" s="0" t="n">
        <v>1</v>
      </c>
    </row>
    <row r="2782" customFormat="false" ht="15" hidden="false" customHeight="false" outlineLevel="0" collapsed="false">
      <c r="A2782" s="0" t="n">
        <v>2781</v>
      </c>
      <c r="B2782" s="18" t="n">
        <v>2065534.8118065</v>
      </c>
      <c r="C2782" s="18" t="n">
        <v>14538722.7643055</v>
      </c>
      <c r="D2782" s="0" t="n">
        <v>1</v>
      </c>
    </row>
    <row r="2783" customFormat="false" ht="15" hidden="false" customHeight="false" outlineLevel="0" collapsed="false">
      <c r="A2783" s="0" t="n">
        <v>2782</v>
      </c>
      <c r="B2783" s="18" t="n">
        <v>1066494.84065761</v>
      </c>
      <c r="C2783" s="18" t="n">
        <v>0</v>
      </c>
      <c r="D2783" s="0" t="n">
        <v>0</v>
      </c>
      <c r="E2783" s="19" t="n">
        <v>39.1666666666667</v>
      </c>
    </row>
    <row r="2784" customFormat="false" ht="15" hidden="false" customHeight="false" outlineLevel="0" collapsed="false">
      <c r="A2784" s="0" t="n">
        <v>2783</v>
      </c>
      <c r="B2784" s="18" t="n">
        <v>2206232.28482932</v>
      </c>
      <c r="C2784" s="18" t="n">
        <v>7946375.77825963</v>
      </c>
      <c r="D2784" s="0" t="n">
        <v>1</v>
      </c>
    </row>
    <row r="2785" customFormat="false" ht="15" hidden="false" customHeight="false" outlineLevel="0" collapsed="false">
      <c r="A2785" s="0" t="n">
        <v>2784</v>
      </c>
      <c r="B2785" s="18" t="n">
        <v>986051.205417197</v>
      </c>
      <c r="C2785" s="18" t="n">
        <v>5307302.20182197</v>
      </c>
      <c r="D2785" s="0" t="n">
        <v>1</v>
      </c>
    </row>
    <row r="2786" customFormat="false" ht="15" hidden="false" customHeight="false" outlineLevel="0" collapsed="false">
      <c r="A2786" s="0" t="n">
        <v>2785</v>
      </c>
      <c r="B2786" s="18" t="n">
        <v>741275.833900682</v>
      </c>
      <c r="C2786" s="18" t="n">
        <v>0</v>
      </c>
      <c r="D2786" s="0" t="n">
        <v>0</v>
      </c>
      <c r="E2786" s="19" t="n">
        <v>47.4166666666667</v>
      </c>
    </row>
    <row r="2787" customFormat="false" ht="15" hidden="false" customHeight="false" outlineLevel="0" collapsed="false">
      <c r="A2787" s="0" t="n">
        <v>2786</v>
      </c>
      <c r="B2787" s="18" t="n">
        <v>733863.349212009</v>
      </c>
      <c r="C2787" s="18" t="n">
        <v>0</v>
      </c>
      <c r="D2787" s="0" t="n">
        <v>0</v>
      </c>
      <c r="E2787" s="19" t="n">
        <v>44.25</v>
      </c>
    </row>
    <row r="2788" customFormat="false" ht="15" hidden="false" customHeight="false" outlineLevel="0" collapsed="false">
      <c r="A2788" s="0" t="n">
        <v>2787</v>
      </c>
      <c r="B2788" s="18" t="n">
        <v>948930.040743532</v>
      </c>
      <c r="C2788" s="18" t="n">
        <v>0</v>
      </c>
      <c r="D2788" s="0" t="n">
        <v>0</v>
      </c>
      <c r="E2788" s="19" t="n">
        <v>43.4166666666667</v>
      </c>
    </row>
    <row r="2789" customFormat="false" ht="15" hidden="false" customHeight="false" outlineLevel="0" collapsed="false">
      <c r="A2789" s="0" t="n">
        <v>2788</v>
      </c>
      <c r="B2789" s="18" t="n">
        <v>902158.73415136</v>
      </c>
      <c r="C2789" s="18" t="n">
        <v>0</v>
      </c>
      <c r="D2789" s="0" t="n">
        <v>0</v>
      </c>
      <c r="E2789" s="19" t="n">
        <v>42.4166666666667</v>
      </c>
    </row>
    <row r="2790" customFormat="false" ht="15" hidden="false" customHeight="false" outlineLevel="0" collapsed="false">
      <c r="A2790" s="0" t="n">
        <v>2789</v>
      </c>
      <c r="B2790" s="18" t="n">
        <v>603072.830957679</v>
      </c>
      <c r="C2790" s="18" t="n">
        <v>0</v>
      </c>
      <c r="D2790" s="0" t="n">
        <v>0</v>
      </c>
      <c r="E2790" s="19" t="n">
        <v>38.1666666666667</v>
      </c>
    </row>
    <row r="2791" customFormat="false" ht="15" hidden="false" customHeight="false" outlineLevel="0" collapsed="false">
      <c r="A2791" s="0" t="n">
        <v>2790</v>
      </c>
      <c r="B2791" s="18" t="n">
        <v>827938.884649158</v>
      </c>
      <c r="C2791" s="18" t="n">
        <v>375805.271828873</v>
      </c>
      <c r="D2791" s="0" t="n">
        <v>1</v>
      </c>
    </row>
    <row r="2792" customFormat="false" ht="15" hidden="false" customHeight="false" outlineLevel="0" collapsed="false">
      <c r="A2792" s="0" t="n">
        <v>2791</v>
      </c>
      <c r="B2792" s="18" t="n">
        <v>727726.546502777</v>
      </c>
      <c r="C2792" s="18" t="n">
        <v>0</v>
      </c>
      <c r="D2792" s="0" t="n">
        <v>0</v>
      </c>
      <c r="E2792" s="19" t="n">
        <v>45</v>
      </c>
    </row>
    <row r="2793" customFormat="false" ht="15" hidden="false" customHeight="false" outlineLevel="0" collapsed="false">
      <c r="A2793" s="0" t="n">
        <v>2792</v>
      </c>
      <c r="B2793" s="18" t="n">
        <v>1911356.45116863</v>
      </c>
      <c r="C2793" s="18" t="n">
        <v>4715233.96848443</v>
      </c>
      <c r="D2793" s="0" t="n">
        <v>1</v>
      </c>
    </row>
    <row r="2794" customFormat="false" ht="15" hidden="false" customHeight="false" outlineLevel="0" collapsed="false">
      <c r="A2794" s="0" t="n">
        <v>2793</v>
      </c>
      <c r="B2794" s="18" t="n">
        <v>961446.815923194</v>
      </c>
      <c r="C2794" s="18" t="n">
        <v>2475735.35725147</v>
      </c>
      <c r="D2794" s="0" t="n">
        <v>1</v>
      </c>
    </row>
    <row r="2795" customFormat="false" ht="15" hidden="false" customHeight="false" outlineLevel="0" collapsed="false">
      <c r="A2795" s="0" t="n">
        <v>2794</v>
      </c>
      <c r="B2795" s="18" t="n">
        <v>449944.413057798</v>
      </c>
      <c r="C2795" s="18" t="n">
        <v>0</v>
      </c>
      <c r="D2795" s="0" t="n">
        <v>0</v>
      </c>
      <c r="E2795" s="19" t="n">
        <v>31.5</v>
      </c>
    </row>
    <row r="2796" customFormat="false" ht="15" hidden="false" customHeight="false" outlineLevel="0" collapsed="false">
      <c r="A2796" s="0" t="n">
        <v>2795</v>
      </c>
      <c r="B2796" s="18" t="n">
        <v>861352.651700878</v>
      </c>
      <c r="C2796" s="18" t="n">
        <v>0</v>
      </c>
      <c r="D2796" s="0" t="n">
        <v>0</v>
      </c>
      <c r="E2796" s="19" t="n">
        <v>49.25</v>
      </c>
    </row>
    <row r="2797" customFormat="false" ht="15" hidden="false" customHeight="false" outlineLevel="0" collapsed="false">
      <c r="A2797" s="0" t="n">
        <v>2796</v>
      </c>
      <c r="B2797" s="18" t="n">
        <v>2401004.15613373</v>
      </c>
      <c r="C2797" s="18" t="n">
        <v>25567743.4300537</v>
      </c>
      <c r="D2797" s="0" t="n">
        <v>1</v>
      </c>
    </row>
    <row r="2798" customFormat="false" ht="15" hidden="false" customHeight="false" outlineLevel="0" collapsed="false">
      <c r="A2798" s="0" t="n">
        <v>2797</v>
      </c>
      <c r="B2798" s="18" t="n">
        <v>1125628.32563486</v>
      </c>
      <c r="C2798" s="18" t="n">
        <v>0</v>
      </c>
      <c r="D2798" s="0" t="n">
        <v>0</v>
      </c>
      <c r="E2798" s="19" t="n">
        <v>44.9166666666667</v>
      </c>
    </row>
    <row r="2799" customFormat="false" ht="15" hidden="false" customHeight="false" outlineLevel="0" collapsed="false">
      <c r="A2799" s="0" t="n">
        <v>2798</v>
      </c>
      <c r="B2799" s="18" t="n">
        <v>975606.772834206</v>
      </c>
      <c r="C2799" s="18" t="n">
        <v>0</v>
      </c>
      <c r="D2799" s="0" t="n">
        <v>0</v>
      </c>
      <c r="E2799" s="19" t="n">
        <v>51.75</v>
      </c>
    </row>
    <row r="2800" customFormat="false" ht="15" hidden="false" customHeight="false" outlineLevel="0" collapsed="false">
      <c r="A2800" s="0" t="n">
        <v>2799</v>
      </c>
      <c r="B2800" s="18" t="n">
        <v>668476.391898886</v>
      </c>
      <c r="C2800" s="18" t="n">
        <v>1255307.74653481</v>
      </c>
      <c r="D2800" s="0" t="n">
        <v>1</v>
      </c>
    </row>
    <row r="2801" customFormat="false" ht="15" hidden="false" customHeight="false" outlineLevel="0" collapsed="false">
      <c r="A2801" s="0" t="n">
        <v>2800</v>
      </c>
      <c r="B2801" s="18" t="n">
        <v>1039488.54991786</v>
      </c>
      <c r="C2801" s="18" t="n">
        <v>0</v>
      </c>
      <c r="D2801" s="0" t="n">
        <v>0</v>
      </c>
      <c r="E2801" s="19" t="n">
        <v>49</v>
      </c>
    </row>
    <row r="2802" customFormat="false" ht="15" hidden="false" customHeight="false" outlineLevel="0" collapsed="false">
      <c r="A2802" s="0" t="n">
        <v>2801</v>
      </c>
      <c r="B2802" s="18" t="n">
        <v>1071515.47026443</v>
      </c>
      <c r="C2802" s="18" t="n">
        <v>0</v>
      </c>
      <c r="D2802" s="0" t="n">
        <v>0</v>
      </c>
      <c r="E2802" s="19" t="n">
        <v>46.0833333333333</v>
      </c>
    </row>
    <row r="2803" customFormat="false" ht="15" hidden="false" customHeight="false" outlineLevel="0" collapsed="false">
      <c r="A2803" s="0" t="n">
        <v>2802</v>
      </c>
      <c r="B2803" s="18" t="n">
        <v>296950.423834995</v>
      </c>
      <c r="C2803" s="18" t="n">
        <v>0</v>
      </c>
      <c r="D2803" s="0" t="n">
        <v>0</v>
      </c>
      <c r="E2803" s="19" t="n">
        <v>29.8333333333333</v>
      </c>
    </row>
    <row r="2804" customFormat="false" ht="15" hidden="false" customHeight="false" outlineLevel="0" collapsed="false">
      <c r="A2804" s="0" t="n">
        <v>2803</v>
      </c>
      <c r="B2804" s="18" t="n">
        <v>3478447.86858292</v>
      </c>
      <c r="C2804" s="18" t="n">
        <v>66551625.6689261</v>
      </c>
      <c r="D2804" s="0" t="n">
        <v>1</v>
      </c>
    </row>
    <row r="2805" customFormat="false" ht="15" hidden="false" customHeight="false" outlineLevel="0" collapsed="false">
      <c r="A2805" s="0" t="n">
        <v>2804</v>
      </c>
      <c r="B2805" s="18" t="n">
        <v>641336.813776014</v>
      </c>
      <c r="C2805" s="18" t="n">
        <v>0</v>
      </c>
      <c r="D2805" s="0" t="n">
        <v>0</v>
      </c>
      <c r="E2805" s="19" t="n">
        <v>48.25</v>
      </c>
    </row>
    <row r="2806" customFormat="false" ht="15" hidden="false" customHeight="false" outlineLevel="0" collapsed="false">
      <c r="A2806" s="0" t="n">
        <v>2805</v>
      </c>
      <c r="B2806" s="18" t="n">
        <v>948318.917168054</v>
      </c>
      <c r="C2806" s="18" t="n">
        <v>0</v>
      </c>
      <c r="D2806" s="0" t="n">
        <v>0</v>
      </c>
      <c r="E2806" s="19" t="n">
        <v>40.3333333333333</v>
      </c>
    </row>
    <row r="2807" customFormat="false" ht="15" hidden="false" customHeight="false" outlineLevel="0" collapsed="false">
      <c r="A2807" s="0" t="n">
        <v>2806</v>
      </c>
      <c r="B2807" s="18" t="n">
        <v>1422601.94534602</v>
      </c>
      <c r="C2807" s="18" t="n">
        <v>13835172.3585221</v>
      </c>
      <c r="D2807" s="0" t="n">
        <v>1</v>
      </c>
    </row>
    <row r="2808" customFormat="false" ht="15" hidden="false" customHeight="false" outlineLevel="0" collapsed="false">
      <c r="A2808" s="0" t="n">
        <v>2807</v>
      </c>
      <c r="B2808" s="18" t="n">
        <v>779124.552037874</v>
      </c>
      <c r="C2808" s="18" t="n">
        <v>0</v>
      </c>
      <c r="D2808" s="0" t="n">
        <v>0</v>
      </c>
      <c r="E2808" s="19" t="n">
        <v>39.6666666666667</v>
      </c>
    </row>
    <row r="2809" customFormat="false" ht="15" hidden="false" customHeight="false" outlineLevel="0" collapsed="false">
      <c r="A2809" s="0" t="n">
        <v>2808</v>
      </c>
      <c r="B2809" s="18" t="n">
        <v>1575490.92149647</v>
      </c>
      <c r="C2809" s="18" t="n">
        <v>4955964.71207899</v>
      </c>
      <c r="D2809" s="0" t="n">
        <v>1</v>
      </c>
    </row>
    <row r="2810" customFormat="false" ht="15" hidden="false" customHeight="false" outlineLevel="0" collapsed="false">
      <c r="A2810" s="0" t="n">
        <v>2809</v>
      </c>
      <c r="B2810" s="18" t="n">
        <v>340950.843452103</v>
      </c>
      <c r="C2810" s="18" t="n">
        <v>0</v>
      </c>
      <c r="D2810" s="0" t="n">
        <v>0</v>
      </c>
      <c r="E2810" s="19" t="n">
        <v>33.9166666666667</v>
      </c>
    </row>
    <row r="2811" customFormat="false" ht="15" hidden="false" customHeight="false" outlineLevel="0" collapsed="false">
      <c r="A2811" s="0" t="n">
        <v>2810</v>
      </c>
      <c r="B2811" s="18" t="n">
        <v>498896.2906832</v>
      </c>
      <c r="C2811" s="18" t="n">
        <v>0</v>
      </c>
      <c r="D2811" s="0" t="n">
        <v>0</v>
      </c>
      <c r="E2811" s="19" t="n">
        <v>34.8333333333333</v>
      </c>
    </row>
    <row r="2812" customFormat="false" ht="15" hidden="false" customHeight="false" outlineLevel="0" collapsed="false">
      <c r="A2812" s="0" t="n">
        <v>2811</v>
      </c>
      <c r="B2812" s="18" t="n">
        <v>898398.777505193</v>
      </c>
      <c r="C2812" s="18" t="n">
        <v>0</v>
      </c>
      <c r="D2812" s="0" t="n">
        <v>0</v>
      </c>
      <c r="E2812" s="19" t="n">
        <v>36.1666666666667</v>
      </c>
    </row>
    <row r="2813" customFormat="false" ht="15" hidden="false" customHeight="false" outlineLevel="0" collapsed="false">
      <c r="A2813" s="0" t="n">
        <v>2812</v>
      </c>
      <c r="B2813" s="18" t="n">
        <v>451481.019370298</v>
      </c>
      <c r="C2813" s="18" t="n">
        <v>0</v>
      </c>
      <c r="D2813" s="0" t="n">
        <v>0</v>
      </c>
      <c r="E2813" s="19" t="n">
        <v>38.6666666666667</v>
      </c>
    </row>
    <row r="2814" customFormat="false" ht="15" hidden="false" customHeight="false" outlineLevel="0" collapsed="false">
      <c r="A2814" s="0" t="n">
        <v>2813</v>
      </c>
      <c r="B2814" s="18" t="n">
        <v>348979.773030766</v>
      </c>
      <c r="C2814" s="18" t="n">
        <v>0</v>
      </c>
      <c r="D2814" s="0" t="n">
        <v>0</v>
      </c>
      <c r="E2814" s="19" t="n">
        <v>32.0833333333333</v>
      </c>
    </row>
    <row r="2815" customFormat="false" ht="15" hidden="false" customHeight="false" outlineLevel="0" collapsed="false">
      <c r="A2815" s="0" t="n">
        <v>2814</v>
      </c>
      <c r="B2815" s="18" t="n">
        <v>1156547.27501054</v>
      </c>
      <c r="C2815" s="18" t="n">
        <v>0</v>
      </c>
      <c r="D2815" s="0" t="n">
        <v>0</v>
      </c>
      <c r="E2815" s="19" t="n">
        <v>44.3333333333333</v>
      </c>
    </row>
    <row r="2816" customFormat="false" ht="15" hidden="false" customHeight="false" outlineLevel="0" collapsed="false">
      <c r="A2816" s="0" t="n">
        <v>2815</v>
      </c>
      <c r="B2816" s="18" t="n">
        <v>2883188.8020586</v>
      </c>
      <c r="C2816" s="18" t="n">
        <v>7693383.93822874</v>
      </c>
      <c r="D2816" s="0" t="n">
        <v>1</v>
      </c>
    </row>
    <row r="2817" customFormat="false" ht="15" hidden="false" customHeight="false" outlineLevel="0" collapsed="false">
      <c r="A2817" s="0" t="n">
        <v>2816</v>
      </c>
      <c r="B2817" s="18" t="n">
        <v>369681.258832391</v>
      </c>
      <c r="C2817" s="18" t="n">
        <v>0</v>
      </c>
      <c r="D2817" s="0" t="n">
        <v>0</v>
      </c>
      <c r="E2817" s="19" t="n">
        <v>29.1666666666667</v>
      </c>
    </row>
    <row r="2818" customFormat="false" ht="15" hidden="false" customHeight="false" outlineLevel="0" collapsed="false">
      <c r="A2818" s="0" t="n">
        <v>2817</v>
      </c>
      <c r="B2818" s="18" t="n">
        <v>741532.067876147</v>
      </c>
      <c r="C2818" s="18" t="n">
        <v>0</v>
      </c>
      <c r="D2818" s="0" t="n">
        <v>0</v>
      </c>
      <c r="E2818" s="19" t="n">
        <v>36.1666666666667</v>
      </c>
    </row>
    <row r="2819" customFormat="false" ht="15" hidden="false" customHeight="false" outlineLevel="0" collapsed="false">
      <c r="A2819" s="0" t="n">
        <v>2818</v>
      </c>
      <c r="B2819" s="18" t="n">
        <v>965824.67955056</v>
      </c>
      <c r="C2819" s="18" t="n">
        <v>2554168.47640281</v>
      </c>
      <c r="D2819" s="0" t="n">
        <v>1</v>
      </c>
    </row>
    <row r="2820" customFormat="false" ht="15" hidden="false" customHeight="false" outlineLevel="0" collapsed="false">
      <c r="A2820" s="0" t="n">
        <v>2819</v>
      </c>
      <c r="B2820" s="18" t="n">
        <v>1415240.47819018</v>
      </c>
      <c r="C2820" s="18" t="n">
        <v>5548232.09524909</v>
      </c>
      <c r="D2820" s="0" t="n">
        <v>1</v>
      </c>
    </row>
    <row r="2821" customFormat="false" ht="15" hidden="false" customHeight="false" outlineLevel="0" collapsed="false">
      <c r="A2821" s="0" t="n">
        <v>2820</v>
      </c>
      <c r="B2821" s="18" t="n">
        <v>876816.388071846</v>
      </c>
      <c r="C2821" s="18" t="n">
        <v>0</v>
      </c>
      <c r="D2821" s="0" t="n">
        <v>0</v>
      </c>
      <c r="E2821" s="19" t="n">
        <v>45.6666666666667</v>
      </c>
    </row>
    <row r="2822" customFormat="false" ht="15" hidden="false" customHeight="false" outlineLevel="0" collapsed="false">
      <c r="A2822" s="0" t="n">
        <v>2821</v>
      </c>
      <c r="B2822" s="18" t="n">
        <v>661538.566834806</v>
      </c>
      <c r="C2822" s="18" t="n">
        <v>0</v>
      </c>
      <c r="D2822" s="0" t="n">
        <v>0</v>
      </c>
      <c r="E2822" s="19" t="n">
        <v>39</v>
      </c>
    </row>
    <row r="2823" customFormat="false" ht="15" hidden="false" customHeight="false" outlineLevel="0" collapsed="false">
      <c r="A2823" s="0" t="n">
        <v>2822</v>
      </c>
      <c r="B2823" s="18" t="n">
        <v>1158603.89703691</v>
      </c>
      <c r="C2823" s="18" t="n">
        <v>0</v>
      </c>
      <c r="D2823" s="0" t="n">
        <v>0</v>
      </c>
      <c r="E2823" s="19" t="n">
        <v>50.75</v>
      </c>
    </row>
    <row r="2824" customFormat="false" ht="15" hidden="false" customHeight="false" outlineLevel="0" collapsed="false">
      <c r="A2824" s="0" t="n">
        <v>2823</v>
      </c>
      <c r="B2824" s="18" t="n">
        <v>450201.690979596</v>
      </c>
      <c r="C2824" s="18" t="n">
        <v>0</v>
      </c>
      <c r="D2824" s="0" t="n">
        <v>0</v>
      </c>
      <c r="E2824" s="19" t="n">
        <v>32.4166666666667</v>
      </c>
    </row>
    <row r="2825" customFormat="false" ht="15" hidden="false" customHeight="false" outlineLevel="0" collapsed="false">
      <c r="A2825" s="0" t="n">
        <v>2824</v>
      </c>
      <c r="B2825" s="18" t="n">
        <v>1135581.55634439</v>
      </c>
      <c r="C2825" s="18" t="n">
        <v>1347353.33917041</v>
      </c>
      <c r="D2825" s="0" t="n">
        <v>1</v>
      </c>
    </row>
    <row r="2826" customFormat="false" ht="15" hidden="false" customHeight="false" outlineLevel="0" collapsed="false">
      <c r="A2826" s="0" t="n">
        <v>2825</v>
      </c>
      <c r="B2826" s="18" t="n">
        <v>1131961.11003031</v>
      </c>
      <c r="C2826" s="18" t="n">
        <v>909490.516522809</v>
      </c>
      <c r="D2826" s="0" t="n">
        <v>1</v>
      </c>
    </row>
    <row r="2827" customFormat="false" ht="15" hidden="false" customHeight="false" outlineLevel="0" collapsed="false">
      <c r="A2827" s="0" t="n">
        <v>2826</v>
      </c>
      <c r="B2827" s="18" t="n">
        <v>990659.82381763</v>
      </c>
      <c r="C2827" s="18" t="n">
        <v>4808791.56567407</v>
      </c>
      <c r="D2827" s="0" t="n">
        <v>1</v>
      </c>
    </row>
    <row r="2828" customFormat="false" ht="15" hidden="false" customHeight="false" outlineLevel="0" collapsed="false">
      <c r="A2828" s="0" t="n">
        <v>2827</v>
      </c>
      <c r="B2828" s="18" t="n">
        <v>1089886.92659218</v>
      </c>
      <c r="C2828" s="18" t="n">
        <v>86200.4714394387</v>
      </c>
      <c r="D2828" s="0" t="n">
        <v>1</v>
      </c>
    </row>
    <row r="2829" customFormat="false" ht="15" hidden="false" customHeight="false" outlineLevel="0" collapsed="false">
      <c r="A2829" s="0" t="n">
        <v>2828</v>
      </c>
      <c r="B2829" s="18" t="n">
        <v>320632.760449409</v>
      </c>
      <c r="C2829" s="18" t="n">
        <v>0</v>
      </c>
      <c r="D2829" s="0" t="n">
        <v>0</v>
      </c>
      <c r="E2829" s="19" t="n">
        <v>30.3333333333333</v>
      </c>
    </row>
    <row r="2830" customFormat="false" ht="15" hidden="false" customHeight="false" outlineLevel="0" collapsed="false">
      <c r="A2830" s="0" t="n">
        <v>2829</v>
      </c>
      <c r="B2830" s="18" t="n">
        <v>1552577.07905151</v>
      </c>
      <c r="C2830" s="18" t="n">
        <v>3199462.86016513</v>
      </c>
      <c r="D2830" s="0" t="n">
        <v>1</v>
      </c>
    </row>
    <row r="2831" customFormat="false" ht="15" hidden="false" customHeight="false" outlineLevel="0" collapsed="false">
      <c r="A2831" s="0" t="n">
        <v>2830</v>
      </c>
      <c r="B2831" s="18" t="n">
        <v>484480.160427506</v>
      </c>
      <c r="C2831" s="18" t="n">
        <v>0</v>
      </c>
      <c r="D2831" s="0" t="n">
        <v>0</v>
      </c>
      <c r="E2831" s="19" t="n">
        <v>33.3333333333333</v>
      </c>
    </row>
    <row r="2832" customFormat="false" ht="15" hidden="false" customHeight="false" outlineLevel="0" collapsed="false">
      <c r="A2832" s="0" t="n">
        <v>2831</v>
      </c>
      <c r="B2832" s="18" t="n">
        <v>735973.564786469</v>
      </c>
      <c r="C2832" s="18" t="n">
        <v>0</v>
      </c>
      <c r="D2832" s="0" t="n">
        <v>0</v>
      </c>
      <c r="E2832" s="19" t="n">
        <v>39.25</v>
      </c>
    </row>
    <row r="2833" customFormat="false" ht="15" hidden="false" customHeight="false" outlineLevel="0" collapsed="false">
      <c r="A2833" s="0" t="n">
        <v>2832</v>
      </c>
      <c r="B2833" s="18" t="n">
        <v>2493214.79315569</v>
      </c>
      <c r="C2833" s="18" t="n">
        <v>8460728.88853216</v>
      </c>
      <c r="D2833" s="0" t="n">
        <v>1</v>
      </c>
    </row>
    <row r="2834" customFormat="false" ht="15" hidden="false" customHeight="false" outlineLevel="0" collapsed="false">
      <c r="A2834" s="0" t="n">
        <v>2833</v>
      </c>
      <c r="B2834" s="18" t="n">
        <v>813988.703698529</v>
      </c>
      <c r="C2834" s="18" t="n">
        <v>0</v>
      </c>
      <c r="D2834" s="0" t="n">
        <v>0</v>
      </c>
      <c r="E2834" s="19" t="n">
        <v>37</v>
      </c>
    </row>
    <row r="2835" customFormat="false" ht="15" hidden="false" customHeight="false" outlineLevel="0" collapsed="false">
      <c r="A2835" s="0" t="n">
        <v>2834</v>
      </c>
      <c r="B2835" s="18" t="n">
        <v>890369.895556967</v>
      </c>
      <c r="C2835" s="18" t="n">
        <v>20938278.2404068</v>
      </c>
      <c r="D2835" s="0" t="n">
        <v>1</v>
      </c>
    </row>
    <row r="2836" customFormat="false" ht="15" hidden="false" customHeight="false" outlineLevel="0" collapsed="false">
      <c r="A2836" s="0" t="n">
        <v>2835</v>
      </c>
      <c r="B2836" s="18" t="n">
        <v>1096836.99628836</v>
      </c>
      <c r="C2836" s="18" t="n">
        <v>0</v>
      </c>
      <c r="D2836" s="0" t="n">
        <v>0</v>
      </c>
      <c r="E2836" s="19" t="n">
        <v>39.25</v>
      </c>
    </row>
    <row r="2837" customFormat="false" ht="15" hidden="false" customHeight="false" outlineLevel="0" collapsed="false">
      <c r="A2837" s="0" t="n">
        <v>2836</v>
      </c>
      <c r="B2837" s="18" t="n">
        <v>2497395.04497897</v>
      </c>
      <c r="C2837" s="18" t="n">
        <v>2380560.25756423</v>
      </c>
      <c r="D2837" s="0" t="n">
        <v>1</v>
      </c>
    </row>
    <row r="2838" customFormat="false" ht="15" hidden="false" customHeight="false" outlineLevel="0" collapsed="false">
      <c r="A2838" s="0" t="n">
        <v>2837</v>
      </c>
      <c r="B2838" s="18" t="n">
        <v>457076.337813812</v>
      </c>
      <c r="C2838" s="18" t="n">
        <v>0</v>
      </c>
      <c r="D2838" s="0" t="n">
        <v>0</v>
      </c>
      <c r="E2838" s="19" t="n">
        <v>31.3333333333333</v>
      </c>
    </row>
    <row r="2839" customFormat="false" ht="15" hidden="false" customHeight="false" outlineLevel="0" collapsed="false">
      <c r="A2839" s="0" t="n">
        <v>2838</v>
      </c>
      <c r="B2839" s="18" t="n">
        <v>851055.484793396</v>
      </c>
      <c r="C2839" s="18" t="n">
        <v>0</v>
      </c>
      <c r="D2839" s="0" t="n">
        <v>0</v>
      </c>
      <c r="E2839" s="19" t="n">
        <v>38.25</v>
      </c>
    </row>
    <row r="2840" customFormat="false" ht="15" hidden="false" customHeight="false" outlineLevel="0" collapsed="false">
      <c r="A2840" s="0" t="n">
        <v>2839</v>
      </c>
      <c r="B2840" s="18" t="n">
        <v>578039.208312087</v>
      </c>
      <c r="C2840" s="18" t="n">
        <v>0</v>
      </c>
      <c r="D2840" s="0" t="n">
        <v>0</v>
      </c>
      <c r="E2840" s="19" t="n">
        <v>36.75</v>
      </c>
    </row>
    <row r="2841" customFormat="false" ht="15" hidden="false" customHeight="false" outlineLevel="0" collapsed="false">
      <c r="A2841" s="0" t="n">
        <v>2840</v>
      </c>
      <c r="B2841" s="18" t="n">
        <v>586396.26522709</v>
      </c>
      <c r="C2841" s="18" t="n">
        <v>0</v>
      </c>
      <c r="D2841" s="0" t="n">
        <v>0</v>
      </c>
      <c r="E2841" s="19" t="n">
        <v>37.5833333333333</v>
      </c>
    </row>
    <row r="2842" customFormat="false" ht="15" hidden="false" customHeight="false" outlineLevel="0" collapsed="false">
      <c r="A2842" s="0" t="n">
        <v>2841</v>
      </c>
      <c r="B2842" s="18" t="n">
        <v>551548.696674173</v>
      </c>
      <c r="C2842" s="18" t="n">
        <v>0</v>
      </c>
      <c r="D2842" s="0" t="n">
        <v>0</v>
      </c>
      <c r="E2842" s="19" t="n">
        <v>38.5</v>
      </c>
    </row>
    <row r="2843" customFormat="false" ht="15" hidden="false" customHeight="false" outlineLevel="0" collapsed="false">
      <c r="A2843" s="0" t="n">
        <v>2842</v>
      </c>
      <c r="B2843" s="18" t="n">
        <v>296907.105459768</v>
      </c>
      <c r="C2843" s="18" t="n">
        <v>0</v>
      </c>
      <c r="D2843" s="0" t="n">
        <v>0</v>
      </c>
      <c r="E2843" s="19" t="n">
        <v>32.4166666666667</v>
      </c>
    </row>
    <row r="2844" customFormat="false" ht="15" hidden="false" customHeight="false" outlineLevel="0" collapsed="false">
      <c r="A2844" s="0" t="n">
        <v>2843</v>
      </c>
      <c r="B2844" s="18" t="n">
        <v>611385.42807137</v>
      </c>
      <c r="C2844" s="18" t="n">
        <v>0</v>
      </c>
      <c r="D2844" s="0" t="n">
        <v>0</v>
      </c>
      <c r="E2844" s="19" t="n">
        <v>42</v>
      </c>
    </row>
    <row r="2845" customFormat="false" ht="15" hidden="false" customHeight="false" outlineLevel="0" collapsed="false">
      <c r="A2845" s="0" t="n">
        <v>2844</v>
      </c>
      <c r="B2845" s="18" t="n">
        <v>457147.857204024</v>
      </c>
      <c r="C2845" s="18" t="n">
        <v>0</v>
      </c>
      <c r="D2845" s="0" t="n">
        <v>0</v>
      </c>
      <c r="E2845" s="19" t="n">
        <v>33.4166666666667</v>
      </c>
    </row>
    <row r="2846" customFormat="false" ht="15" hidden="false" customHeight="false" outlineLevel="0" collapsed="false">
      <c r="A2846" s="0" t="n">
        <v>2845</v>
      </c>
      <c r="B2846" s="18" t="n">
        <v>948106.626378436</v>
      </c>
      <c r="C2846" s="18" t="n">
        <v>0</v>
      </c>
      <c r="D2846" s="0" t="n">
        <v>0</v>
      </c>
      <c r="E2846" s="19" t="n">
        <v>42.4166666666667</v>
      </c>
    </row>
    <row r="2847" customFormat="false" ht="15" hidden="false" customHeight="false" outlineLevel="0" collapsed="false">
      <c r="A2847" s="0" t="n">
        <v>2846</v>
      </c>
      <c r="B2847" s="18" t="n">
        <v>2320997.84624038</v>
      </c>
      <c r="C2847" s="18" t="n">
        <v>30742162.1325974</v>
      </c>
      <c r="D2847" s="0" t="n">
        <v>1</v>
      </c>
    </row>
    <row r="2848" customFormat="false" ht="15" hidden="false" customHeight="false" outlineLevel="0" collapsed="false">
      <c r="A2848" s="0" t="n">
        <v>2847</v>
      </c>
      <c r="B2848" s="18" t="n">
        <v>1007471.93734942</v>
      </c>
      <c r="C2848" s="18" t="n">
        <v>0</v>
      </c>
      <c r="D2848" s="0" t="n">
        <v>0</v>
      </c>
      <c r="E2848" s="19" t="n">
        <v>48.8333333333333</v>
      </c>
    </row>
    <row r="2849" customFormat="false" ht="15" hidden="false" customHeight="false" outlineLevel="0" collapsed="false">
      <c r="A2849" s="0" t="n">
        <v>2848</v>
      </c>
      <c r="B2849" s="18" t="n">
        <v>593189.027306133</v>
      </c>
      <c r="C2849" s="18" t="n">
        <v>0</v>
      </c>
      <c r="D2849" s="0" t="n">
        <v>0</v>
      </c>
      <c r="E2849" s="19" t="n">
        <v>37.4166666666667</v>
      </c>
    </row>
    <row r="2850" customFormat="false" ht="15" hidden="false" customHeight="false" outlineLevel="0" collapsed="false">
      <c r="A2850" s="0" t="n">
        <v>2849</v>
      </c>
      <c r="B2850" s="18" t="n">
        <v>1230281.16009138</v>
      </c>
      <c r="C2850" s="18" t="n">
        <v>2382925.77837322</v>
      </c>
      <c r="D2850" s="0" t="n">
        <v>1</v>
      </c>
    </row>
    <row r="2851" customFormat="false" ht="15" hidden="false" customHeight="false" outlineLevel="0" collapsed="false">
      <c r="A2851" s="0" t="n">
        <v>2850</v>
      </c>
      <c r="B2851" s="18" t="n">
        <v>1435099.29705849</v>
      </c>
      <c r="C2851" s="18" t="n">
        <v>2776599.67290115</v>
      </c>
      <c r="D2851" s="0" t="n">
        <v>1</v>
      </c>
    </row>
    <row r="2852" customFormat="false" ht="15" hidden="false" customHeight="false" outlineLevel="0" collapsed="false">
      <c r="A2852" s="0" t="n">
        <v>2851</v>
      </c>
      <c r="B2852" s="18" t="n">
        <v>1044641.06118718</v>
      </c>
      <c r="C2852" s="18" t="n">
        <v>0</v>
      </c>
      <c r="D2852" s="0" t="n">
        <v>0</v>
      </c>
      <c r="E2852" s="19" t="n">
        <v>43.5833333333333</v>
      </c>
    </row>
    <row r="2853" customFormat="false" ht="15" hidden="false" customHeight="false" outlineLevel="0" collapsed="false">
      <c r="A2853" s="0" t="n">
        <v>2852</v>
      </c>
      <c r="B2853" s="18" t="n">
        <v>549383.804720236</v>
      </c>
      <c r="C2853" s="18" t="n">
        <v>0</v>
      </c>
      <c r="D2853" s="0" t="n">
        <v>0</v>
      </c>
      <c r="E2853" s="19" t="n">
        <v>32.25</v>
      </c>
    </row>
    <row r="2854" customFormat="false" ht="15" hidden="false" customHeight="false" outlineLevel="0" collapsed="false">
      <c r="A2854" s="0" t="n">
        <v>2853</v>
      </c>
      <c r="B2854" s="18" t="n">
        <v>285343.793515195</v>
      </c>
      <c r="C2854" s="18" t="n">
        <v>0</v>
      </c>
      <c r="D2854" s="0" t="n">
        <v>0</v>
      </c>
      <c r="E2854" s="19" t="n">
        <v>30.6666666666667</v>
      </c>
    </row>
    <row r="2855" customFormat="false" ht="15" hidden="false" customHeight="false" outlineLevel="0" collapsed="false">
      <c r="A2855" s="0" t="n">
        <v>2854</v>
      </c>
      <c r="B2855" s="18" t="n">
        <v>487745.673837012</v>
      </c>
      <c r="C2855" s="18" t="n">
        <v>0</v>
      </c>
      <c r="D2855" s="0" t="n">
        <v>0</v>
      </c>
      <c r="E2855" s="19" t="n">
        <v>31.75</v>
      </c>
    </row>
    <row r="2856" customFormat="false" ht="15" hidden="false" customHeight="false" outlineLevel="0" collapsed="false">
      <c r="A2856" s="0" t="n">
        <v>2855</v>
      </c>
      <c r="B2856" s="18" t="n">
        <v>989962.720920994</v>
      </c>
      <c r="C2856" s="18" t="n">
        <v>0</v>
      </c>
      <c r="D2856" s="0" t="n">
        <v>0</v>
      </c>
      <c r="E2856" s="19" t="n">
        <v>35.6666666666667</v>
      </c>
    </row>
    <row r="2857" customFormat="false" ht="15" hidden="false" customHeight="false" outlineLevel="0" collapsed="false">
      <c r="A2857" s="0" t="n">
        <v>2856</v>
      </c>
      <c r="B2857" s="18" t="n">
        <v>781770.887840566</v>
      </c>
      <c r="C2857" s="18" t="n">
        <v>0</v>
      </c>
      <c r="D2857" s="0" t="n">
        <v>0</v>
      </c>
      <c r="E2857" s="19" t="n">
        <v>35.9166666666667</v>
      </c>
    </row>
    <row r="2858" customFormat="false" ht="15" hidden="false" customHeight="false" outlineLevel="0" collapsed="false">
      <c r="A2858" s="0" t="n">
        <v>2857</v>
      </c>
      <c r="B2858" s="18" t="n">
        <v>1142411.32430652</v>
      </c>
      <c r="C2858" s="18" t="n">
        <v>855144.402858168</v>
      </c>
      <c r="D2858" s="0" t="n">
        <v>1</v>
      </c>
    </row>
    <row r="2859" customFormat="false" ht="15" hidden="false" customHeight="false" outlineLevel="0" collapsed="false">
      <c r="A2859" s="0" t="n">
        <v>2858</v>
      </c>
      <c r="B2859" s="18" t="n">
        <v>807381.440719679</v>
      </c>
      <c r="C2859" s="18" t="n">
        <v>0</v>
      </c>
      <c r="D2859" s="0" t="n">
        <v>0</v>
      </c>
      <c r="E2859" s="19" t="n">
        <v>38.0833333333333</v>
      </c>
    </row>
    <row r="2860" customFormat="false" ht="15" hidden="false" customHeight="false" outlineLevel="0" collapsed="false">
      <c r="A2860" s="0" t="n">
        <v>2859</v>
      </c>
      <c r="B2860" s="18" t="n">
        <v>1806883.32302947</v>
      </c>
      <c r="C2860" s="18" t="n">
        <v>0</v>
      </c>
      <c r="D2860" s="0" t="n">
        <v>0</v>
      </c>
      <c r="E2860" s="19" t="n">
        <v>53.8333333333333</v>
      </c>
    </row>
    <row r="2861" customFormat="false" ht="15" hidden="false" customHeight="false" outlineLevel="0" collapsed="false">
      <c r="A2861" s="0" t="n">
        <v>2860</v>
      </c>
      <c r="B2861" s="18" t="n">
        <v>1050694.55872394</v>
      </c>
      <c r="C2861" s="18" t="n">
        <v>0</v>
      </c>
      <c r="D2861" s="0" t="n">
        <v>0</v>
      </c>
      <c r="E2861" s="19" t="n">
        <v>54</v>
      </c>
    </row>
    <row r="2862" customFormat="false" ht="15" hidden="false" customHeight="false" outlineLevel="0" collapsed="false">
      <c r="A2862" s="0" t="n">
        <v>2861</v>
      </c>
      <c r="B2862" s="18" t="n">
        <v>324759.276249685</v>
      </c>
      <c r="C2862" s="18" t="n">
        <v>0</v>
      </c>
      <c r="D2862" s="0" t="n">
        <v>0</v>
      </c>
      <c r="E2862" s="19" t="n">
        <v>31.6666666666667</v>
      </c>
    </row>
    <row r="2863" customFormat="false" ht="15" hidden="false" customHeight="false" outlineLevel="0" collapsed="false">
      <c r="A2863" s="0" t="n">
        <v>2862</v>
      </c>
      <c r="B2863" s="18" t="n">
        <v>594020.513301648</v>
      </c>
      <c r="C2863" s="18" t="n">
        <v>0</v>
      </c>
      <c r="D2863" s="0" t="n">
        <v>0</v>
      </c>
      <c r="E2863" s="19" t="n">
        <v>43.0833333333333</v>
      </c>
    </row>
    <row r="2864" customFormat="false" ht="15" hidden="false" customHeight="false" outlineLevel="0" collapsed="false">
      <c r="A2864" s="0" t="n">
        <v>2863</v>
      </c>
      <c r="B2864" s="18" t="n">
        <v>888593.892460535</v>
      </c>
      <c r="C2864" s="18" t="n">
        <v>0</v>
      </c>
      <c r="D2864" s="0" t="n">
        <v>0</v>
      </c>
      <c r="E2864" s="19" t="n">
        <v>38.8333333333333</v>
      </c>
    </row>
    <row r="2865" customFormat="false" ht="15" hidden="false" customHeight="false" outlineLevel="0" collapsed="false">
      <c r="A2865" s="0" t="n">
        <v>2864</v>
      </c>
      <c r="B2865" s="18" t="n">
        <v>1449183.11511087</v>
      </c>
      <c r="C2865" s="18" t="n">
        <v>18847506.3451973</v>
      </c>
      <c r="D2865" s="0" t="n">
        <v>1</v>
      </c>
    </row>
    <row r="2866" customFormat="false" ht="15" hidden="false" customHeight="false" outlineLevel="0" collapsed="false">
      <c r="A2866" s="0" t="n">
        <v>2865</v>
      </c>
      <c r="B2866" s="18" t="n">
        <v>1306427.79557502</v>
      </c>
      <c r="C2866" s="18" t="n">
        <v>537909.550240603</v>
      </c>
      <c r="D2866" s="0" t="n">
        <v>1</v>
      </c>
    </row>
    <row r="2867" customFormat="false" ht="15" hidden="false" customHeight="false" outlineLevel="0" collapsed="false">
      <c r="A2867" s="0" t="n">
        <v>2866</v>
      </c>
      <c r="B2867" s="18" t="n">
        <v>912720.160786251</v>
      </c>
      <c r="C2867" s="18" t="n">
        <v>4427854.19259596</v>
      </c>
      <c r="D2867" s="0" t="n">
        <v>1</v>
      </c>
    </row>
    <row r="2868" customFormat="false" ht="15" hidden="false" customHeight="false" outlineLevel="0" collapsed="false">
      <c r="A2868" s="0" t="n">
        <v>2867</v>
      </c>
      <c r="B2868" s="18" t="n">
        <v>1356333.78596635</v>
      </c>
      <c r="C2868" s="18" t="n">
        <v>0</v>
      </c>
      <c r="D2868" s="0" t="n">
        <v>0</v>
      </c>
      <c r="E2868" s="19" t="n">
        <v>52.1666666666667</v>
      </c>
    </row>
    <row r="2869" customFormat="false" ht="15" hidden="false" customHeight="false" outlineLevel="0" collapsed="false">
      <c r="A2869" s="0" t="n">
        <v>2868</v>
      </c>
      <c r="B2869" s="18" t="n">
        <v>2019787.16718087</v>
      </c>
      <c r="C2869" s="18" t="n">
        <v>40409.3434086634</v>
      </c>
      <c r="D2869" s="0" t="n">
        <v>1</v>
      </c>
    </row>
    <row r="2870" customFormat="false" ht="15" hidden="false" customHeight="false" outlineLevel="0" collapsed="false">
      <c r="A2870" s="0" t="n">
        <v>2869</v>
      </c>
      <c r="B2870" s="18" t="n">
        <v>799723.080208205</v>
      </c>
      <c r="C2870" s="18" t="n">
        <v>0</v>
      </c>
      <c r="D2870" s="0" t="n">
        <v>0</v>
      </c>
      <c r="E2870" s="19" t="n">
        <v>45.5833333333333</v>
      </c>
    </row>
    <row r="2871" customFormat="false" ht="15" hidden="false" customHeight="false" outlineLevel="0" collapsed="false">
      <c r="A2871" s="0" t="n">
        <v>2870</v>
      </c>
      <c r="B2871" s="18" t="n">
        <v>918486.641670208</v>
      </c>
      <c r="C2871" s="18" t="n">
        <v>0</v>
      </c>
      <c r="D2871" s="0" t="n">
        <v>0</v>
      </c>
      <c r="E2871" s="19" t="n">
        <v>37.8333333333333</v>
      </c>
    </row>
    <row r="2872" customFormat="false" ht="15" hidden="false" customHeight="false" outlineLevel="0" collapsed="false">
      <c r="A2872" s="0" t="n">
        <v>2871</v>
      </c>
      <c r="B2872" s="18" t="n">
        <v>1131188.17612209</v>
      </c>
      <c r="C2872" s="18" t="n">
        <v>1710633.43320345</v>
      </c>
      <c r="D2872" s="0" t="n">
        <v>1</v>
      </c>
    </row>
    <row r="2873" customFormat="false" ht="15" hidden="false" customHeight="false" outlineLevel="0" collapsed="false">
      <c r="A2873" s="0" t="n">
        <v>2872</v>
      </c>
      <c r="B2873" s="18" t="n">
        <v>745410.589262316</v>
      </c>
      <c r="C2873" s="18" t="n">
        <v>663657.470719608</v>
      </c>
      <c r="D2873" s="0" t="n">
        <v>1</v>
      </c>
    </row>
    <row r="2874" customFormat="false" ht="15" hidden="false" customHeight="false" outlineLevel="0" collapsed="false">
      <c r="A2874" s="0" t="n">
        <v>2873</v>
      </c>
      <c r="B2874" s="18" t="n">
        <v>810483.445983377</v>
      </c>
      <c r="C2874" s="18" t="n">
        <v>0</v>
      </c>
      <c r="D2874" s="0" t="n">
        <v>0</v>
      </c>
      <c r="E2874" s="19" t="n">
        <v>42.9166666666667</v>
      </c>
    </row>
    <row r="2875" customFormat="false" ht="15" hidden="false" customHeight="false" outlineLevel="0" collapsed="false">
      <c r="A2875" s="0" t="n">
        <v>2874</v>
      </c>
      <c r="B2875" s="18" t="n">
        <v>1777323.84107564</v>
      </c>
      <c r="C2875" s="18" t="n">
        <v>0</v>
      </c>
      <c r="D2875" s="0" t="n">
        <v>0</v>
      </c>
      <c r="E2875" s="19" t="n">
        <v>50.1666666666667</v>
      </c>
    </row>
    <row r="2876" customFormat="false" ht="15" hidden="false" customHeight="false" outlineLevel="0" collapsed="false">
      <c r="A2876" s="0" t="n">
        <v>2875</v>
      </c>
      <c r="B2876" s="18" t="n">
        <v>492406.695089981</v>
      </c>
      <c r="C2876" s="18" t="n">
        <v>0</v>
      </c>
      <c r="D2876" s="0" t="n">
        <v>0</v>
      </c>
      <c r="E2876" s="19" t="n">
        <v>34.1666666666667</v>
      </c>
    </row>
    <row r="2877" customFormat="false" ht="15" hidden="false" customHeight="false" outlineLevel="0" collapsed="false">
      <c r="A2877" s="0" t="n">
        <v>2876</v>
      </c>
      <c r="B2877" s="18" t="n">
        <v>1326810.17905244</v>
      </c>
      <c r="C2877" s="18" t="n">
        <v>1183498.07209372</v>
      </c>
      <c r="D2877" s="0" t="n">
        <v>1</v>
      </c>
    </row>
    <row r="2878" customFormat="false" ht="15" hidden="false" customHeight="false" outlineLevel="0" collapsed="false">
      <c r="A2878" s="0" t="n">
        <v>2877</v>
      </c>
      <c r="B2878" s="18" t="n">
        <v>869850.591073957</v>
      </c>
      <c r="C2878" s="18" t="n">
        <v>0</v>
      </c>
      <c r="D2878" s="0" t="n">
        <v>0</v>
      </c>
      <c r="E2878" s="19" t="n">
        <v>51.25</v>
      </c>
    </row>
    <row r="2879" customFormat="false" ht="15" hidden="false" customHeight="false" outlineLevel="0" collapsed="false">
      <c r="A2879" s="0" t="n">
        <v>2878</v>
      </c>
      <c r="B2879" s="18" t="n">
        <v>1680156.88182719</v>
      </c>
      <c r="C2879" s="18" t="n">
        <v>3257386.75922722</v>
      </c>
      <c r="D2879" s="0" t="n">
        <v>1</v>
      </c>
    </row>
    <row r="2880" customFormat="false" ht="15" hidden="false" customHeight="false" outlineLevel="0" collapsed="false">
      <c r="A2880" s="0" t="n">
        <v>2879</v>
      </c>
      <c r="B2880" s="18" t="n">
        <v>853206.502795154</v>
      </c>
      <c r="C2880" s="18" t="n">
        <v>0</v>
      </c>
      <c r="D2880" s="0" t="n">
        <v>0</v>
      </c>
      <c r="E2880" s="19" t="n">
        <v>41.6666666666667</v>
      </c>
    </row>
    <row r="2881" customFormat="false" ht="15" hidden="false" customHeight="false" outlineLevel="0" collapsed="false">
      <c r="A2881" s="0" t="n">
        <v>2880</v>
      </c>
      <c r="B2881" s="18" t="n">
        <v>1465241.93388106</v>
      </c>
      <c r="C2881" s="18" t="n">
        <v>8589071.32443132</v>
      </c>
      <c r="D2881" s="0" t="n">
        <v>1</v>
      </c>
    </row>
    <row r="2882" customFormat="false" ht="15" hidden="false" customHeight="false" outlineLevel="0" collapsed="false">
      <c r="A2882" s="0" t="n">
        <v>2881</v>
      </c>
      <c r="B2882" s="18" t="n">
        <v>1065010.31130514</v>
      </c>
      <c r="C2882" s="18" t="n">
        <v>1516914.36648952</v>
      </c>
      <c r="D2882" s="0" t="n">
        <v>1</v>
      </c>
    </row>
    <row r="2883" customFormat="false" ht="15" hidden="false" customHeight="false" outlineLevel="0" collapsed="false">
      <c r="A2883" s="0" t="n">
        <v>2882</v>
      </c>
      <c r="B2883" s="18" t="n">
        <v>349516.4280287</v>
      </c>
      <c r="C2883" s="18" t="n">
        <v>0</v>
      </c>
      <c r="D2883" s="0" t="n">
        <v>0</v>
      </c>
      <c r="E2883" s="19" t="n">
        <v>32.3333333333333</v>
      </c>
    </row>
    <row r="2884" customFormat="false" ht="15" hidden="false" customHeight="false" outlineLevel="0" collapsed="false">
      <c r="A2884" s="0" t="n">
        <v>2883</v>
      </c>
      <c r="B2884" s="18" t="n">
        <v>1409104.84801772</v>
      </c>
      <c r="C2884" s="18" t="n">
        <v>0</v>
      </c>
      <c r="D2884" s="0" t="n">
        <v>0</v>
      </c>
      <c r="E2884" s="19" t="n">
        <v>49.9166666666667</v>
      </c>
    </row>
    <row r="2885" customFormat="false" ht="15" hidden="false" customHeight="false" outlineLevel="0" collapsed="false">
      <c r="A2885" s="0" t="n">
        <v>2884</v>
      </c>
      <c r="B2885" s="18" t="n">
        <v>712429.840472331</v>
      </c>
      <c r="C2885" s="18" t="n">
        <v>0</v>
      </c>
      <c r="D2885" s="0" t="n">
        <v>0</v>
      </c>
      <c r="E2885" s="19" t="n">
        <v>33.75</v>
      </c>
    </row>
    <row r="2886" customFormat="false" ht="15" hidden="false" customHeight="false" outlineLevel="0" collapsed="false">
      <c r="A2886" s="0" t="n">
        <v>2885</v>
      </c>
      <c r="B2886" s="18" t="n">
        <v>957967.743655258</v>
      </c>
      <c r="C2886" s="18" t="n">
        <v>0</v>
      </c>
      <c r="D2886" s="0" t="n">
        <v>0</v>
      </c>
      <c r="E2886" s="19" t="n">
        <v>47.9166666666667</v>
      </c>
    </row>
    <row r="2887" customFormat="false" ht="15" hidden="false" customHeight="false" outlineLevel="0" collapsed="false">
      <c r="A2887" s="0" t="n">
        <v>2886</v>
      </c>
      <c r="B2887" s="18" t="n">
        <v>1075036.74020569</v>
      </c>
      <c r="C2887" s="18" t="n">
        <v>0</v>
      </c>
      <c r="D2887" s="0" t="n">
        <v>0</v>
      </c>
      <c r="E2887" s="19" t="n">
        <v>54.5833333333333</v>
      </c>
    </row>
    <row r="2888" customFormat="false" ht="15" hidden="false" customHeight="false" outlineLevel="0" collapsed="false">
      <c r="A2888" s="0" t="n">
        <v>2887</v>
      </c>
      <c r="B2888" s="18" t="n">
        <v>571545.153543959</v>
      </c>
      <c r="C2888" s="18" t="n">
        <v>0</v>
      </c>
      <c r="D2888" s="0" t="n">
        <v>0</v>
      </c>
      <c r="E2888" s="19" t="n">
        <v>34.5833333333333</v>
      </c>
    </row>
    <row r="2889" customFormat="false" ht="15" hidden="false" customHeight="false" outlineLevel="0" collapsed="false">
      <c r="A2889" s="0" t="n">
        <v>2888</v>
      </c>
      <c r="B2889" s="18" t="n">
        <v>649505.415536378</v>
      </c>
      <c r="C2889" s="18" t="n">
        <v>0</v>
      </c>
      <c r="D2889" s="0" t="n">
        <v>0</v>
      </c>
      <c r="E2889" s="19" t="n">
        <v>39.75</v>
      </c>
    </row>
    <row r="2890" customFormat="false" ht="15" hidden="false" customHeight="false" outlineLevel="0" collapsed="false">
      <c r="A2890" s="0" t="n">
        <v>2889</v>
      </c>
      <c r="B2890" s="18" t="n">
        <v>2094424.99145911</v>
      </c>
      <c r="C2890" s="18" t="n">
        <v>8840315.62188862</v>
      </c>
      <c r="D2890" s="0" t="n">
        <v>1</v>
      </c>
    </row>
    <row r="2891" customFormat="false" ht="15" hidden="false" customHeight="false" outlineLevel="0" collapsed="false">
      <c r="A2891" s="0" t="n">
        <v>2890</v>
      </c>
      <c r="B2891" s="18" t="n">
        <v>753397.323498701</v>
      </c>
      <c r="C2891" s="18" t="n">
        <v>0</v>
      </c>
      <c r="D2891" s="0" t="n">
        <v>0</v>
      </c>
      <c r="E2891" s="19" t="n">
        <v>47.9166666666667</v>
      </c>
    </row>
    <row r="2892" customFormat="false" ht="15" hidden="false" customHeight="false" outlineLevel="0" collapsed="false">
      <c r="A2892" s="0" t="n">
        <v>2891</v>
      </c>
      <c r="B2892" s="18" t="n">
        <v>499368.178062454</v>
      </c>
      <c r="C2892" s="18" t="n">
        <v>0</v>
      </c>
      <c r="D2892" s="0" t="n">
        <v>0</v>
      </c>
      <c r="E2892" s="19" t="n">
        <v>36.1666666666667</v>
      </c>
    </row>
    <row r="2893" customFormat="false" ht="15" hidden="false" customHeight="false" outlineLevel="0" collapsed="false">
      <c r="A2893" s="0" t="n">
        <v>2892</v>
      </c>
      <c r="B2893" s="18" t="n">
        <v>816026.562248142</v>
      </c>
      <c r="C2893" s="18" t="n">
        <v>0</v>
      </c>
      <c r="D2893" s="0" t="n">
        <v>0</v>
      </c>
      <c r="E2893" s="19" t="n">
        <v>50.6666666666667</v>
      </c>
    </row>
    <row r="2894" customFormat="false" ht="15" hidden="false" customHeight="false" outlineLevel="0" collapsed="false">
      <c r="A2894" s="0" t="n">
        <v>2893</v>
      </c>
      <c r="B2894" s="18" t="n">
        <v>294749.204243756</v>
      </c>
      <c r="C2894" s="18" t="n">
        <v>0</v>
      </c>
      <c r="D2894" s="0" t="n">
        <v>0</v>
      </c>
      <c r="E2894" s="19" t="n">
        <v>32.8333333333333</v>
      </c>
    </row>
    <row r="2895" customFormat="false" ht="15" hidden="false" customHeight="false" outlineLevel="0" collapsed="false">
      <c r="A2895" s="0" t="n">
        <v>2894</v>
      </c>
      <c r="B2895" s="18" t="n">
        <v>1272222.51461087</v>
      </c>
      <c r="C2895" s="18" t="n">
        <v>1641722.53668315</v>
      </c>
      <c r="D2895" s="0" t="n">
        <v>1</v>
      </c>
    </row>
    <row r="2896" customFormat="false" ht="15" hidden="false" customHeight="false" outlineLevel="0" collapsed="false">
      <c r="A2896" s="0" t="n">
        <v>2895</v>
      </c>
      <c r="B2896" s="18" t="n">
        <v>360744.513971226</v>
      </c>
      <c r="C2896" s="18" t="n">
        <v>0</v>
      </c>
      <c r="D2896" s="0" t="n">
        <v>0</v>
      </c>
      <c r="E2896" s="19" t="n">
        <v>33.75</v>
      </c>
    </row>
    <row r="2897" customFormat="false" ht="15" hidden="false" customHeight="false" outlineLevel="0" collapsed="false">
      <c r="A2897" s="0" t="n">
        <v>2896</v>
      </c>
      <c r="B2897" s="18" t="n">
        <v>1024238.80450164</v>
      </c>
      <c r="C2897" s="18" t="n">
        <v>0</v>
      </c>
      <c r="D2897" s="0" t="n">
        <v>0</v>
      </c>
      <c r="E2897" s="19" t="n">
        <v>48.25</v>
      </c>
    </row>
    <row r="2898" customFormat="false" ht="15" hidden="false" customHeight="false" outlineLevel="0" collapsed="false">
      <c r="A2898" s="0" t="n">
        <v>2897</v>
      </c>
      <c r="B2898" s="18" t="n">
        <v>722602.684448479</v>
      </c>
      <c r="C2898" s="18" t="n">
        <v>0</v>
      </c>
      <c r="D2898" s="0" t="n">
        <v>0</v>
      </c>
      <c r="E2898" s="19" t="n">
        <v>37.1666666666667</v>
      </c>
    </row>
    <row r="2899" customFormat="false" ht="15" hidden="false" customHeight="false" outlineLevel="0" collapsed="false">
      <c r="A2899" s="0" t="n">
        <v>2898</v>
      </c>
      <c r="B2899" s="18" t="n">
        <v>692030.208082663</v>
      </c>
      <c r="C2899" s="18" t="n">
        <v>0</v>
      </c>
      <c r="D2899" s="0" t="n">
        <v>0</v>
      </c>
      <c r="E2899" s="19" t="n">
        <v>37.0833333333333</v>
      </c>
    </row>
    <row r="2900" customFormat="false" ht="15" hidden="false" customHeight="false" outlineLevel="0" collapsed="false">
      <c r="A2900" s="0" t="n">
        <v>2899</v>
      </c>
      <c r="B2900" s="18" t="n">
        <v>664346.629038637</v>
      </c>
      <c r="C2900" s="18" t="n">
        <v>0</v>
      </c>
      <c r="D2900" s="0" t="n">
        <v>0</v>
      </c>
      <c r="E2900" s="19" t="n">
        <v>41</v>
      </c>
    </row>
    <row r="2901" customFormat="false" ht="15" hidden="false" customHeight="false" outlineLevel="0" collapsed="false">
      <c r="A2901" s="0" t="n">
        <v>2900</v>
      </c>
      <c r="B2901" s="18" t="n">
        <v>678399.359862673</v>
      </c>
      <c r="C2901" s="18" t="n">
        <v>0</v>
      </c>
      <c r="D2901" s="0" t="n">
        <v>0</v>
      </c>
      <c r="E2901" s="19" t="n">
        <v>39.5</v>
      </c>
    </row>
    <row r="2902" customFormat="false" ht="15" hidden="false" customHeight="false" outlineLevel="0" collapsed="false">
      <c r="A2902" s="0" t="n">
        <v>2901</v>
      </c>
      <c r="B2902" s="18" t="n">
        <v>458789.565147504</v>
      </c>
      <c r="C2902" s="18" t="n">
        <v>0</v>
      </c>
      <c r="D2902" s="0" t="n">
        <v>0</v>
      </c>
      <c r="E2902" s="19" t="n">
        <v>33.5833333333333</v>
      </c>
    </row>
    <row r="2903" customFormat="false" ht="15" hidden="false" customHeight="false" outlineLevel="0" collapsed="false">
      <c r="A2903" s="0" t="n">
        <v>2902</v>
      </c>
      <c r="B2903" s="18" t="n">
        <v>899175.155474591</v>
      </c>
      <c r="C2903" s="18" t="n">
        <v>6741289.2446856</v>
      </c>
      <c r="D2903" s="0" t="n">
        <v>1</v>
      </c>
    </row>
    <row r="2904" customFormat="false" ht="15" hidden="false" customHeight="false" outlineLevel="0" collapsed="false">
      <c r="A2904" s="0" t="n">
        <v>2903</v>
      </c>
      <c r="B2904" s="18" t="n">
        <v>1663343.75365244</v>
      </c>
      <c r="C2904" s="18" t="n">
        <v>7084523.18857388</v>
      </c>
      <c r="D2904" s="0" t="n">
        <v>1</v>
      </c>
    </row>
    <row r="2905" customFormat="false" ht="15" hidden="false" customHeight="false" outlineLevel="0" collapsed="false">
      <c r="A2905" s="0" t="n">
        <v>2904</v>
      </c>
      <c r="B2905" s="18" t="n">
        <v>614982.500547058</v>
      </c>
      <c r="C2905" s="18" t="n">
        <v>0</v>
      </c>
      <c r="D2905" s="0" t="n">
        <v>0</v>
      </c>
      <c r="E2905" s="19" t="n">
        <v>32.75</v>
      </c>
    </row>
    <row r="2906" customFormat="false" ht="15" hidden="false" customHeight="false" outlineLevel="0" collapsed="false">
      <c r="A2906" s="0" t="n">
        <v>2905</v>
      </c>
      <c r="B2906" s="18" t="n">
        <v>1835311.64789036</v>
      </c>
      <c r="C2906" s="18" t="n">
        <v>42637957.6221877</v>
      </c>
      <c r="D2906" s="0" t="n">
        <v>1</v>
      </c>
    </row>
    <row r="2907" customFormat="false" ht="15" hidden="false" customHeight="false" outlineLevel="0" collapsed="false">
      <c r="A2907" s="0" t="n">
        <v>2906</v>
      </c>
      <c r="B2907" s="18" t="n">
        <v>1423992.36421188</v>
      </c>
      <c r="C2907" s="18" t="n">
        <v>7642030.39479278</v>
      </c>
      <c r="D2907" s="0" t="n">
        <v>1</v>
      </c>
    </row>
    <row r="2908" customFormat="false" ht="15" hidden="false" customHeight="false" outlineLevel="0" collapsed="false">
      <c r="A2908" s="0" t="n">
        <v>2907</v>
      </c>
      <c r="B2908" s="18" t="n">
        <v>968718.322221205</v>
      </c>
      <c r="C2908" s="18" t="n">
        <v>3630352.19354719</v>
      </c>
      <c r="D2908" s="0" t="n">
        <v>1</v>
      </c>
    </row>
    <row r="2909" customFormat="false" ht="15" hidden="false" customHeight="false" outlineLevel="0" collapsed="false">
      <c r="A2909" s="0" t="n">
        <v>2908</v>
      </c>
      <c r="B2909" s="18" t="n">
        <v>408757.120609057</v>
      </c>
      <c r="C2909" s="18" t="n">
        <v>0</v>
      </c>
      <c r="D2909" s="0" t="n">
        <v>0</v>
      </c>
      <c r="E2909" s="19" t="n">
        <v>34.0833333333333</v>
      </c>
    </row>
    <row r="2910" customFormat="false" ht="15" hidden="false" customHeight="false" outlineLevel="0" collapsed="false">
      <c r="A2910" s="0" t="n">
        <v>2909</v>
      </c>
      <c r="B2910" s="18" t="n">
        <v>1429616.31714931</v>
      </c>
      <c r="C2910" s="18" t="n">
        <v>0</v>
      </c>
      <c r="D2910" s="0" t="n">
        <v>0</v>
      </c>
      <c r="E2910" s="19" t="n">
        <v>44</v>
      </c>
    </row>
    <row r="2911" customFormat="false" ht="15" hidden="false" customHeight="false" outlineLevel="0" collapsed="false">
      <c r="A2911" s="0" t="n">
        <v>2910</v>
      </c>
      <c r="B2911" s="18" t="n">
        <v>857544.433054662</v>
      </c>
      <c r="C2911" s="18" t="n">
        <v>0</v>
      </c>
      <c r="D2911" s="0" t="n">
        <v>0</v>
      </c>
      <c r="E2911" s="19" t="n">
        <v>38</v>
      </c>
    </row>
    <row r="2912" customFormat="false" ht="15" hidden="false" customHeight="false" outlineLevel="0" collapsed="false">
      <c r="A2912" s="0" t="n">
        <v>2911</v>
      </c>
      <c r="B2912" s="18" t="n">
        <v>1279372.17852675</v>
      </c>
      <c r="C2912" s="18" t="n">
        <v>3598795.10291208</v>
      </c>
      <c r="D2912" s="0" t="n">
        <v>1</v>
      </c>
    </row>
    <row r="2913" customFormat="false" ht="15" hidden="false" customHeight="false" outlineLevel="0" collapsed="false">
      <c r="A2913" s="0" t="n">
        <v>2912</v>
      </c>
      <c r="B2913" s="18" t="n">
        <v>1652927.97707329</v>
      </c>
      <c r="C2913" s="18" t="n">
        <v>18929816.2054899</v>
      </c>
      <c r="D2913" s="0" t="n">
        <v>1</v>
      </c>
    </row>
    <row r="2914" customFormat="false" ht="15" hidden="false" customHeight="false" outlineLevel="0" collapsed="false">
      <c r="A2914" s="0" t="n">
        <v>2913</v>
      </c>
      <c r="B2914" s="18" t="n">
        <v>266393.107243465</v>
      </c>
      <c r="C2914" s="18" t="n">
        <v>0</v>
      </c>
      <c r="D2914" s="0" t="n">
        <v>0</v>
      </c>
      <c r="E2914" s="19" t="n">
        <v>30</v>
      </c>
    </row>
    <row r="2915" customFormat="false" ht="15" hidden="false" customHeight="false" outlineLevel="0" collapsed="false">
      <c r="A2915" s="0" t="n">
        <v>2914</v>
      </c>
      <c r="B2915" s="18" t="n">
        <v>387007.353918089</v>
      </c>
      <c r="C2915" s="18" t="n">
        <v>0</v>
      </c>
      <c r="D2915" s="0" t="n">
        <v>0</v>
      </c>
      <c r="E2915" s="19" t="n">
        <v>32</v>
      </c>
    </row>
    <row r="2916" customFormat="false" ht="15" hidden="false" customHeight="false" outlineLevel="0" collapsed="false">
      <c r="A2916" s="0" t="n">
        <v>2915</v>
      </c>
      <c r="B2916" s="18" t="n">
        <v>1516262.54387836</v>
      </c>
      <c r="C2916" s="18" t="n">
        <v>6500799.71995088</v>
      </c>
      <c r="D2916" s="0" t="n">
        <v>1</v>
      </c>
    </row>
    <row r="2917" customFormat="false" ht="15" hidden="false" customHeight="false" outlineLevel="0" collapsed="false">
      <c r="A2917" s="0" t="n">
        <v>2916</v>
      </c>
      <c r="B2917" s="18" t="n">
        <v>739901.972838255</v>
      </c>
      <c r="C2917" s="18" t="n">
        <v>0</v>
      </c>
      <c r="D2917" s="0" t="n">
        <v>0</v>
      </c>
      <c r="E2917" s="19" t="n">
        <v>38.3333333333333</v>
      </c>
    </row>
    <row r="2918" customFormat="false" ht="15" hidden="false" customHeight="false" outlineLevel="0" collapsed="false">
      <c r="A2918" s="0" t="n">
        <v>2917</v>
      </c>
      <c r="B2918" s="18" t="n">
        <v>904346.788267959</v>
      </c>
      <c r="C2918" s="18" t="n">
        <v>0</v>
      </c>
      <c r="D2918" s="0" t="n">
        <v>0</v>
      </c>
      <c r="E2918" s="19" t="n">
        <v>40.5</v>
      </c>
    </row>
    <row r="2919" customFormat="false" ht="15" hidden="false" customHeight="false" outlineLevel="0" collapsed="false">
      <c r="A2919" s="0" t="n">
        <v>2918</v>
      </c>
      <c r="B2919" s="18" t="n">
        <v>2188304.6722614</v>
      </c>
      <c r="C2919" s="18" t="n">
        <v>3245289.3259318</v>
      </c>
      <c r="D2919" s="0" t="n">
        <v>1</v>
      </c>
    </row>
    <row r="2920" customFormat="false" ht="15" hidden="false" customHeight="false" outlineLevel="0" collapsed="false">
      <c r="A2920" s="0" t="n">
        <v>2919</v>
      </c>
      <c r="B2920" s="18" t="n">
        <v>2591491.01289183</v>
      </c>
      <c r="C2920" s="18" t="n">
        <v>39576424.8753829</v>
      </c>
      <c r="D2920" s="0" t="n">
        <v>1</v>
      </c>
    </row>
    <row r="2921" customFormat="false" ht="15" hidden="false" customHeight="false" outlineLevel="0" collapsed="false">
      <c r="A2921" s="0" t="n">
        <v>2920</v>
      </c>
      <c r="B2921" s="18" t="n">
        <v>859595.09236628</v>
      </c>
      <c r="C2921" s="18" t="n">
        <v>0</v>
      </c>
      <c r="D2921" s="0" t="n">
        <v>0</v>
      </c>
      <c r="E2921" s="19" t="n">
        <v>37.5833333333333</v>
      </c>
    </row>
    <row r="2922" customFormat="false" ht="15" hidden="false" customHeight="false" outlineLevel="0" collapsed="false">
      <c r="A2922" s="0" t="n">
        <v>2921</v>
      </c>
      <c r="B2922" s="18" t="n">
        <v>443063.642168836</v>
      </c>
      <c r="C2922" s="18" t="n">
        <v>0</v>
      </c>
      <c r="D2922" s="0" t="n">
        <v>0</v>
      </c>
      <c r="E2922" s="19" t="n">
        <v>38.25</v>
      </c>
    </row>
    <row r="2923" customFormat="false" ht="15" hidden="false" customHeight="false" outlineLevel="0" collapsed="false">
      <c r="A2923" s="0" t="n">
        <v>2922</v>
      </c>
      <c r="B2923" s="18" t="n">
        <v>2039967.33903287</v>
      </c>
      <c r="C2923" s="18" t="n">
        <v>0</v>
      </c>
      <c r="D2923" s="0" t="n">
        <v>0</v>
      </c>
      <c r="E2923" s="19" t="n">
        <v>51.3333333333333</v>
      </c>
    </row>
    <row r="2924" customFormat="false" ht="15" hidden="false" customHeight="false" outlineLevel="0" collapsed="false">
      <c r="A2924" s="0" t="n">
        <v>2923</v>
      </c>
      <c r="B2924" s="18" t="n">
        <v>946868.596634936</v>
      </c>
      <c r="C2924" s="18" t="n">
        <v>0</v>
      </c>
      <c r="D2924" s="0" t="n">
        <v>0</v>
      </c>
      <c r="E2924" s="19" t="n">
        <v>40.9166666666667</v>
      </c>
    </row>
    <row r="2925" customFormat="false" ht="15" hidden="false" customHeight="false" outlineLevel="0" collapsed="false">
      <c r="A2925" s="0" t="n">
        <v>2924</v>
      </c>
      <c r="B2925" s="18" t="n">
        <v>1009934.14767367</v>
      </c>
      <c r="C2925" s="18" t="n">
        <v>0</v>
      </c>
      <c r="D2925" s="0" t="n">
        <v>0</v>
      </c>
      <c r="E2925" s="19" t="n">
        <v>44.1666666666667</v>
      </c>
    </row>
    <row r="2926" customFormat="false" ht="15" hidden="false" customHeight="false" outlineLevel="0" collapsed="false">
      <c r="A2926" s="0" t="n">
        <v>2925</v>
      </c>
      <c r="B2926" s="18" t="n">
        <v>1630968.43570776</v>
      </c>
      <c r="C2926" s="18" t="n">
        <v>7667136.0793603</v>
      </c>
      <c r="D2926" s="0" t="n">
        <v>1</v>
      </c>
    </row>
    <row r="2927" customFormat="false" ht="15" hidden="false" customHeight="false" outlineLevel="0" collapsed="false">
      <c r="A2927" s="0" t="n">
        <v>2926</v>
      </c>
      <c r="B2927" s="18" t="n">
        <v>1436040.34236627</v>
      </c>
      <c r="C2927" s="18" t="n">
        <v>0</v>
      </c>
      <c r="D2927" s="0" t="n">
        <v>0</v>
      </c>
      <c r="E2927" s="19" t="n">
        <v>45.75</v>
      </c>
    </row>
    <row r="2928" customFormat="false" ht="15" hidden="false" customHeight="false" outlineLevel="0" collapsed="false">
      <c r="A2928" s="0" t="n">
        <v>2927</v>
      </c>
      <c r="B2928" s="18" t="n">
        <v>566371.550501685</v>
      </c>
      <c r="C2928" s="18" t="n">
        <v>0</v>
      </c>
      <c r="D2928" s="0" t="n">
        <v>0</v>
      </c>
      <c r="E2928" s="19" t="n">
        <v>44.6666666666667</v>
      </c>
    </row>
    <row r="2929" customFormat="false" ht="15" hidden="false" customHeight="false" outlineLevel="0" collapsed="false">
      <c r="A2929" s="0" t="n">
        <v>2928</v>
      </c>
      <c r="B2929" s="18" t="n">
        <v>515002.744258078</v>
      </c>
      <c r="C2929" s="18" t="n">
        <v>0</v>
      </c>
      <c r="D2929" s="0" t="n">
        <v>0</v>
      </c>
      <c r="E2929" s="19" t="n">
        <v>38.1666666666667</v>
      </c>
    </row>
    <row r="2930" customFormat="false" ht="15" hidden="false" customHeight="false" outlineLevel="0" collapsed="false">
      <c r="A2930" s="0" t="n">
        <v>2929</v>
      </c>
      <c r="B2930" s="18" t="n">
        <v>603792.317313454</v>
      </c>
      <c r="C2930" s="18" t="n">
        <v>0</v>
      </c>
      <c r="D2930" s="0" t="n">
        <v>0</v>
      </c>
      <c r="E2930" s="19" t="n">
        <v>34.25</v>
      </c>
    </row>
    <row r="2931" customFormat="false" ht="15" hidden="false" customHeight="false" outlineLevel="0" collapsed="false">
      <c r="A2931" s="0" t="n">
        <v>2930</v>
      </c>
      <c r="B2931" s="18" t="n">
        <v>1168032.99310562</v>
      </c>
      <c r="C2931" s="18" t="n">
        <v>8995744.82123243</v>
      </c>
      <c r="D2931" s="0" t="n">
        <v>1</v>
      </c>
    </row>
    <row r="2932" customFormat="false" ht="15" hidden="false" customHeight="false" outlineLevel="0" collapsed="false">
      <c r="A2932" s="0" t="n">
        <v>2931</v>
      </c>
      <c r="B2932" s="18" t="n">
        <v>989441.284478349</v>
      </c>
      <c r="C2932" s="18" t="n">
        <v>0</v>
      </c>
      <c r="D2932" s="0" t="n">
        <v>0</v>
      </c>
      <c r="E2932" s="19" t="n">
        <v>48.4166666666667</v>
      </c>
    </row>
    <row r="2933" customFormat="false" ht="15" hidden="false" customHeight="false" outlineLevel="0" collapsed="false">
      <c r="A2933" s="0" t="n">
        <v>2932</v>
      </c>
      <c r="B2933" s="18" t="n">
        <v>572613.567851692</v>
      </c>
      <c r="C2933" s="18" t="n">
        <v>0</v>
      </c>
      <c r="D2933" s="0" t="n">
        <v>0</v>
      </c>
      <c r="E2933" s="19" t="n">
        <v>33.6666666666667</v>
      </c>
    </row>
    <row r="2934" customFormat="false" ht="15" hidden="false" customHeight="false" outlineLevel="0" collapsed="false">
      <c r="A2934" s="0" t="n">
        <v>2933</v>
      </c>
      <c r="B2934" s="18" t="n">
        <v>1017589.99661928</v>
      </c>
      <c r="C2934" s="18" t="n">
        <v>178496.487014816</v>
      </c>
      <c r="D2934" s="0" t="n">
        <v>1</v>
      </c>
    </row>
    <row r="2935" customFormat="false" ht="15" hidden="false" customHeight="false" outlineLevel="0" collapsed="false">
      <c r="A2935" s="0" t="n">
        <v>2934</v>
      </c>
      <c r="B2935" s="18" t="n">
        <v>2140828.59876944</v>
      </c>
      <c r="C2935" s="18" t="n">
        <v>568869.807176475</v>
      </c>
      <c r="D2935" s="0" t="n">
        <v>1</v>
      </c>
    </row>
    <row r="2936" customFormat="false" ht="15" hidden="false" customHeight="false" outlineLevel="0" collapsed="false">
      <c r="A2936" s="0" t="n">
        <v>2935</v>
      </c>
      <c r="B2936" s="18" t="n">
        <v>1192496.94758509</v>
      </c>
      <c r="C2936" s="18" t="n">
        <v>1874027.35996737</v>
      </c>
      <c r="D2936" s="0" t="n">
        <v>1</v>
      </c>
    </row>
    <row r="2937" customFormat="false" ht="15" hidden="false" customHeight="false" outlineLevel="0" collapsed="false">
      <c r="A2937" s="0" t="n">
        <v>2936</v>
      </c>
      <c r="B2937" s="18" t="n">
        <v>421765.549506852</v>
      </c>
      <c r="C2937" s="18" t="n">
        <v>0</v>
      </c>
      <c r="D2937" s="0" t="n">
        <v>0</v>
      </c>
      <c r="E2937" s="19" t="n">
        <v>31.5833333333333</v>
      </c>
    </row>
    <row r="2938" customFormat="false" ht="15" hidden="false" customHeight="false" outlineLevel="0" collapsed="false">
      <c r="A2938" s="0" t="n">
        <v>2937</v>
      </c>
      <c r="B2938" s="18" t="n">
        <v>1369926.23508808</v>
      </c>
      <c r="C2938" s="18" t="n">
        <v>0</v>
      </c>
      <c r="D2938" s="0" t="n">
        <v>0</v>
      </c>
      <c r="E2938" s="19" t="n">
        <v>48.0833333333333</v>
      </c>
    </row>
    <row r="2939" customFormat="false" ht="15" hidden="false" customHeight="false" outlineLevel="0" collapsed="false">
      <c r="A2939" s="0" t="n">
        <v>2938</v>
      </c>
      <c r="B2939" s="18" t="n">
        <v>371729.909369577</v>
      </c>
      <c r="C2939" s="18" t="n">
        <v>0</v>
      </c>
      <c r="D2939" s="0" t="n">
        <v>0</v>
      </c>
      <c r="E2939" s="19" t="n">
        <v>31.25</v>
      </c>
    </row>
    <row r="2940" customFormat="false" ht="15" hidden="false" customHeight="false" outlineLevel="0" collapsed="false">
      <c r="A2940" s="0" t="n">
        <v>2939</v>
      </c>
      <c r="B2940" s="18" t="n">
        <v>962188.152763594</v>
      </c>
      <c r="C2940" s="18" t="n">
        <v>0</v>
      </c>
      <c r="D2940" s="0" t="n">
        <v>0</v>
      </c>
      <c r="E2940" s="19" t="n">
        <v>39</v>
      </c>
    </row>
    <row r="2941" customFormat="false" ht="15" hidden="false" customHeight="false" outlineLevel="0" collapsed="false">
      <c r="A2941" s="0" t="n">
        <v>2940</v>
      </c>
      <c r="B2941" s="18" t="n">
        <v>1719481.06289332</v>
      </c>
      <c r="C2941" s="18" t="n">
        <v>0</v>
      </c>
      <c r="D2941" s="0" t="n">
        <v>0</v>
      </c>
      <c r="E2941" s="19" t="n">
        <v>49</v>
      </c>
    </row>
    <row r="2942" customFormat="false" ht="15" hidden="false" customHeight="false" outlineLevel="0" collapsed="false">
      <c r="A2942" s="0" t="n">
        <v>2941</v>
      </c>
      <c r="B2942" s="18" t="n">
        <v>1822961.39929495</v>
      </c>
      <c r="C2942" s="18" t="n">
        <v>3833368.1237833</v>
      </c>
      <c r="D2942" s="0" t="n">
        <v>1</v>
      </c>
    </row>
    <row r="2943" customFormat="false" ht="15" hidden="false" customHeight="false" outlineLevel="0" collapsed="false">
      <c r="A2943" s="0" t="n">
        <v>2942</v>
      </c>
      <c r="B2943" s="18" t="n">
        <v>1607082.81592679</v>
      </c>
      <c r="C2943" s="18" t="n">
        <v>19588551.8337672</v>
      </c>
      <c r="D2943" s="0" t="n">
        <v>1</v>
      </c>
    </row>
    <row r="2944" customFormat="false" ht="15" hidden="false" customHeight="false" outlineLevel="0" collapsed="false">
      <c r="A2944" s="0" t="n">
        <v>2943</v>
      </c>
      <c r="B2944" s="18" t="n">
        <v>795819.088776482</v>
      </c>
      <c r="C2944" s="18" t="n">
        <v>0</v>
      </c>
      <c r="D2944" s="0" t="n">
        <v>0</v>
      </c>
      <c r="E2944" s="19" t="n">
        <v>44</v>
      </c>
    </row>
    <row r="2945" customFormat="false" ht="15" hidden="false" customHeight="false" outlineLevel="0" collapsed="false">
      <c r="A2945" s="0" t="n">
        <v>2944</v>
      </c>
      <c r="B2945" s="18" t="n">
        <v>625377.937445096</v>
      </c>
      <c r="C2945" s="18" t="n">
        <v>0</v>
      </c>
      <c r="D2945" s="0" t="n">
        <v>0</v>
      </c>
      <c r="E2945" s="19" t="n">
        <v>36.5833333333333</v>
      </c>
    </row>
    <row r="2946" customFormat="false" ht="15" hidden="false" customHeight="false" outlineLevel="0" collapsed="false">
      <c r="A2946" s="0" t="n">
        <v>2945</v>
      </c>
      <c r="B2946" s="18" t="n">
        <v>706289.203792432</v>
      </c>
      <c r="C2946" s="18" t="n">
        <v>0</v>
      </c>
      <c r="D2946" s="0" t="n">
        <v>0</v>
      </c>
      <c r="E2946" s="19" t="n">
        <v>45.5833333333333</v>
      </c>
    </row>
    <row r="2947" customFormat="false" ht="15" hidden="false" customHeight="false" outlineLevel="0" collapsed="false">
      <c r="A2947" s="0" t="n">
        <v>2946</v>
      </c>
      <c r="B2947" s="18" t="n">
        <v>1342157.84057918</v>
      </c>
      <c r="C2947" s="18" t="n">
        <v>0</v>
      </c>
      <c r="D2947" s="0" t="n">
        <v>0</v>
      </c>
      <c r="E2947" s="19" t="n">
        <v>50.25</v>
      </c>
    </row>
    <row r="2948" customFormat="false" ht="15" hidden="false" customHeight="false" outlineLevel="0" collapsed="false">
      <c r="A2948" s="0" t="n">
        <v>2947</v>
      </c>
      <c r="B2948" s="18" t="n">
        <v>910455.310647137</v>
      </c>
      <c r="C2948" s="18" t="n">
        <v>0</v>
      </c>
      <c r="D2948" s="0" t="n">
        <v>0</v>
      </c>
      <c r="E2948" s="19" t="n">
        <v>43.25</v>
      </c>
    </row>
    <row r="2949" customFormat="false" ht="15" hidden="false" customHeight="false" outlineLevel="0" collapsed="false">
      <c r="A2949" s="0" t="n">
        <v>2948</v>
      </c>
      <c r="B2949" s="18" t="n">
        <v>834060.17556245</v>
      </c>
      <c r="C2949" s="18" t="n">
        <v>1022650.92023878</v>
      </c>
      <c r="D2949" s="0" t="n">
        <v>1</v>
      </c>
    </row>
    <row r="2950" customFormat="false" ht="15" hidden="false" customHeight="false" outlineLevel="0" collapsed="false">
      <c r="A2950" s="0" t="n">
        <v>2949</v>
      </c>
      <c r="B2950" s="18" t="n">
        <v>446509.913456097</v>
      </c>
      <c r="C2950" s="18" t="n">
        <v>0</v>
      </c>
      <c r="D2950" s="0" t="n">
        <v>0</v>
      </c>
      <c r="E2950" s="19" t="n">
        <v>31.9166666666667</v>
      </c>
    </row>
    <row r="2951" customFormat="false" ht="15" hidden="false" customHeight="false" outlineLevel="0" collapsed="false">
      <c r="A2951" s="0" t="n">
        <v>2950</v>
      </c>
      <c r="B2951" s="18" t="n">
        <v>1181031.86157243</v>
      </c>
      <c r="C2951" s="18" t="n">
        <v>875813.330928932</v>
      </c>
      <c r="D2951" s="0" t="n">
        <v>1</v>
      </c>
    </row>
    <row r="2952" customFormat="false" ht="15" hidden="false" customHeight="false" outlineLevel="0" collapsed="false">
      <c r="A2952" s="0" t="n">
        <v>2951</v>
      </c>
      <c r="B2952" s="18" t="n">
        <v>936256.533421297</v>
      </c>
      <c r="C2952" s="18" t="n">
        <v>0</v>
      </c>
      <c r="D2952" s="0" t="n">
        <v>0</v>
      </c>
      <c r="E2952" s="19" t="n">
        <v>38.1666666666667</v>
      </c>
    </row>
    <row r="2953" customFormat="false" ht="15" hidden="false" customHeight="false" outlineLevel="0" collapsed="false">
      <c r="A2953" s="0" t="n">
        <v>2952</v>
      </c>
      <c r="B2953" s="18" t="n">
        <v>609680.121309148</v>
      </c>
      <c r="C2953" s="18" t="n">
        <v>0</v>
      </c>
      <c r="D2953" s="0" t="n">
        <v>0</v>
      </c>
      <c r="E2953" s="19" t="n">
        <v>43.9166666666667</v>
      </c>
    </row>
    <row r="2954" customFormat="false" ht="15" hidden="false" customHeight="false" outlineLevel="0" collapsed="false">
      <c r="A2954" s="0" t="n">
        <v>2953</v>
      </c>
      <c r="B2954" s="18" t="n">
        <v>1890503.99371532</v>
      </c>
      <c r="C2954" s="18" t="n">
        <v>0</v>
      </c>
      <c r="D2954" s="0" t="n">
        <v>0</v>
      </c>
      <c r="E2954" s="19" t="n">
        <v>49.4166666666667</v>
      </c>
    </row>
    <row r="2955" customFormat="false" ht="15" hidden="false" customHeight="false" outlineLevel="0" collapsed="false">
      <c r="A2955" s="0" t="n">
        <v>2954</v>
      </c>
      <c r="B2955" s="18" t="n">
        <v>1997548.96678509</v>
      </c>
      <c r="C2955" s="18" t="n">
        <v>8073000.86019895</v>
      </c>
      <c r="D2955" s="0" t="n">
        <v>1</v>
      </c>
    </row>
    <row r="2956" customFormat="false" ht="15" hidden="false" customHeight="false" outlineLevel="0" collapsed="false">
      <c r="A2956" s="0" t="n">
        <v>2955</v>
      </c>
      <c r="B2956" s="18" t="n">
        <v>660862.572118611</v>
      </c>
      <c r="C2956" s="18" t="n">
        <v>0</v>
      </c>
      <c r="D2956" s="0" t="n">
        <v>0</v>
      </c>
      <c r="E2956" s="19" t="n">
        <v>33</v>
      </c>
    </row>
    <row r="2957" customFormat="false" ht="15" hidden="false" customHeight="false" outlineLevel="0" collapsed="false">
      <c r="A2957" s="0" t="n">
        <v>2956</v>
      </c>
      <c r="B2957" s="18" t="n">
        <v>975573.635686598</v>
      </c>
      <c r="C2957" s="18" t="n">
        <v>0</v>
      </c>
      <c r="D2957" s="0" t="n">
        <v>0</v>
      </c>
      <c r="E2957" s="19" t="n">
        <v>37.25</v>
      </c>
    </row>
    <row r="2958" customFormat="false" ht="15" hidden="false" customHeight="false" outlineLevel="0" collapsed="false">
      <c r="A2958" s="0" t="n">
        <v>2957</v>
      </c>
      <c r="B2958" s="18" t="n">
        <v>574788.490961965</v>
      </c>
      <c r="C2958" s="18" t="n">
        <v>0</v>
      </c>
      <c r="D2958" s="0" t="n">
        <v>0</v>
      </c>
      <c r="E2958" s="19" t="n">
        <v>33.75</v>
      </c>
    </row>
    <row r="2959" customFormat="false" ht="15" hidden="false" customHeight="false" outlineLevel="0" collapsed="false">
      <c r="A2959" s="0" t="n">
        <v>2958</v>
      </c>
      <c r="B2959" s="18" t="n">
        <v>700991.932555677</v>
      </c>
      <c r="C2959" s="18" t="n">
        <v>1646980.10460856</v>
      </c>
      <c r="D2959" s="0" t="n">
        <v>1</v>
      </c>
    </row>
    <row r="2960" customFormat="false" ht="15" hidden="false" customHeight="false" outlineLevel="0" collapsed="false">
      <c r="A2960" s="0" t="n">
        <v>2959</v>
      </c>
      <c r="B2960" s="18" t="n">
        <v>848586.291620645</v>
      </c>
      <c r="C2960" s="18" t="n">
        <v>0</v>
      </c>
      <c r="D2960" s="0" t="n">
        <v>0</v>
      </c>
      <c r="E2960" s="19" t="n">
        <v>35.8333333333333</v>
      </c>
    </row>
    <row r="2961" customFormat="false" ht="15" hidden="false" customHeight="false" outlineLevel="0" collapsed="false">
      <c r="A2961" s="0" t="n">
        <v>2960</v>
      </c>
      <c r="B2961" s="18" t="n">
        <v>530030.91434267</v>
      </c>
      <c r="C2961" s="18" t="n">
        <v>0</v>
      </c>
      <c r="D2961" s="0" t="n">
        <v>0</v>
      </c>
      <c r="E2961" s="19" t="n">
        <v>40.8333333333333</v>
      </c>
    </row>
    <row r="2962" customFormat="false" ht="15" hidden="false" customHeight="false" outlineLevel="0" collapsed="false">
      <c r="A2962" s="0" t="n">
        <v>2961</v>
      </c>
      <c r="B2962" s="18" t="n">
        <v>672891.016706842</v>
      </c>
      <c r="C2962" s="18" t="n">
        <v>0</v>
      </c>
      <c r="D2962" s="0" t="n">
        <v>0</v>
      </c>
      <c r="E2962" s="19" t="n">
        <v>36.1666666666667</v>
      </c>
    </row>
    <row r="2963" customFormat="false" ht="15" hidden="false" customHeight="false" outlineLevel="0" collapsed="false">
      <c r="A2963" s="0" t="n">
        <v>2962</v>
      </c>
      <c r="B2963" s="18" t="n">
        <v>975228.088267755</v>
      </c>
      <c r="C2963" s="18" t="n">
        <v>0</v>
      </c>
      <c r="D2963" s="0" t="n">
        <v>0</v>
      </c>
      <c r="E2963" s="19" t="n">
        <v>51.6666666666667</v>
      </c>
    </row>
    <row r="2964" customFormat="false" ht="15" hidden="false" customHeight="false" outlineLevel="0" collapsed="false">
      <c r="A2964" s="0" t="n">
        <v>2963</v>
      </c>
      <c r="B2964" s="18" t="n">
        <v>524550.814757814</v>
      </c>
      <c r="C2964" s="18" t="n">
        <v>0</v>
      </c>
      <c r="D2964" s="0" t="n">
        <v>0</v>
      </c>
      <c r="E2964" s="19" t="n">
        <v>42.8333333333333</v>
      </c>
    </row>
    <row r="2965" customFormat="false" ht="15" hidden="false" customHeight="false" outlineLevel="0" collapsed="false">
      <c r="A2965" s="0" t="n">
        <v>2964</v>
      </c>
      <c r="B2965" s="18" t="n">
        <v>1326831.03294717</v>
      </c>
      <c r="C2965" s="18" t="n">
        <v>4387424.24204818</v>
      </c>
      <c r="D2965" s="0" t="n">
        <v>1</v>
      </c>
    </row>
    <row r="2966" customFormat="false" ht="15" hidden="false" customHeight="false" outlineLevel="0" collapsed="false">
      <c r="A2966" s="0" t="n">
        <v>2965</v>
      </c>
      <c r="B2966" s="18" t="n">
        <v>2973490.72087493</v>
      </c>
      <c r="C2966" s="18" t="n">
        <v>79921011.1406869</v>
      </c>
      <c r="D2966" s="0" t="n">
        <v>1</v>
      </c>
    </row>
    <row r="2967" customFormat="false" ht="15" hidden="false" customHeight="false" outlineLevel="0" collapsed="false">
      <c r="A2967" s="0" t="n">
        <v>2966</v>
      </c>
      <c r="B2967" s="18" t="n">
        <v>1228145.61866691</v>
      </c>
      <c r="C2967" s="18" t="n">
        <v>1195093.52863904</v>
      </c>
      <c r="D2967" s="0" t="n">
        <v>1</v>
      </c>
    </row>
    <row r="2968" customFormat="false" ht="15" hidden="false" customHeight="false" outlineLevel="0" collapsed="false">
      <c r="A2968" s="0" t="n">
        <v>2967</v>
      </c>
      <c r="B2968" s="18" t="n">
        <v>485274.513365847</v>
      </c>
      <c r="C2968" s="18" t="n">
        <v>0</v>
      </c>
      <c r="D2968" s="0" t="n">
        <v>0</v>
      </c>
      <c r="E2968" s="19" t="n">
        <v>31.75</v>
      </c>
    </row>
    <row r="2969" customFormat="false" ht="15" hidden="false" customHeight="false" outlineLevel="0" collapsed="false">
      <c r="A2969" s="0" t="n">
        <v>2968</v>
      </c>
      <c r="B2969" s="18" t="n">
        <v>950305.217901873</v>
      </c>
      <c r="C2969" s="18" t="n">
        <v>0</v>
      </c>
      <c r="D2969" s="0" t="n">
        <v>0</v>
      </c>
      <c r="E2969" s="19" t="n">
        <v>43.4166666666667</v>
      </c>
    </row>
    <row r="2970" customFormat="false" ht="15" hidden="false" customHeight="false" outlineLevel="0" collapsed="false">
      <c r="A2970" s="0" t="n">
        <v>2969</v>
      </c>
      <c r="B2970" s="18" t="n">
        <v>839418.681999674</v>
      </c>
      <c r="C2970" s="18" t="n">
        <v>2374766.67542893</v>
      </c>
      <c r="D2970" s="0" t="n">
        <v>1</v>
      </c>
    </row>
    <row r="2971" customFormat="false" ht="15" hidden="false" customHeight="false" outlineLevel="0" collapsed="false">
      <c r="A2971" s="0" t="n">
        <v>2970</v>
      </c>
      <c r="B2971" s="18" t="n">
        <v>1505340.46098942</v>
      </c>
      <c r="C2971" s="18" t="n">
        <v>6034252.17555692</v>
      </c>
      <c r="D2971" s="0" t="n">
        <v>1</v>
      </c>
    </row>
    <row r="2972" customFormat="false" ht="15" hidden="false" customHeight="false" outlineLevel="0" collapsed="false">
      <c r="A2972" s="0" t="n">
        <v>2971</v>
      </c>
      <c r="B2972" s="18" t="n">
        <v>1551081.78304487</v>
      </c>
      <c r="C2972" s="18" t="n">
        <v>6591806.54251654</v>
      </c>
      <c r="D2972" s="0" t="n">
        <v>1</v>
      </c>
    </row>
    <row r="2973" customFormat="false" ht="15" hidden="false" customHeight="false" outlineLevel="0" collapsed="false">
      <c r="A2973" s="0" t="n">
        <v>2972</v>
      </c>
      <c r="B2973" s="18" t="n">
        <v>1567203.02883837</v>
      </c>
      <c r="C2973" s="18" t="n">
        <v>0</v>
      </c>
      <c r="D2973" s="0" t="n">
        <v>0</v>
      </c>
      <c r="E2973" s="19" t="n">
        <v>44.6666666666667</v>
      </c>
    </row>
    <row r="2974" customFormat="false" ht="15" hidden="false" customHeight="false" outlineLevel="0" collapsed="false">
      <c r="A2974" s="0" t="n">
        <v>2973</v>
      </c>
      <c r="B2974" s="18" t="n">
        <v>1115403.69619722</v>
      </c>
      <c r="C2974" s="18" t="n">
        <v>0</v>
      </c>
      <c r="D2974" s="0" t="n">
        <v>0</v>
      </c>
      <c r="E2974" s="19" t="n">
        <v>47.1666666666667</v>
      </c>
    </row>
    <row r="2975" customFormat="false" ht="15" hidden="false" customHeight="false" outlineLevel="0" collapsed="false">
      <c r="A2975" s="0" t="n">
        <v>2974</v>
      </c>
      <c r="B2975" s="18" t="n">
        <v>597517.745343949</v>
      </c>
      <c r="C2975" s="18" t="n">
        <v>0</v>
      </c>
      <c r="D2975" s="0" t="n">
        <v>0</v>
      </c>
      <c r="E2975" s="19" t="n">
        <v>51.3333333333333</v>
      </c>
    </row>
    <row r="2976" customFormat="false" ht="15" hidden="false" customHeight="false" outlineLevel="0" collapsed="false">
      <c r="A2976" s="0" t="n">
        <v>2975</v>
      </c>
      <c r="B2976" s="18" t="n">
        <v>1575368.19476053</v>
      </c>
      <c r="C2976" s="18" t="n">
        <v>0</v>
      </c>
      <c r="D2976" s="0" t="n">
        <v>0</v>
      </c>
      <c r="E2976" s="19" t="n">
        <v>45.6666666666667</v>
      </c>
    </row>
    <row r="2977" customFormat="false" ht="15" hidden="false" customHeight="false" outlineLevel="0" collapsed="false">
      <c r="A2977" s="0" t="n">
        <v>2976</v>
      </c>
      <c r="B2977" s="18" t="n">
        <v>301943.343103587</v>
      </c>
      <c r="C2977" s="18" t="n">
        <v>0</v>
      </c>
      <c r="D2977" s="0" t="n">
        <v>0</v>
      </c>
      <c r="E2977" s="19" t="n">
        <v>31</v>
      </c>
    </row>
    <row r="2978" customFormat="false" ht="15" hidden="false" customHeight="false" outlineLevel="0" collapsed="false">
      <c r="A2978" s="0" t="n">
        <v>2977</v>
      </c>
      <c r="B2978" s="18" t="n">
        <v>1057899.48419623</v>
      </c>
      <c r="C2978" s="18" t="n">
        <v>1676670.70760413</v>
      </c>
      <c r="D2978" s="0" t="n">
        <v>1</v>
      </c>
    </row>
    <row r="2979" customFormat="false" ht="15" hidden="false" customHeight="false" outlineLevel="0" collapsed="false">
      <c r="A2979" s="0" t="n">
        <v>2978</v>
      </c>
      <c r="B2979" s="18" t="n">
        <v>2842490.9867481</v>
      </c>
      <c r="C2979" s="18" t="n">
        <v>5808029.28447956</v>
      </c>
      <c r="D2979" s="0" t="n">
        <v>1</v>
      </c>
    </row>
    <row r="2980" customFormat="false" ht="15" hidden="false" customHeight="false" outlineLevel="0" collapsed="false">
      <c r="A2980" s="0" t="n">
        <v>2979</v>
      </c>
      <c r="B2980" s="18" t="n">
        <v>674515.902820985</v>
      </c>
      <c r="C2980" s="18" t="n">
        <v>0</v>
      </c>
      <c r="D2980" s="0" t="n">
        <v>0</v>
      </c>
      <c r="E2980" s="19" t="n">
        <v>44.1666666666667</v>
      </c>
    </row>
    <row r="2981" customFormat="false" ht="15" hidden="false" customHeight="false" outlineLevel="0" collapsed="false">
      <c r="A2981" s="0" t="n">
        <v>2980</v>
      </c>
      <c r="B2981" s="18" t="n">
        <v>1470346.14441605</v>
      </c>
      <c r="C2981" s="18" t="n">
        <v>1542922.85053453</v>
      </c>
      <c r="D2981" s="0" t="n">
        <v>1</v>
      </c>
    </row>
    <row r="2982" customFormat="false" ht="15" hidden="false" customHeight="false" outlineLevel="0" collapsed="false">
      <c r="A2982" s="0" t="n">
        <v>2981</v>
      </c>
      <c r="B2982" s="18" t="n">
        <v>532846.129987383</v>
      </c>
      <c r="C2982" s="18" t="n">
        <v>0</v>
      </c>
      <c r="D2982" s="0" t="n">
        <v>0</v>
      </c>
      <c r="E2982" s="19" t="n">
        <v>34.0833333333333</v>
      </c>
    </row>
    <row r="2983" customFormat="false" ht="15" hidden="false" customHeight="false" outlineLevel="0" collapsed="false">
      <c r="A2983" s="0" t="n">
        <v>2982</v>
      </c>
      <c r="B2983" s="18" t="n">
        <v>1457777.83565744</v>
      </c>
      <c r="C2983" s="18" t="n">
        <v>1756751.34210111</v>
      </c>
      <c r="D2983" s="0" t="n">
        <v>1</v>
      </c>
    </row>
    <row r="2984" customFormat="false" ht="15" hidden="false" customHeight="false" outlineLevel="0" collapsed="false">
      <c r="A2984" s="0" t="n">
        <v>2983</v>
      </c>
      <c r="B2984" s="18" t="n">
        <v>1056329.78768429</v>
      </c>
      <c r="C2984" s="18" t="n">
        <v>0</v>
      </c>
      <c r="D2984" s="0" t="n">
        <v>0</v>
      </c>
      <c r="E2984" s="19" t="n">
        <v>48</v>
      </c>
    </row>
    <row r="2985" customFormat="false" ht="15" hidden="false" customHeight="false" outlineLevel="0" collapsed="false">
      <c r="A2985" s="0" t="n">
        <v>2984</v>
      </c>
      <c r="B2985" s="18" t="n">
        <v>539463.646696301</v>
      </c>
      <c r="C2985" s="18" t="n">
        <v>0</v>
      </c>
      <c r="D2985" s="0" t="n">
        <v>0</v>
      </c>
      <c r="E2985" s="19" t="n">
        <v>47.8333333333333</v>
      </c>
    </row>
    <row r="2986" customFormat="false" ht="15" hidden="false" customHeight="false" outlineLevel="0" collapsed="false">
      <c r="A2986" s="0" t="n">
        <v>2985</v>
      </c>
      <c r="B2986" s="18" t="n">
        <v>631418.575328787</v>
      </c>
      <c r="C2986" s="18" t="n">
        <v>0</v>
      </c>
      <c r="D2986" s="0" t="n">
        <v>0</v>
      </c>
      <c r="E2986" s="19" t="n">
        <v>33.9166666666667</v>
      </c>
    </row>
    <row r="2987" customFormat="false" ht="15" hidden="false" customHeight="false" outlineLevel="0" collapsed="false">
      <c r="A2987" s="0" t="n">
        <v>2986</v>
      </c>
      <c r="B2987" s="18" t="n">
        <v>870309.279256739</v>
      </c>
      <c r="C2987" s="18" t="n">
        <v>0</v>
      </c>
      <c r="D2987" s="0" t="n">
        <v>0</v>
      </c>
      <c r="E2987" s="19" t="n">
        <v>35.4166666666667</v>
      </c>
    </row>
    <row r="2988" customFormat="false" ht="15" hidden="false" customHeight="false" outlineLevel="0" collapsed="false">
      <c r="A2988" s="0" t="n">
        <v>2987</v>
      </c>
      <c r="B2988" s="18" t="n">
        <v>2247240.36798592</v>
      </c>
      <c r="C2988" s="18" t="n">
        <v>0</v>
      </c>
      <c r="D2988" s="0" t="n">
        <v>0</v>
      </c>
      <c r="E2988" s="19" t="n">
        <v>47.5</v>
      </c>
    </row>
    <row r="2989" customFormat="false" ht="15" hidden="false" customHeight="false" outlineLevel="0" collapsed="false">
      <c r="A2989" s="0" t="n">
        <v>2988</v>
      </c>
      <c r="B2989" s="18" t="n">
        <v>1367367.81582445</v>
      </c>
      <c r="C2989" s="18" t="n">
        <v>0</v>
      </c>
      <c r="D2989" s="0" t="n">
        <v>0</v>
      </c>
      <c r="E2989" s="19" t="n">
        <v>53.9166666666667</v>
      </c>
    </row>
    <row r="2990" customFormat="false" ht="15" hidden="false" customHeight="false" outlineLevel="0" collapsed="false">
      <c r="A2990" s="0" t="n">
        <v>2989</v>
      </c>
      <c r="B2990" s="18" t="n">
        <v>337128.259759388</v>
      </c>
      <c r="C2990" s="18" t="n">
        <v>0</v>
      </c>
      <c r="D2990" s="0" t="n">
        <v>0</v>
      </c>
      <c r="E2990" s="19" t="n">
        <v>30.75</v>
      </c>
    </row>
    <row r="2991" customFormat="false" ht="15" hidden="false" customHeight="false" outlineLevel="0" collapsed="false">
      <c r="A2991" s="0" t="n">
        <v>2990</v>
      </c>
      <c r="B2991" s="18" t="n">
        <v>986205.310310412</v>
      </c>
      <c r="C2991" s="18" t="n">
        <v>0</v>
      </c>
      <c r="D2991" s="0" t="n">
        <v>0</v>
      </c>
      <c r="E2991" s="19" t="n">
        <v>38.5</v>
      </c>
    </row>
    <row r="2992" customFormat="false" ht="15" hidden="false" customHeight="false" outlineLevel="0" collapsed="false">
      <c r="A2992" s="0" t="n">
        <v>2991</v>
      </c>
      <c r="B2992" s="18" t="n">
        <v>1481055.70131599</v>
      </c>
      <c r="C2992" s="18" t="n">
        <v>3805817.51275474</v>
      </c>
      <c r="D2992" s="0" t="n">
        <v>1</v>
      </c>
    </row>
    <row r="2993" customFormat="false" ht="15" hidden="false" customHeight="false" outlineLevel="0" collapsed="false">
      <c r="A2993" s="0" t="n">
        <v>2992</v>
      </c>
      <c r="B2993" s="18" t="n">
        <v>443433.03491527</v>
      </c>
      <c r="C2993" s="18" t="n">
        <v>0</v>
      </c>
      <c r="D2993" s="0" t="n">
        <v>0</v>
      </c>
      <c r="E2993" s="19" t="n">
        <v>32.6666666666667</v>
      </c>
    </row>
    <row r="2994" customFormat="false" ht="15" hidden="false" customHeight="false" outlineLevel="0" collapsed="false">
      <c r="A2994" s="0" t="n">
        <v>2993</v>
      </c>
      <c r="B2994" s="18" t="n">
        <v>634776.398755082</v>
      </c>
      <c r="C2994" s="18" t="n">
        <v>0</v>
      </c>
      <c r="D2994" s="0" t="n">
        <v>0</v>
      </c>
      <c r="E2994" s="19" t="n">
        <v>39.5</v>
      </c>
    </row>
    <row r="2995" customFormat="false" ht="15" hidden="false" customHeight="false" outlineLevel="0" collapsed="false">
      <c r="A2995" s="0" t="n">
        <v>2994</v>
      </c>
      <c r="B2995" s="18" t="n">
        <v>603583.057526282</v>
      </c>
      <c r="C2995" s="18" t="n">
        <v>0</v>
      </c>
      <c r="D2995" s="0" t="n">
        <v>0</v>
      </c>
      <c r="E2995" s="19" t="n">
        <v>34.4166666666667</v>
      </c>
    </row>
    <row r="2996" customFormat="false" ht="15" hidden="false" customHeight="false" outlineLevel="0" collapsed="false">
      <c r="A2996" s="0" t="n">
        <v>2995</v>
      </c>
      <c r="B2996" s="18" t="n">
        <v>913255.706716249</v>
      </c>
      <c r="C2996" s="18" t="n">
        <v>0</v>
      </c>
      <c r="D2996" s="0" t="n">
        <v>0</v>
      </c>
      <c r="E2996" s="19" t="n">
        <v>39.0833333333333</v>
      </c>
    </row>
    <row r="2997" customFormat="false" ht="15" hidden="false" customHeight="false" outlineLevel="0" collapsed="false">
      <c r="A2997" s="0" t="n">
        <v>2996</v>
      </c>
      <c r="B2997" s="18" t="n">
        <v>579982.515883954</v>
      </c>
      <c r="C2997" s="18" t="n">
        <v>0</v>
      </c>
      <c r="D2997" s="0" t="n">
        <v>0</v>
      </c>
      <c r="E2997" s="19" t="n">
        <v>40.25</v>
      </c>
    </row>
    <row r="2998" customFormat="false" ht="15" hidden="false" customHeight="false" outlineLevel="0" collapsed="false">
      <c r="A2998" s="0" t="n">
        <v>2997</v>
      </c>
      <c r="B2998" s="18" t="n">
        <v>730891.109143531</v>
      </c>
      <c r="C2998" s="18" t="n">
        <v>0</v>
      </c>
      <c r="D2998" s="0" t="n">
        <v>0</v>
      </c>
      <c r="E2998" s="19" t="n">
        <v>35.0833333333333</v>
      </c>
    </row>
    <row r="2999" customFormat="false" ht="15" hidden="false" customHeight="false" outlineLevel="0" collapsed="false">
      <c r="A2999" s="0" t="n">
        <v>2998</v>
      </c>
      <c r="B2999" s="18" t="n">
        <v>587894.794199334</v>
      </c>
      <c r="C2999" s="18" t="n">
        <v>0</v>
      </c>
      <c r="D2999" s="0" t="n">
        <v>0</v>
      </c>
      <c r="E2999" s="19" t="n">
        <v>38.9166666666667</v>
      </c>
    </row>
    <row r="3000" customFormat="false" ht="15" hidden="false" customHeight="false" outlineLevel="0" collapsed="false">
      <c r="A3000" s="0" t="n">
        <v>2999</v>
      </c>
      <c r="B3000" s="18" t="n">
        <v>412139.30631791</v>
      </c>
      <c r="C3000" s="18" t="n">
        <v>0</v>
      </c>
      <c r="D3000" s="0" t="n">
        <v>0</v>
      </c>
      <c r="E3000" s="19" t="n">
        <v>31.25</v>
      </c>
    </row>
    <row r="3001" customFormat="false" ht="15" hidden="false" customHeight="false" outlineLevel="0" collapsed="false">
      <c r="A3001" s="0" t="n">
        <v>3000</v>
      </c>
      <c r="B3001" s="18" t="n">
        <v>1153129.48500683</v>
      </c>
      <c r="C3001" s="18" t="n">
        <v>0</v>
      </c>
      <c r="D3001" s="0" t="n">
        <v>0</v>
      </c>
      <c r="E3001" s="19" t="n">
        <v>39.5</v>
      </c>
    </row>
    <row r="3002" customFormat="false" ht="15" hidden="false" customHeight="false" outlineLevel="0" collapsed="false">
      <c r="A3002" s="0" t="n">
        <v>3001</v>
      </c>
      <c r="B3002" s="18" t="n">
        <v>812168.290525649</v>
      </c>
      <c r="C3002" s="18" t="n">
        <v>0</v>
      </c>
      <c r="D3002" s="0" t="n">
        <v>0</v>
      </c>
      <c r="E3002" s="19" t="n">
        <v>44.4166666666667</v>
      </c>
    </row>
    <row r="3003" customFormat="false" ht="15" hidden="false" customHeight="false" outlineLevel="0" collapsed="false">
      <c r="A3003" s="0" t="n">
        <v>3002</v>
      </c>
      <c r="B3003" s="18" t="n">
        <v>1172171.91720292</v>
      </c>
      <c r="C3003" s="18" t="n">
        <v>0</v>
      </c>
      <c r="D3003" s="0" t="n">
        <v>0</v>
      </c>
      <c r="E3003" s="19" t="n">
        <v>43.8333333333333</v>
      </c>
    </row>
    <row r="3004" customFormat="false" ht="15" hidden="false" customHeight="false" outlineLevel="0" collapsed="false">
      <c r="A3004" s="0" t="n">
        <v>3003</v>
      </c>
      <c r="B3004" s="18" t="n">
        <v>758051.547241571</v>
      </c>
      <c r="C3004" s="18" t="n">
        <v>0</v>
      </c>
      <c r="D3004" s="0" t="n">
        <v>0</v>
      </c>
      <c r="E3004" s="19" t="n">
        <v>43.5833333333333</v>
      </c>
    </row>
    <row r="3005" customFormat="false" ht="15" hidden="false" customHeight="false" outlineLevel="0" collapsed="false">
      <c r="A3005" s="0" t="n">
        <v>3004</v>
      </c>
      <c r="B3005" s="18" t="n">
        <v>974011.060594296</v>
      </c>
      <c r="C3005" s="18" t="n">
        <v>0</v>
      </c>
      <c r="D3005" s="0" t="n">
        <v>0</v>
      </c>
      <c r="E3005" s="19" t="n">
        <v>48.4166666666667</v>
      </c>
    </row>
    <row r="3006" customFormat="false" ht="15" hidden="false" customHeight="false" outlineLevel="0" collapsed="false">
      <c r="A3006" s="0" t="n">
        <v>3005</v>
      </c>
      <c r="B3006" s="18" t="n">
        <v>1953932.5537367</v>
      </c>
      <c r="C3006" s="18" t="n">
        <v>7751575.73549148</v>
      </c>
      <c r="D3006" s="0" t="n">
        <v>1</v>
      </c>
    </row>
    <row r="3007" customFormat="false" ht="15" hidden="false" customHeight="false" outlineLevel="0" collapsed="false">
      <c r="A3007" s="0" t="n">
        <v>3006</v>
      </c>
      <c r="B3007" s="18" t="n">
        <v>1087333.91261277</v>
      </c>
      <c r="C3007" s="18" t="n">
        <v>168054.973774018</v>
      </c>
      <c r="D3007" s="0" t="n">
        <v>1</v>
      </c>
    </row>
    <row r="3008" customFormat="false" ht="15" hidden="false" customHeight="false" outlineLevel="0" collapsed="false">
      <c r="A3008" s="0" t="n">
        <v>3007</v>
      </c>
      <c r="B3008" s="18" t="n">
        <v>2602724.61595832</v>
      </c>
      <c r="C3008" s="18" t="n">
        <v>0</v>
      </c>
      <c r="D3008" s="0" t="n">
        <v>0</v>
      </c>
      <c r="E3008" s="19" t="n">
        <v>49.1666666666667</v>
      </c>
    </row>
    <row r="3009" customFormat="false" ht="15" hidden="false" customHeight="false" outlineLevel="0" collapsed="false">
      <c r="A3009" s="0" t="n">
        <v>3008</v>
      </c>
      <c r="B3009" s="18" t="n">
        <v>339993.56433867</v>
      </c>
      <c r="C3009" s="18" t="n">
        <v>0</v>
      </c>
      <c r="D3009" s="0" t="n">
        <v>0</v>
      </c>
      <c r="E3009" s="19" t="n">
        <v>30.25</v>
      </c>
    </row>
    <row r="3010" customFormat="false" ht="15" hidden="false" customHeight="false" outlineLevel="0" collapsed="false">
      <c r="A3010" s="0" t="n">
        <v>3009</v>
      </c>
      <c r="B3010" s="18" t="n">
        <v>349430.750001977</v>
      </c>
      <c r="C3010" s="18" t="n">
        <v>0</v>
      </c>
      <c r="D3010" s="0" t="n">
        <v>0</v>
      </c>
      <c r="E3010" s="19" t="n">
        <v>31</v>
      </c>
    </row>
    <row r="3011" customFormat="false" ht="15" hidden="false" customHeight="false" outlineLevel="0" collapsed="false">
      <c r="A3011" s="0" t="n">
        <v>3010</v>
      </c>
      <c r="B3011" s="18" t="n">
        <v>270630.95197984</v>
      </c>
      <c r="C3011" s="18" t="n">
        <v>0</v>
      </c>
      <c r="D3011" s="0" t="n">
        <v>0</v>
      </c>
      <c r="E3011" s="19" t="n">
        <v>28.5833333333333</v>
      </c>
    </row>
    <row r="3012" customFormat="false" ht="15" hidden="false" customHeight="false" outlineLevel="0" collapsed="false">
      <c r="A3012" s="0" t="n">
        <v>3011</v>
      </c>
      <c r="B3012" s="18" t="n">
        <v>1204683.14776104</v>
      </c>
      <c r="C3012" s="18" t="n">
        <v>115667.600922201</v>
      </c>
      <c r="D3012" s="0" t="n">
        <v>1</v>
      </c>
    </row>
    <row r="3013" customFormat="false" ht="15" hidden="false" customHeight="false" outlineLevel="0" collapsed="false">
      <c r="A3013" s="0" t="n">
        <v>3012</v>
      </c>
      <c r="B3013" s="18" t="n">
        <v>1281031.6794474</v>
      </c>
      <c r="C3013" s="18" t="n">
        <v>10851073.4326102</v>
      </c>
      <c r="D3013" s="0" t="n">
        <v>1</v>
      </c>
    </row>
    <row r="3014" customFormat="false" ht="15" hidden="false" customHeight="false" outlineLevel="0" collapsed="false">
      <c r="A3014" s="0" t="n">
        <v>3013</v>
      </c>
      <c r="B3014" s="18" t="n">
        <v>1617877.71442915</v>
      </c>
      <c r="C3014" s="18" t="n">
        <v>6476878.40424138</v>
      </c>
      <c r="D3014" s="0" t="n">
        <v>1</v>
      </c>
    </row>
    <row r="3015" customFormat="false" ht="15" hidden="false" customHeight="false" outlineLevel="0" collapsed="false">
      <c r="A3015" s="0" t="n">
        <v>3014</v>
      </c>
      <c r="B3015" s="18" t="n">
        <v>383731.480283367</v>
      </c>
      <c r="C3015" s="18" t="n">
        <v>0</v>
      </c>
      <c r="D3015" s="0" t="n">
        <v>0</v>
      </c>
      <c r="E3015" s="19" t="n">
        <v>32.8333333333333</v>
      </c>
    </row>
    <row r="3016" customFormat="false" ht="15" hidden="false" customHeight="false" outlineLevel="0" collapsed="false">
      <c r="A3016" s="0" t="n">
        <v>3015</v>
      </c>
      <c r="B3016" s="18" t="n">
        <v>1570324.76087339</v>
      </c>
      <c r="C3016" s="18" t="n">
        <v>0</v>
      </c>
      <c r="D3016" s="0" t="n">
        <v>0</v>
      </c>
      <c r="E3016" s="19" t="n">
        <v>54.9166666666667</v>
      </c>
    </row>
    <row r="3017" customFormat="false" ht="15" hidden="false" customHeight="false" outlineLevel="0" collapsed="false">
      <c r="A3017" s="0" t="n">
        <v>3016</v>
      </c>
      <c r="B3017" s="18" t="n">
        <v>656958.728540831</v>
      </c>
      <c r="C3017" s="18" t="n">
        <v>0</v>
      </c>
      <c r="D3017" s="0" t="n">
        <v>0</v>
      </c>
      <c r="E3017" s="19" t="n">
        <v>34.25</v>
      </c>
    </row>
    <row r="3018" customFormat="false" ht="15" hidden="false" customHeight="false" outlineLevel="0" collapsed="false">
      <c r="A3018" s="0" t="n">
        <v>3017</v>
      </c>
      <c r="B3018" s="18" t="n">
        <v>2064378.55475212</v>
      </c>
      <c r="C3018" s="18" t="n">
        <v>12579609.7762961</v>
      </c>
      <c r="D3018" s="0" t="n">
        <v>1</v>
      </c>
    </row>
    <row r="3019" customFormat="false" ht="15" hidden="false" customHeight="false" outlineLevel="0" collapsed="false">
      <c r="A3019" s="0" t="n">
        <v>3018</v>
      </c>
      <c r="B3019" s="18" t="n">
        <v>1584088.24759711</v>
      </c>
      <c r="C3019" s="18" t="n">
        <v>44094293.534621</v>
      </c>
      <c r="D3019" s="0" t="n">
        <v>1</v>
      </c>
    </row>
    <row r="3020" customFormat="false" ht="15" hidden="false" customHeight="false" outlineLevel="0" collapsed="false">
      <c r="A3020" s="0" t="n">
        <v>3019</v>
      </c>
      <c r="B3020" s="18" t="n">
        <v>621555.303660993</v>
      </c>
      <c r="C3020" s="18" t="n">
        <v>0</v>
      </c>
      <c r="D3020" s="0" t="n">
        <v>0</v>
      </c>
      <c r="E3020" s="19" t="n">
        <v>37.5833333333333</v>
      </c>
    </row>
    <row r="3021" customFormat="false" ht="15" hidden="false" customHeight="false" outlineLevel="0" collapsed="false">
      <c r="A3021" s="0" t="n">
        <v>3020</v>
      </c>
      <c r="B3021" s="18" t="n">
        <v>754597.30739527</v>
      </c>
      <c r="C3021" s="18" t="n">
        <v>0</v>
      </c>
      <c r="D3021" s="0" t="n">
        <v>0</v>
      </c>
      <c r="E3021" s="19" t="n">
        <v>36.5833333333333</v>
      </c>
    </row>
    <row r="3022" customFormat="false" ht="15" hidden="false" customHeight="false" outlineLevel="0" collapsed="false">
      <c r="A3022" s="0" t="n">
        <v>3021</v>
      </c>
      <c r="B3022" s="18" t="n">
        <v>1296141.53107458</v>
      </c>
      <c r="C3022" s="18" t="n">
        <v>0</v>
      </c>
      <c r="D3022" s="0" t="n">
        <v>0</v>
      </c>
      <c r="E3022" s="19" t="n">
        <v>43.4166666666667</v>
      </c>
    </row>
    <row r="3023" customFormat="false" ht="15" hidden="false" customHeight="false" outlineLevel="0" collapsed="false">
      <c r="A3023" s="0" t="n">
        <v>3022</v>
      </c>
      <c r="B3023" s="18" t="n">
        <v>1413500.87095157</v>
      </c>
      <c r="C3023" s="18" t="n">
        <v>1718494.60645787</v>
      </c>
      <c r="D3023" s="0" t="n">
        <v>1</v>
      </c>
    </row>
    <row r="3024" customFormat="false" ht="15" hidden="false" customHeight="false" outlineLevel="0" collapsed="false">
      <c r="A3024" s="0" t="n">
        <v>3023</v>
      </c>
      <c r="B3024" s="18" t="n">
        <v>753453.243302988</v>
      </c>
      <c r="C3024" s="18" t="n">
        <v>0</v>
      </c>
      <c r="D3024" s="0" t="n">
        <v>0</v>
      </c>
      <c r="E3024" s="19" t="n">
        <v>50.5</v>
      </c>
    </row>
    <row r="3025" customFormat="false" ht="15" hidden="false" customHeight="false" outlineLevel="0" collapsed="false">
      <c r="A3025" s="0" t="n">
        <v>3024</v>
      </c>
      <c r="B3025" s="18" t="n">
        <v>916376.721576037</v>
      </c>
      <c r="C3025" s="18" t="n">
        <v>0</v>
      </c>
      <c r="D3025" s="0" t="n">
        <v>0</v>
      </c>
      <c r="E3025" s="19" t="n">
        <v>44.8333333333333</v>
      </c>
    </row>
    <row r="3026" customFormat="false" ht="15" hidden="false" customHeight="false" outlineLevel="0" collapsed="false">
      <c r="A3026" s="0" t="n">
        <v>3025</v>
      </c>
      <c r="B3026" s="18" t="n">
        <v>1355043.55807895</v>
      </c>
      <c r="C3026" s="18" t="n">
        <v>0</v>
      </c>
      <c r="D3026" s="0" t="n">
        <v>0</v>
      </c>
      <c r="E3026" s="19" t="n">
        <v>43.0833333333333</v>
      </c>
    </row>
    <row r="3027" customFormat="false" ht="15" hidden="false" customHeight="false" outlineLevel="0" collapsed="false">
      <c r="A3027" s="0" t="n">
        <v>3026</v>
      </c>
      <c r="B3027" s="18" t="n">
        <v>459488.364112723</v>
      </c>
      <c r="C3027" s="18" t="n">
        <v>0</v>
      </c>
      <c r="D3027" s="0" t="n">
        <v>0</v>
      </c>
      <c r="E3027" s="19" t="n">
        <v>36.8333333333333</v>
      </c>
    </row>
    <row r="3028" customFormat="false" ht="15" hidden="false" customHeight="false" outlineLevel="0" collapsed="false">
      <c r="A3028" s="0" t="n">
        <v>3027</v>
      </c>
      <c r="B3028" s="18" t="n">
        <v>651284.165023812</v>
      </c>
      <c r="C3028" s="18" t="n">
        <v>0</v>
      </c>
      <c r="D3028" s="0" t="n">
        <v>0</v>
      </c>
      <c r="E3028" s="19" t="n">
        <v>44.1666666666667</v>
      </c>
    </row>
    <row r="3029" customFormat="false" ht="15" hidden="false" customHeight="false" outlineLevel="0" collapsed="false">
      <c r="A3029" s="0" t="n">
        <v>3028</v>
      </c>
      <c r="B3029" s="18" t="n">
        <v>689882.412027067</v>
      </c>
      <c r="C3029" s="18" t="n">
        <v>0</v>
      </c>
      <c r="D3029" s="0" t="n">
        <v>0</v>
      </c>
      <c r="E3029" s="19" t="n">
        <v>40.3333333333333</v>
      </c>
    </row>
    <row r="3030" customFormat="false" ht="15" hidden="false" customHeight="false" outlineLevel="0" collapsed="false">
      <c r="A3030" s="0" t="n">
        <v>3029</v>
      </c>
      <c r="B3030" s="18" t="n">
        <v>780463.723095946</v>
      </c>
      <c r="C3030" s="18" t="n">
        <v>10906095.0665757</v>
      </c>
      <c r="D3030" s="0" t="n">
        <v>1</v>
      </c>
    </row>
    <row r="3031" customFormat="false" ht="15" hidden="false" customHeight="false" outlineLevel="0" collapsed="false">
      <c r="A3031" s="0" t="n">
        <v>3030</v>
      </c>
      <c r="B3031" s="18" t="n">
        <v>768613.615762471</v>
      </c>
      <c r="C3031" s="18" t="n">
        <v>0</v>
      </c>
      <c r="D3031" s="0" t="n">
        <v>0</v>
      </c>
      <c r="E3031" s="19" t="n">
        <v>44.9166666666667</v>
      </c>
    </row>
    <row r="3032" customFormat="false" ht="15" hidden="false" customHeight="false" outlineLevel="0" collapsed="false">
      <c r="A3032" s="0" t="n">
        <v>3031</v>
      </c>
      <c r="B3032" s="18" t="n">
        <v>1035261.44068676</v>
      </c>
      <c r="C3032" s="18" t="n">
        <v>0</v>
      </c>
      <c r="D3032" s="0" t="n">
        <v>0</v>
      </c>
      <c r="E3032" s="19" t="n">
        <v>47.0833333333333</v>
      </c>
    </row>
    <row r="3033" customFormat="false" ht="15" hidden="false" customHeight="false" outlineLevel="0" collapsed="false">
      <c r="A3033" s="0" t="n">
        <v>3032</v>
      </c>
      <c r="B3033" s="18" t="n">
        <v>587589.740673208</v>
      </c>
      <c r="C3033" s="18" t="n">
        <v>0</v>
      </c>
      <c r="D3033" s="0" t="n">
        <v>0</v>
      </c>
      <c r="E3033" s="19" t="n">
        <v>34.5</v>
      </c>
    </row>
    <row r="3034" customFormat="false" ht="15" hidden="false" customHeight="false" outlineLevel="0" collapsed="false">
      <c r="A3034" s="0" t="n">
        <v>3033</v>
      </c>
      <c r="B3034" s="18" t="n">
        <v>533304.936222841</v>
      </c>
      <c r="C3034" s="18" t="n">
        <v>0</v>
      </c>
      <c r="D3034" s="0" t="n">
        <v>0</v>
      </c>
      <c r="E3034" s="19" t="n">
        <v>34.5833333333333</v>
      </c>
    </row>
    <row r="3035" customFormat="false" ht="15" hidden="false" customHeight="false" outlineLevel="0" collapsed="false">
      <c r="A3035" s="0" t="n">
        <v>3034</v>
      </c>
      <c r="B3035" s="18" t="n">
        <v>862483.535497908</v>
      </c>
      <c r="C3035" s="18" t="n">
        <v>0</v>
      </c>
      <c r="D3035" s="0" t="n">
        <v>0</v>
      </c>
      <c r="E3035" s="19" t="n">
        <v>45.6666666666667</v>
      </c>
    </row>
    <row r="3036" customFormat="false" ht="15" hidden="false" customHeight="false" outlineLevel="0" collapsed="false">
      <c r="A3036" s="0" t="n">
        <v>3035</v>
      </c>
      <c r="B3036" s="18" t="n">
        <v>1972363.35532973</v>
      </c>
      <c r="C3036" s="18" t="n">
        <v>4917519.95177515</v>
      </c>
      <c r="D3036" s="0" t="n">
        <v>1</v>
      </c>
    </row>
    <row r="3037" customFormat="false" ht="15" hidden="false" customHeight="false" outlineLevel="0" collapsed="false">
      <c r="A3037" s="0" t="n">
        <v>3036</v>
      </c>
      <c r="B3037" s="18" t="n">
        <v>511876.686948049</v>
      </c>
      <c r="C3037" s="18" t="n">
        <v>0</v>
      </c>
      <c r="D3037" s="0" t="n">
        <v>0</v>
      </c>
      <c r="E3037" s="19" t="n">
        <v>39.1666666666667</v>
      </c>
    </row>
    <row r="3038" customFormat="false" ht="15" hidden="false" customHeight="false" outlineLevel="0" collapsed="false">
      <c r="A3038" s="0" t="n">
        <v>3037</v>
      </c>
      <c r="B3038" s="18" t="n">
        <v>903629.923872266</v>
      </c>
      <c r="C3038" s="18" t="n">
        <v>53677.3327871612</v>
      </c>
      <c r="D3038" s="0" t="n">
        <v>1</v>
      </c>
    </row>
    <row r="3039" customFormat="false" ht="15" hidden="false" customHeight="false" outlineLevel="0" collapsed="false">
      <c r="A3039" s="0" t="n">
        <v>3038</v>
      </c>
      <c r="B3039" s="18" t="n">
        <v>2174927.96962812</v>
      </c>
      <c r="C3039" s="18" t="n">
        <v>8536679.94434263</v>
      </c>
      <c r="D3039" s="0" t="n">
        <v>1</v>
      </c>
    </row>
    <row r="3040" customFormat="false" ht="15" hidden="false" customHeight="false" outlineLevel="0" collapsed="false">
      <c r="A3040" s="0" t="n">
        <v>3039</v>
      </c>
      <c r="B3040" s="18" t="n">
        <v>1222400.92889566</v>
      </c>
      <c r="C3040" s="18" t="n">
        <v>0</v>
      </c>
      <c r="D3040" s="0" t="n">
        <v>0</v>
      </c>
      <c r="E3040" s="19" t="n">
        <v>41.75</v>
      </c>
    </row>
    <row r="3041" customFormat="false" ht="15" hidden="false" customHeight="false" outlineLevel="0" collapsed="false">
      <c r="A3041" s="0" t="n">
        <v>3040</v>
      </c>
      <c r="B3041" s="18" t="n">
        <v>939909.486653438</v>
      </c>
      <c r="C3041" s="18" t="n">
        <v>0</v>
      </c>
      <c r="D3041" s="0" t="n">
        <v>0</v>
      </c>
      <c r="E3041" s="19" t="n">
        <v>40.1666666666667</v>
      </c>
    </row>
    <row r="3042" customFormat="false" ht="15" hidden="false" customHeight="false" outlineLevel="0" collapsed="false">
      <c r="A3042" s="0" t="n">
        <v>3041</v>
      </c>
      <c r="B3042" s="18" t="n">
        <v>617769.39447698</v>
      </c>
      <c r="C3042" s="18" t="n">
        <v>0</v>
      </c>
      <c r="D3042" s="0" t="n">
        <v>0</v>
      </c>
      <c r="E3042" s="19" t="n">
        <v>33.9166666666667</v>
      </c>
    </row>
    <row r="3043" customFormat="false" ht="15" hidden="false" customHeight="false" outlineLevel="0" collapsed="false">
      <c r="A3043" s="0" t="n">
        <v>3042</v>
      </c>
      <c r="B3043" s="18" t="n">
        <v>437205.742611022</v>
      </c>
      <c r="C3043" s="18" t="n">
        <v>0</v>
      </c>
      <c r="D3043" s="0" t="n">
        <v>0</v>
      </c>
      <c r="E3043" s="19" t="n">
        <v>32.1666666666667</v>
      </c>
    </row>
    <row r="3044" customFormat="false" ht="15" hidden="false" customHeight="false" outlineLevel="0" collapsed="false">
      <c r="A3044" s="0" t="n">
        <v>3043</v>
      </c>
      <c r="B3044" s="18" t="n">
        <v>3549352.80894889</v>
      </c>
      <c r="C3044" s="18" t="n">
        <v>1017683.95537041</v>
      </c>
      <c r="D3044" s="0" t="n">
        <v>1</v>
      </c>
    </row>
    <row r="3045" customFormat="false" ht="15" hidden="false" customHeight="false" outlineLevel="0" collapsed="false">
      <c r="A3045" s="0" t="n">
        <v>3044</v>
      </c>
      <c r="B3045" s="18" t="n">
        <v>1099730.36097661</v>
      </c>
      <c r="C3045" s="18" t="n">
        <v>5684895.84489036</v>
      </c>
      <c r="D3045" s="0" t="n">
        <v>1</v>
      </c>
    </row>
    <row r="3046" customFormat="false" ht="15" hidden="false" customHeight="false" outlineLevel="0" collapsed="false">
      <c r="A3046" s="0" t="n">
        <v>3045</v>
      </c>
      <c r="B3046" s="18" t="n">
        <v>917617.356729666</v>
      </c>
      <c r="C3046" s="18" t="n">
        <v>0</v>
      </c>
      <c r="D3046" s="0" t="n">
        <v>0</v>
      </c>
      <c r="E3046" s="19" t="n">
        <v>38.1666666666667</v>
      </c>
    </row>
    <row r="3047" customFormat="false" ht="15" hidden="false" customHeight="false" outlineLevel="0" collapsed="false">
      <c r="A3047" s="0" t="n">
        <v>3046</v>
      </c>
      <c r="B3047" s="18" t="n">
        <v>1498757.65193325</v>
      </c>
      <c r="C3047" s="18" t="n">
        <v>10529151.2820578</v>
      </c>
      <c r="D3047" s="0" t="n">
        <v>1</v>
      </c>
    </row>
    <row r="3048" customFormat="false" ht="15" hidden="false" customHeight="false" outlineLevel="0" collapsed="false">
      <c r="A3048" s="0" t="n">
        <v>3047</v>
      </c>
      <c r="B3048" s="18" t="n">
        <v>1995222.85631406</v>
      </c>
      <c r="C3048" s="18" t="n">
        <v>4498546.34814035</v>
      </c>
      <c r="D3048" s="0" t="n">
        <v>1</v>
      </c>
    </row>
    <row r="3049" customFormat="false" ht="15" hidden="false" customHeight="false" outlineLevel="0" collapsed="false">
      <c r="A3049" s="0" t="n">
        <v>3048</v>
      </c>
      <c r="B3049" s="18" t="n">
        <v>606564.237864243</v>
      </c>
      <c r="C3049" s="18" t="n">
        <v>0</v>
      </c>
      <c r="D3049" s="0" t="n">
        <v>0</v>
      </c>
      <c r="E3049" s="19" t="n">
        <v>33.3333333333333</v>
      </c>
    </row>
    <row r="3050" customFormat="false" ht="15" hidden="false" customHeight="false" outlineLevel="0" collapsed="false">
      <c r="A3050" s="0" t="n">
        <v>3049</v>
      </c>
      <c r="B3050" s="18" t="n">
        <v>359156.796383231</v>
      </c>
      <c r="C3050" s="18" t="n">
        <v>0</v>
      </c>
      <c r="D3050" s="0" t="n">
        <v>0</v>
      </c>
      <c r="E3050" s="19" t="n">
        <v>31.6666666666667</v>
      </c>
    </row>
    <row r="3051" customFormat="false" ht="15" hidden="false" customHeight="false" outlineLevel="0" collapsed="false">
      <c r="A3051" s="0" t="n">
        <v>3050</v>
      </c>
      <c r="B3051" s="18" t="n">
        <v>650612.382000623</v>
      </c>
      <c r="C3051" s="18" t="n">
        <v>83987.6998008948</v>
      </c>
      <c r="D3051" s="0" t="n">
        <v>1</v>
      </c>
    </row>
    <row r="3052" customFormat="false" ht="15" hidden="false" customHeight="false" outlineLevel="0" collapsed="false">
      <c r="A3052" s="0" t="n">
        <v>3051</v>
      </c>
      <c r="B3052" s="18" t="n">
        <v>1032509.13399039</v>
      </c>
      <c r="C3052" s="18" t="n">
        <v>0</v>
      </c>
      <c r="D3052" s="0" t="n">
        <v>0</v>
      </c>
      <c r="E3052" s="19" t="n">
        <v>50.4166666666667</v>
      </c>
    </row>
    <row r="3053" customFormat="false" ht="15" hidden="false" customHeight="false" outlineLevel="0" collapsed="false">
      <c r="A3053" s="0" t="n">
        <v>3052</v>
      </c>
      <c r="B3053" s="18" t="n">
        <v>552572.959216286</v>
      </c>
      <c r="C3053" s="18" t="n">
        <v>0</v>
      </c>
      <c r="D3053" s="0" t="n">
        <v>0</v>
      </c>
      <c r="E3053" s="19" t="n">
        <v>33.1666666666667</v>
      </c>
    </row>
    <row r="3054" customFormat="false" ht="15" hidden="false" customHeight="false" outlineLevel="0" collapsed="false">
      <c r="A3054" s="0" t="n">
        <v>3053</v>
      </c>
      <c r="B3054" s="18" t="n">
        <v>1285962.75821896</v>
      </c>
      <c r="C3054" s="18" t="n">
        <v>0</v>
      </c>
      <c r="D3054" s="0" t="n">
        <v>0</v>
      </c>
      <c r="E3054" s="19" t="n">
        <v>49.0833333333333</v>
      </c>
    </row>
    <row r="3055" customFormat="false" ht="15" hidden="false" customHeight="false" outlineLevel="0" collapsed="false">
      <c r="A3055" s="0" t="n">
        <v>3054</v>
      </c>
      <c r="B3055" s="18" t="n">
        <v>1246263.16588328</v>
      </c>
      <c r="C3055" s="18" t="n">
        <v>0</v>
      </c>
      <c r="D3055" s="0" t="n">
        <v>0</v>
      </c>
      <c r="E3055" s="19" t="n">
        <v>46.5833333333333</v>
      </c>
    </row>
    <row r="3056" customFormat="false" ht="15" hidden="false" customHeight="false" outlineLevel="0" collapsed="false">
      <c r="A3056" s="0" t="n">
        <v>3055</v>
      </c>
      <c r="B3056" s="18" t="n">
        <v>2306908.28630803</v>
      </c>
      <c r="C3056" s="18" t="n">
        <v>4460401.67614547</v>
      </c>
      <c r="D3056" s="0" t="n">
        <v>1</v>
      </c>
    </row>
    <row r="3057" customFormat="false" ht="15" hidden="false" customHeight="false" outlineLevel="0" collapsed="false">
      <c r="A3057" s="0" t="n">
        <v>3056</v>
      </c>
      <c r="B3057" s="18" t="n">
        <v>1567185.33081927</v>
      </c>
      <c r="C3057" s="18" t="n">
        <v>0</v>
      </c>
      <c r="D3057" s="0" t="n">
        <v>0</v>
      </c>
      <c r="E3057" s="19" t="n">
        <v>42.9166666666667</v>
      </c>
    </row>
    <row r="3058" customFormat="false" ht="15" hidden="false" customHeight="false" outlineLevel="0" collapsed="false">
      <c r="A3058" s="0" t="n">
        <v>3057</v>
      </c>
      <c r="B3058" s="18" t="n">
        <v>1760677.67068823</v>
      </c>
      <c r="C3058" s="18" t="n">
        <v>4263724.32648832</v>
      </c>
      <c r="D3058" s="0" t="n">
        <v>1</v>
      </c>
    </row>
    <row r="3059" customFormat="false" ht="15" hidden="false" customHeight="false" outlineLevel="0" collapsed="false">
      <c r="A3059" s="0" t="n">
        <v>3058</v>
      </c>
      <c r="B3059" s="18" t="n">
        <v>322428.599640871</v>
      </c>
      <c r="C3059" s="18" t="n">
        <v>0</v>
      </c>
      <c r="D3059" s="0" t="n">
        <v>0</v>
      </c>
      <c r="E3059" s="19" t="n">
        <v>31.1666666666667</v>
      </c>
    </row>
    <row r="3060" customFormat="false" ht="15" hidden="false" customHeight="false" outlineLevel="0" collapsed="false">
      <c r="A3060" s="0" t="n">
        <v>3059</v>
      </c>
      <c r="B3060" s="18" t="n">
        <v>462042.419996533</v>
      </c>
      <c r="C3060" s="18" t="n">
        <v>0</v>
      </c>
      <c r="D3060" s="0" t="n">
        <v>0</v>
      </c>
      <c r="E3060" s="19" t="n">
        <v>32.5833333333333</v>
      </c>
    </row>
    <row r="3061" customFormat="false" ht="15" hidden="false" customHeight="false" outlineLevel="0" collapsed="false">
      <c r="A3061" s="0" t="n">
        <v>3060</v>
      </c>
      <c r="B3061" s="18" t="n">
        <v>971549.877568164</v>
      </c>
      <c r="C3061" s="18" t="n">
        <v>0</v>
      </c>
      <c r="D3061" s="0" t="n">
        <v>0</v>
      </c>
      <c r="E3061" s="19" t="n">
        <v>46.75</v>
      </c>
    </row>
    <row r="3062" customFormat="false" ht="15" hidden="false" customHeight="false" outlineLevel="0" collapsed="false">
      <c r="A3062" s="0" t="n">
        <v>3061</v>
      </c>
      <c r="B3062" s="18" t="n">
        <v>466608.156025809</v>
      </c>
      <c r="C3062" s="18" t="n">
        <v>0</v>
      </c>
      <c r="D3062" s="0" t="n">
        <v>0</v>
      </c>
      <c r="E3062" s="19" t="n">
        <v>34.75</v>
      </c>
    </row>
    <row r="3063" customFormat="false" ht="15" hidden="false" customHeight="false" outlineLevel="0" collapsed="false">
      <c r="A3063" s="0" t="n">
        <v>3062</v>
      </c>
      <c r="B3063" s="18" t="n">
        <v>1046082.11968714</v>
      </c>
      <c r="C3063" s="18" t="n">
        <v>0</v>
      </c>
      <c r="D3063" s="0" t="n">
        <v>0</v>
      </c>
      <c r="E3063" s="19" t="n">
        <v>44</v>
      </c>
    </row>
    <row r="3064" customFormat="false" ht="15" hidden="false" customHeight="false" outlineLevel="0" collapsed="false">
      <c r="A3064" s="0" t="n">
        <v>3063</v>
      </c>
      <c r="B3064" s="18" t="n">
        <v>919580.821382876</v>
      </c>
      <c r="C3064" s="18" t="n">
        <v>0</v>
      </c>
      <c r="D3064" s="0" t="n">
        <v>0</v>
      </c>
      <c r="E3064" s="19" t="n">
        <v>49</v>
      </c>
    </row>
    <row r="3065" customFormat="false" ht="15" hidden="false" customHeight="false" outlineLevel="0" collapsed="false">
      <c r="A3065" s="0" t="n">
        <v>3064</v>
      </c>
      <c r="B3065" s="18" t="n">
        <v>751692.517146811</v>
      </c>
      <c r="C3065" s="18" t="n">
        <v>0</v>
      </c>
      <c r="D3065" s="0" t="n">
        <v>0</v>
      </c>
      <c r="E3065" s="19" t="n">
        <v>39.6666666666667</v>
      </c>
    </row>
    <row r="3066" customFormat="false" ht="15" hidden="false" customHeight="false" outlineLevel="0" collapsed="false">
      <c r="A3066" s="0" t="n">
        <v>3065</v>
      </c>
      <c r="B3066" s="18" t="n">
        <v>692025.883718971</v>
      </c>
      <c r="C3066" s="18" t="n">
        <v>0</v>
      </c>
      <c r="D3066" s="0" t="n">
        <v>0</v>
      </c>
      <c r="E3066" s="19" t="n">
        <v>48.5833333333333</v>
      </c>
    </row>
    <row r="3067" customFormat="false" ht="15" hidden="false" customHeight="false" outlineLevel="0" collapsed="false">
      <c r="A3067" s="0" t="n">
        <v>3066</v>
      </c>
      <c r="B3067" s="18" t="n">
        <v>668293.068453795</v>
      </c>
      <c r="C3067" s="18" t="n">
        <v>44609.4610325864</v>
      </c>
      <c r="D3067" s="0" t="n">
        <v>1</v>
      </c>
    </row>
    <row r="3068" customFormat="false" ht="15" hidden="false" customHeight="false" outlineLevel="0" collapsed="false">
      <c r="A3068" s="0" t="n">
        <v>3067</v>
      </c>
      <c r="B3068" s="18" t="n">
        <v>1074670.08231915</v>
      </c>
      <c r="C3068" s="18" t="n">
        <v>0</v>
      </c>
      <c r="D3068" s="0" t="n">
        <v>0</v>
      </c>
      <c r="E3068" s="19" t="n">
        <v>53.8333333333333</v>
      </c>
    </row>
    <row r="3069" customFormat="false" ht="15" hidden="false" customHeight="false" outlineLevel="0" collapsed="false">
      <c r="A3069" s="0" t="n">
        <v>3068</v>
      </c>
      <c r="B3069" s="18" t="n">
        <v>641918.206497965</v>
      </c>
      <c r="C3069" s="18" t="n">
        <v>0</v>
      </c>
      <c r="D3069" s="0" t="n">
        <v>0</v>
      </c>
      <c r="E3069" s="19" t="n">
        <v>41.1666666666667</v>
      </c>
    </row>
    <row r="3070" customFormat="false" ht="15" hidden="false" customHeight="false" outlineLevel="0" collapsed="false">
      <c r="A3070" s="0" t="n">
        <v>3069</v>
      </c>
      <c r="B3070" s="18" t="n">
        <v>675229.453233589</v>
      </c>
      <c r="C3070" s="18" t="n">
        <v>0</v>
      </c>
      <c r="D3070" s="0" t="n">
        <v>0</v>
      </c>
      <c r="E3070" s="19" t="n">
        <v>42.8333333333333</v>
      </c>
    </row>
    <row r="3071" customFormat="false" ht="15" hidden="false" customHeight="false" outlineLevel="0" collapsed="false">
      <c r="A3071" s="0" t="n">
        <v>3070</v>
      </c>
      <c r="B3071" s="18" t="n">
        <v>948162.401825472</v>
      </c>
      <c r="C3071" s="18" t="n">
        <v>0</v>
      </c>
      <c r="D3071" s="0" t="n">
        <v>0</v>
      </c>
      <c r="E3071" s="19" t="n">
        <v>52.6666666666667</v>
      </c>
    </row>
    <row r="3072" customFormat="false" ht="15" hidden="false" customHeight="false" outlineLevel="0" collapsed="false">
      <c r="A3072" s="0" t="n">
        <v>3071</v>
      </c>
      <c r="B3072" s="18" t="n">
        <v>495400.721012135</v>
      </c>
      <c r="C3072" s="18" t="n">
        <v>0</v>
      </c>
      <c r="D3072" s="0" t="n">
        <v>0</v>
      </c>
      <c r="E3072" s="19" t="n">
        <v>32</v>
      </c>
    </row>
    <row r="3073" customFormat="false" ht="15" hidden="false" customHeight="false" outlineLevel="0" collapsed="false">
      <c r="A3073" s="0" t="n">
        <v>3072</v>
      </c>
      <c r="B3073" s="18" t="n">
        <v>1648946.15015705</v>
      </c>
      <c r="C3073" s="18" t="n">
        <v>0</v>
      </c>
      <c r="D3073" s="0" t="n">
        <v>0</v>
      </c>
      <c r="E3073" s="19" t="n">
        <v>52.75</v>
      </c>
    </row>
    <row r="3074" customFormat="false" ht="15" hidden="false" customHeight="false" outlineLevel="0" collapsed="false">
      <c r="A3074" s="0" t="n">
        <v>3073</v>
      </c>
      <c r="B3074" s="18" t="n">
        <v>1003386.89488872</v>
      </c>
      <c r="C3074" s="18" t="n">
        <v>0</v>
      </c>
      <c r="D3074" s="0" t="n">
        <v>0</v>
      </c>
      <c r="E3074" s="19" t="n">
        <v>39.1666666666667</v>
      </c>
    </row>
    <row r="3075" customFormat="false" ht="15" hidden="false" customHeight="false" outlineLevel="0" collapsed="false">
      <c r="A3075" s="0" t="n">
        <v>3074</v>
      </c>
      <c r="B3075" s="18" t="n">
        <v>1446099.74748319</v>
      </c>
      <c r="C3075" s="18" t="n">
        <v>776554.82137406</v>
      </c>
      <c r="D3075" s="0" t="n">
        <v>1</v>
      </c>
    </row>
    <row r="3076" customFormat="false" ht="15" hidden="false" customHeight="false" outlineLevel="0" collapsed="false">
      <c r="A3076" s="0" t="n">
        <v>3075</v>
      </c>
      <c r="B3076" s="18" t="n">
        <v>436943.138859706</v>
      </c>
      <c r="C3076" s="18" t="n">
        <v>0</v>
      </c>
      <c r="D3076" s="0" t="n">
        <v>0</v>
      </c>
      <c r="E3076" s="19" t="n">
        <v>33.1666666666667</v>
      </c>
    </row>
    <row r="3077" customFormat="false" ht="15" hidden="false" customHeight="false" outlineLevel="0" collapsed="false">
      <c r="A3077" s="0" t="n">
        <v>3076</v>
      </c>
      <c r="B3077" s="18" t="n">
        <v>1132315.83258079</v>
      </c>
      <c r="C3077" s="18" t="n">
        <v>693374.884768122</v>
      </c>
      <c r="D3077" s="0" t="n">
        <v>1</v>
      </c>
    </row>
    <row r="3078" customFormat="false" ht="15" hidden="false" customHeight="false" outlineLevel="0" collapsed="false">
      <c r="A3078" s="0" t="n">
        <v>3077</v>
      </c>
      <c r="B3078" s="18" t="n">
        <v>1320252.84430125</v>
      </c>
      <c r="C3078" s="18" t="n">
        <v>1465074.68482182</v>
      </c>
      <c r="D3078" s="0" t="n">
        <v>1</v>
      </c>
    </row>
    <row r="3079" customFormat="false" ht="15" hidden="false" customHeight="false" outlineLevel="0" collapsed="false">
      <c r="A3079" s="0" t="n">
        <v>3078</v>
      </c>
      <c r="B3079" s="18" t="n">
        <v>1729004.94413709</v>
      </c>
      <c r="C3079" s="18" t="n">
        <v>6212719.42891368</v>
      </c>
      <c r="D3079" s="0" t="n">
        <v>1</v>
      </c>
    </row>
    <row r="3080" customFormat="false" ht="15" hidden="false" customHeight="false" outlineLevel="0" collapsed="false">
      <c r="A3080" s="0" t="n">
        <v>3079</v>
      </c>
      <c r="B3080" s="18" t="n">
        <v>1004141.76756636</v>
      </c>
      <c r="C3080" s="18" t="n">
        <v>938467.601861461</v>
      </c>
      <c r="D3080" s="0" t="n">
        <v>1</v>
      </c>
    </row>
    <row r="3081" customFormat="false" ht="15" hidden="false" customHeight="false" outlineLevel="0" collapsed="false">
      <c r="A3081" s="0" t="n">
        <v>3080</v>
      </c>
      <c r="B3081" s="18" t="n">
        <v>1837153.72299059</v>
      </c>
      <c r="C3081" s="18" t="n">
        <v>23391943.8203865</v>
      </c>
      <c r="D3081" s="0" t="n">
        <v>1</v>
      </c>
    </row>
    <row r="3082" customFormat="false" ht="15" hidden="false" customHeight="false" outlineLevel="0" collapsed="false">
      <c r="A3082" s="0" t="n">
        <v>3081</v>
      </c>
      <c r="B3082" s="18" t="n">
        <v>1438497.62071683</v>
      </c>
      <c r="C3082" s="18" t="n">
        <v>966840.957834162</v>
      </c>
      <c r="D3082" s="0" t="n">
        <v>1</v>
      </c>
    </row>
    <row r="3083" customFormat="false" ht="15" hidden="false" customHeight="false" outlineLevel="0" collapsed="false">
      <c r="A3083" s="0" t="n">
        <v>3082</v>
      </c>
      <c r="B3083" s="18" t="n">
        <v>2732885.78319287</v>
      </c>
      <c r="C3083" s="18" t="n">
        <v>9170042.11072782</v>
      </c>
      <c r="D3083" s="0" t="n">
        <v>1</v>
      </c>
    </row>
    <row r="3084" customFormat="false" ht="15" hidden="false" customHeight="false" outlineLevel="0" collapsed="false">
      <c r="A3084" s="0" t="n">
        <v>3083</v>
      </c>
      <c r="B3084" s="18" t="n">
        <v>690269.241174074</v>
      </c>
      <c r="C3084" s="18" t="n">
        <v>1288284.84412564</v>
      </c>
      <c r="D3084" s="0" t="n">
        <v>1</v>
      </c>
    </row>
    <row r="3085" customFormat="false" ht="15" hidden="false" customHeight="false" outlineLevel="0" collapsed="false">
      <c r="A3085" s="0" t="n">
        <v>3084</v>
      </c>
      <c r="B3085" s="18" t="n">
        <v>605871.194374256</v>
      </c>
      <c r="C3085" s="18" t="n">
        <v>0</v>
      </c>
      <c r="D3085" s="0" t="n">
        <v>0</v>
      </c>
      <c r="E3085" s="19" t="n">
        <v>34.5833333333333</v>
      </c>
    </row>
    <row r="3086" customFormat="false" ht="15" hidden="false" customHeight="false" outlineLevel="0" collapsed="false">
      <c r="A3086" s="0" t="n">
        <v>3085</v>
      </c>
      <c r="B3086" s="18" t="n">
        <v>765306.925664238</v>
      </c>
      <c r="C3086" s="18" t="n">
        <v>0</v>
      </c>
      <c r="D3086" s="0" t="n">
        <v>0</v>
      </c>
      <c r="E3086" s="19" t="n">
        <v>40.1666666666667</v>
      </c>
    </row>
    <row r="3087" customFormat="false" ht="15" hidden="false" customHeight="false" outlineLevel="0" collapsed="false">
      <c r="A3087" s="0" t="n">
        <v>3086</v>
      </c>
      <c r="B3087" s="18" t="n">
        <v>670247.571163978</v>
      </c>
      <c r="C3087" s="18" t="n">
        <v>0</v>
      </c>
      <c r="D3087" s="0" t="n">
        <v>0</v>
      </c>
      <c r="E3087" s="19" t="n">
        <v>39.75</v>
      </c>
    </row>
    <row r="3088" customFormat="false" ht="15" hidden="false" customHeight="false" outlineLevel="0" collapsed="false">
      <c r="A3088" s="0" t="n">
        <v>3087</v>
      </c>
      <c r="B3088" s="18" t="n">
        <v>958321.119963824</v>
      </c>
      <c r="C3088" s="18" t="n">
        <v>2469342.52867104</v>
      </c>
      <c r="D3088" s="0" t="n">
        <v>1</v>
      </c>
    </row>
    <row r="3089" customFormat="false" ht="15" hidden="false" customHeight="false" outlineLevel="0" collapsed="false">
      <c r="A3089" s="0" t="n">
        <v>3088</v>
      </c>
      <c r="B3089" s="18" t="n">
        <v>1373169.98579127</v>
      </c>
      <c r="C3089" s="18" t="n">
        <v>215908.683778327</v>
      </c>
      <c r="D3089" s="0" t="n">
        <v>1</v>
      </c>
    </row>
    <row r="3090" customFormat="false" ht="15" hidden="false" customHeight="false" outlineLevel="0" collapsed="false">
      <c r="A3090" s="0" t="n">
        <v>3089</v>
      </c>
      <c r="B3090" s="18" t="n">
        <v>1016351.17796265</v>
      </c>
      <c r="C3090" s="18" t="n">
        <v>0</v>
      </c>
      <c r="D3090" s="0" t="n">
        <v>0</v>
      </c>
      <c r="E3090" s="19" t="n">
        <v>43.25</v>
      </c>
    </row>
    <row r="3091" customFormat="false" ht="15" hidden="false" customHeight="false" outlineLevel="0" collapsed="false">
      <c r="A3091" s="0" t="n">
        <v>3090</v>
      </c>
      <c r="B3091" s="18" t="n">
        <v>445290.686257888</v>
      </c>
      <c r="C3091" s="18" t="n">
        <v>0</v>
      </c>
      <c r="D3091" s="0" t="n">
        <v>0</v>
      </c>
      <c r="E3091" s="19" t="n">
        <v>34.25</v>
      </c>
    </row>
    <row r="3092" customFormat="false" ht="15" hidden="false" customHeight="false" outlineLevel="0" collapsed="false">
      <c r="A3092" s="0" t="n">
        <v>3091</v>
      </c>
      <c r="B3092" s="18" t="n">
        <v>606629.553774639</v>
      </c>
      <c r="C3092" s="18" t="n">
        <v>0</v>
      </c>
      <c r="D3092" s="0" t="n">
        <v>0</v>
      </c>
      <c r="E3092" s="19" t="n">
        <v>35.5833333333333</v>
      </c>
    </row>
    <row r="3093" customFormat="false" ht="15" hidden="false" customHeight="false" outlineLevel="0" collapsed="false">
      <c r="A3093" s="0" t="n">
        <v>3092</v>
      </c>
      <c r="B3093" s="18" t="n">
        <v>2156042.75676715</v>
      </c>
      <c r="C3093" s="18" t="n">
        <v>14343017.1346517</v>
      </c>
      <c r="D3093" s="0" t="n">
        <v>1</v>
      </c>
    </row>
    <row r="3094" customFormat="false" ht="15" hidden="false" customHeight="false" outlineLevel="0" collapsed="false">
      <c r="A3094" s="0" t="n">
        <v>3093</v>
      </c>
      <c r="B3094" s="18" t="n">
        <v>755453.022211522</v>
      </c>
      <c r="C3094" s="18" t="n">
        <v>97039.6684647262</v>
      </c>
      <c r="D3094" s="0" t="n">
        <v>1</v>
      </c>
    </row>
    <row r="3095" customFormat="false" ht="15" hidden="false" customHeight="false" outlineLevel="0" collapsed="false">
      <c r="A3095" s="0" t="n">
        <v>3094</v>
      </c>
      <c r="B3095" s="18" t="n">
        <v>858437.935497279</v>
      </c>
      <c r="C3095" s="18" t="n">
        <v>0</v>
      </c>
      <c r="D3095" s="0" t="n">
        <v>0</v>
      </c>
      <c r="E3095" s="19" t="n">
        <v>40</v>
      </c>
    </row>
    <row r="3096" customFormat="false" ht="15" hidden="false" customHeight="false" outlineLevel="0" collapsed="false">
      <c r="A3096" s="0" t="n">
        <v>3095</v>
      </c>
      <c r="B3096" s="18" t="n">
        <v>537666.114776409</v>
      </c>
      <c r="C3096" s="18" t="n">
        <v>0</v>
      </c>
      <c r="D3096" s="0" t="n">
        <v>0</v>
      </c>
      <c r="E3096" s="19" t="n">
        <v>32.6666666666667</v>
      </c>
    </row>
    <row r="3097" customFormat="false" ht="15" hidden="false" customHeight="false" outlineLevel="0" collapsed="false">
      <c r="A3097" s="0" t="n">
        <v>3096</v>
      </c>
      <c r="B3097" s="18" t="n">
        <v>937372.792848547</v>
      </c>
      <c r="C3097" s="18" t="n">
        <v>0</v>
      </c>
      <c r="D3097" s="0" t="n">
        <v>0</v>
      </c>
      <c r="E3097" s="19" t="n">
        <v>39.5833333333333</v>
      </c>
    </row>
    <row r="3098" customFormat="false" ht="15" hidden="false" customHeight="false" outlineLevel="0" collapsed="false">
      <c r="A3098" s="0" t="n">
        <v>3097</v>
      </c>
      <c r="B3098" s="18" t="n">
        <v>544139.071154766</v>
      </c>
      <c r="C3098" s="18" t="n">
        <v>0</v>
      </c>
      <c r="D3098" s="0" t="n">
        <v>0</v>
      </c>
      <c r="E3098" s="19" t="n">
        <v>52.1666666666667</v>
      </c>
    </row>
    <row r="3099" customFormat="false" ht="15" hidden="false" customHeight="false" outlineLevel="0" collapsed="false">
      <c r="A3099" s="0" t="n">
        <v>3098</v>
      </c>
      <c r="B3099" s="18" t="n">
        <v>1178829.31711418</v>
      </c>
      <c r="C3099" s="18" t="n">
        <v>2637287.58336905</v>
      </c>
      <c r="D3099" s="0" t="n">
        <v>1</v>
      </c>
    </row>
    <row r="3100" customFormat="false" ht="15" hidden="false" customHeight="false" outlineLevel="0" collapsed="false">
      <c r="A3100" s="0" t="n">
        <v>3099</v>
      </c>
      <c r="B3100" s="18" t="n">
        <v>1277988.5686948</v>
      </c>
      <c r="C3100" s="18" t="n">
        <v>1703426.45788925</v>
      </c>
      <c r="D3100" s="0" t="n">
        <v>1</v>
      </c>
    </row>
    <row r="3101" customFormat="false" ht="15" hidden="false" customHeight="false" outlineLevel="0" collapsed="false">
      <c r="A3101" s="0" t="n">
        <v>3100</v>
      </c>
      <c r="B3101" s="18" t="n">
        <v>706110.101369502</v>
      </c>
      <c r="C3101" s="18" t="n">
        <v>0</v>
      </c>
      <c r="D3101" s="0" t="n">
        <v>0</v>
      </c>
      <c r="E3101" s="19" t="n">
        <v>42.5833333333333</v>
      </c>
    </row>
    <row r="3102" customFormat="false" ht="15" hidden="false" customHeight="false" outlineLevel="0" collapsed="false">
      <c r="A3102" s="0" t="n">
        <v>3101</v>
      </c>
      <c r="B3102" s="18" t="n">
        <v>1033398.63056503</v>
      </c>
      <c r="C3102" s="18" t="n">
        <v>1035669.48814263</v>
      </c>
      <c r="D3102" s="0" t="n">
        <v>1</v>
      </c>
    </row>
    <row r="3103" customFormat="false" ht="15" hidden="false" customHeight="false" outlineLevel="0" collapsed="false">
      <c r="A3103" s="0" t="n">
        <v>3102</v>
      </c>
      <c r="B3103" s="18" t="n">
        <v>1122287.39596943</v>
      </c>
      <c r="C3103" s="18" t="n">
        <v>1380242.16584303</v>
      </c>
      <c r="D3103" s="0" t="n">
        <v>1</v>
      </c>
    </row>
    <row r="3104" customFormat="false" ht="15" hidden="false" customHeight="false" outlineLevel="0" collapsed="false">
      <c r="A3104" s="0" t="n">
        <v>3103</v>
      </c>
      <c r="B3104" s="18" t="n">
        <v>541278.794453146</v>
      </c>
      <c r="C3104" s="18" t="n">
        <v>0</v>
      </c>
      <c r="D3104" s="0" t="n">
        <v>0</v>
      </c>
      <c r="E3104" s="19" t="n">
        <v>37.1666666666667</v>
      </c>
    </row>
    <row r="3105" customFormat="false" ht="15" hidden="false" customHeight="false" outlineLevel="0" collapsed="false">
      <c r="A3105" s="0" t="n">
        <v>3104</v>
      </c>
      <c r="B3105" s="18" t="n">
        <v>1927102.15936999</v>
      </c>
      <c r="C3105" s="18" t="n">
        <v>13601740.1806168</v>
      </c>
      <c r="D3105" s="0" t="n">
        <v>1</v>
      </c>
    </row>
    <row r="3106" customFormat="false" ht="15" hidden="false" customHeight="false" outlineLevel="0" collapsed="false">
      <c r="A3106" s="0" t="n">
        <v>3105</v>
      </c>
      <c r="B3106" s="18" t="n">
        <v>1178031.62212419</v>
      </c>
      <c r="C3106" s="18" t="n">
        <v>0</v>
      </c>
      <c r="D3106" s="0" t="n">
        <v>0</v>
      </c>
      <c r="E3106" s="19" t="n">
        <v>49.3333333333333</v>
      </c>
    </row>
    <row r="3107" customFormat="false" ht="15" hidden="false" customHeight="false" outlineLevel="0" collapsed="false">
      <c r="A3107" s="0" t="n">
        <v>3106</v>
      </c>
      <c r="B3107" s="18" t="n">
        <v>1678615.0801127</v>
      </c>
      <c r="C3107" s="18" t="n">
        <v>2132809.3436423</v>
      </c>
      <c r="D3107" s="0" t="n">
        <v>1</v>
      </c>
    </row>
    <row r="3108" customFormat="false" ht="15" hidden="false" customHeight="false" outlineLevel="0" collapsed="false">
      <c r="A3108" s="0" t="n">
        <v>3107</v>
      </c>
      <c r="B3108" s="18" t="n">
        <v>450587.841162016</v>
      </c>
      <c r="C3108" s="18" t="n">
        <v>0</v>
      </c>
      <c r="D3108" s="0" t="n">
        <v>0</v>
      </c>
      <c r="E3108" s="19" t="n">
        <v>34</v>
      </c>
    </row>
    <row r="3109" customFormat="false" ht="15" hidden="false" customHeight="false" outlineLevel="0" collapsed="false">
      <c r="A3109" s="0" t="n">
        <v>3108</v>
      </c>
      <c r="B3109" s="18" t="n">
        <v>1131695.61112141</v>
      </c>
      <c r="C3109" s="18" t="n">
        <v>12051329.3591818</v>
      </c>
      <c r="D3109" s="0" t="n">
        <v>1</v>
      </c>
    </row>
    <row r="3110" customFormat="false" ht="15" hidden="false" customHeight="false" outlineLevel="0" collapsed="false">
      <c r="A3110" s="0" t="n">
        <v>3109</v>
      </c>
      <c r="B3110" s="18" t="n">
        <v>969197.964367702</v>
      </c>
      <c r="C3110" s="18" t="n">
        <v>0</v>
      </c>
      <c r="D3110" s="0" t="n">
        <v>0</v>
      </c>
      <c r="E3110" s="19" t="n">
        <v>37.9166666666667</v>
      </c>
    </row>
    <row r="3111" customFormat="false" ht="15" hidden="false" customHeight="false" outlineLevel="0" collapsed="false">
      <c r="A3111" s="0" t="n">
        <v>3110</v>
      </c>
      <c r="B3111" s="18" t="n">
        <v>197402.437192737</v>
      </c>
      <c r="C3111" s="18" t="n">
        <v>0</v>
      </c>
      <c r="D3111" s="0" t="n">
        <v>0</v>
      </c>
      <c r="E3111" s="19" t="n">
        <v>28.5833333333333</v>
      </c>
    </row>
    <row r="3112" customFormat="false" ht="15" hidden="false" customHeight="false" outlineLevel="0" collapsed="false">
      <c r="A3112" s="0" t="n">
        <v>3111</v>
      </c>
      <c r="B3112" s="18" t="n">
        <v>1053538.95315821</v>
      </c>
      <c r="C3112" s="18" t="n">
        <v>1405488.05166735</v>
      </c>
      <c r="D3112" s="0" t="n">
        <v>1</v>
      </c>
    </row>
    <row r="3113" customFormat="false" ht="15" hidden="false" customHeight="false" outlineLevel="0" collapsed="false">
      <c r="A3113" s="0" t="n">
        <v>3112</v>
      </c>
      <c r="B3113" s="18" t="n">
        <v>835869.41506709</v>
      </c>
      <c r="C3113" s="18" t="n">
        <v>0</v>
      </c>
      <c r="D3113" s="0" t="n">
        <v>0</v>
      </c>
      <c r="E3113" s="19" t="n">
        <v>40.6666666666667</v>
      </c>
    </row>
    <row r="3114" customFormat="false" ht="15" hidden="false" customHeight="false" outlineLevel="0" collapsed="false">
      <c r="A3114" s="0" t="n">
        <v>3113</v>
      </c>
      <c r="B3114" s="18" t="n">
        <v>843509.013163918</v>
      </c>
      <c r="C3114" s="18" t="n">
        <v>0</v>
      </c>
      <c r="D3114" s="0" t="n">
        <v>0</v>
      </c>
      <c r="E3114" s="19" t="n">
        <v>47.0833333333333</v>
      </c>
    </row>
    <row r="3115" customFormat="false" ht="15" hidden="false" customHeight="false" outlineLevel="0" collapsed="false">
      <c r="A3115" s="0" t="n">
        <v>3114</v>
      </c>
      <c r="B3115" s="18" t="n">
        <v>440734.957415339</v>
      </c>
      <c r="C3115" s="18" t="n">
        <v>0</v>
      </c>
      <c r="D3115" s="0" t="n">
        <v>0</v>
      </c>
      <c r="E3115" s="19" t="n">
        <v>34</v>
      </c>
    </row>
    <row r="3116" customFormat="false" ht="15" hidden="false" customHeight="false" outlineLevel="0" collapsed="false">
      <c r="A3116" s="0" t="n">
        <v>3115</v>
      </c>
      <c r="B3116" s="18" t="n">
        <v>1035525.61531384</v>
      </c>
      <c r="C3116" s="18" t="n">
        <v>3027419.98232006</v>
      </c>
      <c r="D3116" s="0" t="n">
        <v>1</v>
      </c>
    </row>
    <row r="3117" customFormat="false" ht="15" hidden="false" customHeight="false" outlineLevel="0" collapsed="false">
      <c r="A3117" s="0" t="n">
        <v>3116</v>
      </c>
      <c r="B3117" s="18" t="n">
        <v>669419.29376372</v>
      </c>
      <c r="C3117" s="18" t="n">
        <v>0</v>
      </c>
      <c r="D3117" s="0" t="n">
        <v>0</v>
      </c>
      <c r="E3117" s="19" t="n">
        <v>35.75</v>
      </c>
    </row>
    <row r="3118" customFormat="false" ht="15" hidden="false" customHeight="false" outlineLevel="0" collapsed="false">
      <c r="A3118" s="0" t="n">
        <v>3117</v>
      </c>
      <c r="B3118" s="18" t="n">
        <v>1500593.70657612</v>
      </c>
      <c r="C3118" s="18" t="n">
        <v>10012386.0587634</v>
      </c>
      <c r="D3118" s="0" t="n">
        <v>1</v>
      </c>
    </row>
    <row r="3119" customFormat="false" ht="15" hidden="false" customHeight="false" outlineLevel="0" collapsed="false">
      <c r="A3119" s="0" t="n">
        <v>3118</v>
      </c>
      <c r="B3119" s="18" t="n">
        <v>482531.687224781</v>
      </c>
      <c r="C3119" s="18" t="n">
        <v>0</v>
      </c>
      <c r="D3119" s="0" t="n">
        <v>0</v>
      </c>
      <c r="E3119" s="19" t="n">
        <v>37.3333333333333</v>
      </c>
    </row>
    <row r="3120" customFormat="false" ht="15" hidden="false" customHeight="false" outlineLevel="0" collapsed="false">
      <c r="A3120" s="0" t="n">
        <v>3119</v>
      </c>
      <c r="B3120" s="18" t="n">
        <v>1551146.3256892</v>
      </c>
      <c r="C3120" s="18" t="n">
        <v>1386900.72593475</v>
      </c>
      <c r="D3120" s="0" t="n">
        <v>1</v>
      </c>
    </row>
    <row r="3121" customFormat="false" ht="15" hidden="false" customHeight="false" outlineLevel="0" collapsed="false">
      <c r="A3121" s="0" t="n">
        <v>3120</v>
      </c>
      <c r="B3121" s="18" t="n">
        <v>7475841.82231113</v>
      </c>
      <c r="C3121" s="18" t="n">
        <v>32799635.6411182</v>
      </c>
      <c r="D3121" s="0" t="n">
        <v>1</v>
      </c>
    </row>
    <row r="3122" customFormat="false" ht="15" hidden="false" customHeight="false" outlineLevel="0" collapsed="false">
      <c r="A3122" s="0" t="n">
        <v>3121</v>
      </c>
      <c r="B3122" s="18" t="n">
        <v>632305.741053251</v>
      </c>
      <c r="C3122" s="18" t="n">
        <v>0</v>
      </c>
      <c r="D3122" s="0" t="n">
        <v>0</v>
      </c>
      <c r="E3122" s="19" t="n">
        <v>36.3333333333333</v>
      </c>
    </row>
    <row r="3123" customFormat="false" ht="15" hidden="false" customHeight="false" outlineLevel="0" collapsed="false">
      <c r="A3123" s="0" t="n">
        <v>3122</v>
      </c>
      <c r="B3123" s="18" t="n">
        <v>749590.062454173</v>
      </c>
      <c r="C3123" s="18" t="n">
        <v>0</v>
      </c>
      <c r="D3123" s="0" t="n">
        <v>0</v>
      </c>
      <c r="E3123" s="19" t="n">
        <v>40.5833333333333</v>
      </c>
    </row>
    <row r="3124" customFormat="false" ht="15" hidden="false" customHeight="false" outlineLevel="0" collapsed="false">
      <c r="A3124" s="0" t="n">
        <v>3123</v>
      </c>
      <c r="B3124" s="18" t="n">
        <v>406775.543451693</v>
      </c>
      <c r="C3124" s="18" t="n">
        <v>0</v>
      </c>
      <c r="D3124" s="0" t="n">
        <v>0</v>
      </c>
      <c r="E3124" s="19" t="n">
        <v>30.4166666666667</v>
      </c>
    </row>
    <row r="3125" customFormat="false" ht="15" hidden="false" customHeight="false" outlineLevel="0" collapsed="false">
      <c r="A3125" s="0" t="n">
        <v>3124</v>
      </c>
      <c r="B3125" s="18" t="n">
        <v>933883.424473906</v>
      </c>
      <c r="C3125" s="18" t="n">
        <v>558999.752518714</v>
      </c>
      <c r="D3125" s="0" t="n">
        <v>1</v>
      </c>
    </row>
    <row r="3126" customFormat="false" ht="15" hidden="false" customHeight="false" outlineLevel="0" collapsed="false">
      <c r="A3126" s="0" t="n">
        <v>3125</v>
      </c>
      <c r="B3126" s="18" t="n">
        <v>612048.307141612</v>
      </c>
      <c r="C3126" s="18" t="n">
        <v>0</v>
      </c>
      <c r="D3126" s="0" t="n">
        <v>0</v>
      </c>
      <c r="E3126" s="19" t="n">
        <v>36.5833333333333</v>
      </c>
    </row>
    <row r="3127" customFormat="false" ht="15" hidden="false" customHeight="false" outlineLevel="0" collapsed="false">
      <c r="A3127" s="0" t="n">
        <v>3126</v>
      </c>
      <c r="B3127" s="18" t="n">
        <v>253717.097725622</v>
      </c>
      <c r="C3127" s="18" t="n">
        <v>0</v>
      </c>
      <c r="D3127" s="0" t="n">
        <v>0</v>
      </c>
      <c r="E3127" s="19" t="n">
        <v>29.5833333333333</v>
      </c>
    </row>
    <row r="3128" customFormat="false" ht="15" hidden="false" customHeight="false" outlineLevel="0" collapsed="false">
      <c r="A3128" s="0" t="n">
        <v>3127</v>
      </c>
      <c r="B3128" s="18" t="n">
        <v>2193967.85732704</v>
      </c>
      <c r="C3128" s="18" t="n">
        <v>1088052.04914838</v>
      </c>
      <c r="D3128" s="0" t="n">
        <v>1</v>
      </c>
    </row>
    <row r="3129" customFormat="false" ht="15" hidden="false" customHeight="false" outlineLevel="0" collapsed="false">
      <c r="A3129" s="0" t="n">
        <v>3128</v>
      </c>
      <c r="B3129" s="18" t="n">
        <v>772592.045176399</v>
      </c>
      <c r="C3129" s="18" t="n">
        <v>1035549.56268836</v>
      </c>
      <c r="D3129" s="0" t="n">
        <v>1</v>
      </c>
    </row>
    <row r="3130" customFormat="false" ht="15" hidden="false" customHeight="false" outlineLevel="0" collapsed="false">
      <c r="A3130" s="0" t="n">
        <v>3129</v>
      </c>
      <c r="B3130" s="18" t="n">
        <v>2290842.59567573</v>
      </c>
      <c r="C3130" s="18" t="n">
        <v>1365970.14227416</v>
      </c>
      <c r="D3130" s="0" t="n">
        <v>1</v>
      </c>
    </row>
    <row r="3131" customFormat="false" ht="15" hidden="false" customHeight="false" outlineLevel="0" collapsed="false">
      <c r="A3131" s="0" t="n">
        <v>3130</v>
      </c>
      <c r="B3131" s="18" t="n">
        <v>1127964.05095804</v>
      </c>
      <c r="C3131" s="18" t="n">
        <v>0</v>
      </c>
      <c r="D3131" s="0" t="n">
        <v>0</v>
      </c>
      <c r="E3131" s="19" t="n">
        <v>38.8333333333333</v>
      </c>
    </row>
    <row r="3132" customFormat="false" ht="15" hidden="false" customHeight="false" outlineLevel="0" collapsed="false">
      <c r="A3132" s="0" t="n">
        <v>3131</v>
      </c>
      <c r="B3132" s="18" t="n">
        <v>543571.246779001</v>
      </c>
      <c r="C3132" s="18" t="n">
        <v>0</v>
      </c>
      <c r="D3132" s="0" t="n">
        <v>0</v>
      </c>
      <c r="E3132" s="19" t="n">
        <v>36.4166666666667</v>
      </c>
    </row>
    <row r="3133" customFormat="false" ht="15" hidden="false" customHeight="false" outlineLevel="0" collapsed="false">
      <c r="A3133" s="0" t="n">
        <v>3132</v>
      </c>
      <c r="B3133" s="18" t="n">
        <v>342246.091446487</v>
      </c>
      <c r="C3133" s="18" t="n">
        <v>0</v>
      </c>
      <c r="D3133" s="0" t="n">
        <v>0</v>
      </c>
      <c r="E3133" s="19" t="n">
        <v>30.5</v>
      </c>
    </row>
    <row r="3134" customFormat="false" ht="15" hidden="false" customHeight="false" outlineLevel="0" collapsed="false">
      <c r="A3134" s="0" t="n">
        <v>3133</v>
      </c>
      <c r="B3134" s="18" t="n">
        <v>667076.026255515</v>
      </c>
      <c r="C3134" s="18" t="n">
        <v>0</v>
      </c>
      <c r="D3134" s="0" t="n">
        <v>0</v>
      </c>
      <c r="E3134" s="19" t="n">
        <v>37.9166666666667</v>
      </c>
    </row>
    <row r="3135" customFormat="false" ht="15" hidden="false" customHeight="false" outlineLevel="0" collapsed="false">
      <c r="A3135" s="0" t="n">
        <v>3134</v>
      </c>
      <c r="B3135" s="18" t="n">
        <v>891286.174756148</v>
      </c>
      <c r="C3135" s="18" t="n">
        <v>0</v>
      </c>
      <c r="D3135" s="0" t="n">
        <v>0</v>
      </c>
      <c r="E3135" s="19" t="n">
        <v>40.8333333333333</v>
      </c>
    </row>
    <row r="3136" customFormat="false" ht="15" hidden="false" customHeight="false" outlineLevel="0" collapsed="false">
      <c r="A3136" s="0" t="n">
        <v>3135</v>
      </c>
      <c r="B3136" s="18" t="n">
        <v>997007.371350552</v>
      </c>
      <c r="C3136" s="18" t="n">
        <v>0</v>
      </c>
      <c r="D3136" s="0" t="n">
        <v>0</v>
      </c>
      <c r="E3136" s="19" t="n">
        <v>50.5</v>
      </c>
    </row>
    <row r="3137" customFormat="false" ht="15" hidden="false" customHeight="false" outlineLevel="0" collapsed="false">
      <c r="A3137" s="0" t="n">
        <v>3136</v>
      </c>
      <c r="B3137" s="18" t="n">
        <v>665954.776219342</v>
      </c>
      <c r="C3137" s="18" t="n">
        <v>0</v>
      </c>
      <c r="D3137" s="0" t="n">
        <v>0</v>
      </c>
      <c r="E3137" s="19" t="n">
        <v>41.5</v>
      </c>
    </row>
    <row r="3138" customFormat="false" ht="15" hidden="false" customHeight="false" outlineLevel="0" collapsed="false">
      <c r="A3138" s="0" t="n">
        <v>3137</v>
      </c>
      <c r="B3138" s="18" t="n">
        <v>586783.96838056</v>
      </c>
      <c r="C3138" s="18" t="n">
        <v>0</v>
      </c>
      <c r="D3138" s="0" t="n">
        <v>0</v>
      </c>
      <c r="E3138" s="19" t="n">
        <v>53.5833333333333</v>
      </c>
    </row>
    <row r="3139" customFormat="false" ht="15" hidden="false" customHeight="false" outlineLevel="0" collapsed="false">
      <c r="A3139" s="0" t="n">
        <v>3138</v>
      </c>
      <c r="B3139" s="18" t="n">
        <v>1129958.80580481</v>
      </c>
      <c r="C3139" s="18" t="n">
        <v>913994.604016674</v>
      </c>
      <c r="D3139" s="0" t="n">
        <v>1</v>
      </c>
    </row>
    <row r="3140" customFormat="false" ht="15" hidden="false" customHeight="false" outlineLevel="0" collapsed="false">
      <c r="A3140" s="0" t="n">
        <v>3139</v>
      </c>
      <c r="B3140" s="18" t="n">
        <v>1379076.05095575</v>
      </c>
      <c r="C3140" s="18" t="n">
        <v>3324531.46675794</v>
      </c>
      <c r="D3140" s="0" t="n">
        <v>1</v>
      </c>
    </row>
    <row r="3141" customFormat="false" ht="15" hidden="false" customHeight="false" outlineLevel="0" collapsed="false">
      <c r="A3141" s="0" t="n">
        <v>3140</v>
      </c>
      <c r="B3141" s="18" t="n">
        <v>592034.997049431</v>
      </c>
      <c r="C3141" s="18" t="n">
        <v>0</v>
      </c>
      <c r="D3141" s="0" t="n">
        <v>0</v>
      </c>
      <c r="E3141" s="19" t="n">
        <v>36.8333333333333</v>
      </c>
    </row>
    <row r="3142" customFormat="false" ht="15" hidden="false" customHeight="false" outlineLevel="0" collapsed="false">
      <c r="A3142" s="0" t="n">
        <v>3141</v>
      </c>
      <c r="B3142" s="18" t="n">
        <v>1297635.23602647</v>
      </c>
      <c r="C3142" s="18" t="n">
        <v>0</v>
      </c>
      <c r="D3142" s="0" t="n">
        <v>0</v>
      </c>
      <c r="E3142" s="19" t="n">
        <v>48.8333333333333</v>
      </c>
    </row>
    <row r="3143" customFormat="false" ht="15" hidden="false" customHeight="false" outlineLevel="0" collapsed="false">
      <c r="A3143" s="0" t="n">
        <v>3142</v>
      </c>
      <c r="B3143" s="18" t="n">
        <v>1673907.8980959</v>
      </c>
      <c r="C3143" s="18" t="n">
        <v>13550295.1021575</v>
      </c>
      <c r="D3143" s="0" t="n">
        <v>1</v>
      </c>
    </row>
    <row r="3144" customFormat="false" ht="15" hidden="false" customHeight="false" outlineLevel="0" collapsed="false">
      <c r="A3144" s="0" t="n">
        <v>3143</v>
      </c>
      <c r="B3144" s="18" t="n">
        <v>1839434.77315232</v>
      </c>
      <c r="C3144" s="18" t="n">
        <v>966750.246278594</v>
      </c>
      <c r="D3144" s="0" t="n">
        <v>1</v>
      </c>
    </row>
    <row r="3145" customFormat="false" ht="15" hidden="false" customHeight="false" outlineLevel="0" collapsed="false">
      <c r="A3145" s="0" t="n">
        <v>3144</v>
      </c>
      <c r="B3145" s="18" t="n">
        <v>643599.585816564</v>
      </c>
      <c r="C3145" s="18" t="n">
        <v>0</v>
      </c>
      <c r="D3145" s="0" t="n">
        <v>0</v>
      </c>
      <c r="E3145" s="19" t="n">
        <v>37.9166666666667</v>
      </c>
    </row>
    <row r="3146" customFormat="false" ht="15" hidden="false" customHeight="false" outlineLevel="0" collapsed="false">
      <c r="A3146" s="0" t="n">
        <v>3145</v>
      </c>
      <c r="B3146" s="18" t="n">
        <v>1046341.94382613</v>
      </c>
      <c r="C3146" s="18" t="n">
        <v>0</v>
      </c>
      <c r="D3146" s="0" t="n">
        <v>0</v>
      </c>
      <c r="E3146" s="19" t="n">
        <v>43.9166666666667</v>
      </c>
    </row>
    <row r="3147" customFormat="false" ht="15" hidden="false" customHeight="false" outlineLevel="0" collapsed="false">
      <c r="A3147" s="0" t="n">
        <v>3146</v>
      </c>
      <c r="B3147" s="18" t="n">
        <v>918089.409978747</v>
      </c>
      <c r="C3147" s="18" t="n">
        <v>0</v>
      </c>
      <c r="D3147" s="0" t="n">
        <v>0</v>
      </c>
      <c r="E3147" s="19" t="n">
        <v>41.25</v>
      </c>
    </row>
    <row r="3148" customFormat="false" ht="15" hidden="false" customHeight="false" outlineLevel="0" collapsed="false">
      <c r="A3148" s="0" t="n">
        <v>3147</v>
      </c>
      <c r="B3148" s="18" t="n">
        <v>1170998.67400049</v>
      </c>
      <c r="C3148" s="18" t="n">
        <v>7962046.54463156</v>
      </c>
      <c r="D3148" s="0" t="n">
        <v>1</v>
      </c>
    </row>
    <row r="3149" customFormat="false" ht="15" hidden="false" customHeight="false" outlineLevel="0" collapsed="false">
      <c r="A3149" s="0" t="n">
        <v>3148</v>
      </c>
      <c r="B3149" s="18" t="n">
        <v>1176729.36871747</v>
      </c>
      <c r="C3149" s="18" t="n">
        <v>0</v>
      </c>
      <c r="D3149" s="0" t="n">
        <v>0</v>
      </c>
      <c r="E3149" s="19" t="n">
        <v>45.0833333333333</v>
      </c>
    </row>
    <row r="3150" customFormat="false" ht="15" hidden="false" customHeight="false" outlineLevel="0" collapsed="false">
      <c r="A3150" s="0" t="n">
        <v>3149</v>
      </c>
      <c r="B3150" s="18" t="n">
        <v>713100.017756787</v>
      </c>
      <c r="C3150" s="18" t="n">
        <v>0</v>
      </c>
      <c r="D3150" s="0" t="n">
        <v>0</v>
      </c>
      <c r="E3150" s="19" t="n">
        <v>54.4166666666667</v>
      </c>
    </row>
    <row r="3151" customFormat="false" ht="15" hidden="false" customHeight="false" outlineLevel="0" collapsed="false">
      <c r="A3151" s="0" t="n">
        <v>3150</v>
      </c>
      <c r="B3151" s="18" t="n">
        <v>1689303.41224453</v>
      </c>
      <c r="C3151" s="18" t="n">
        <v>1601839.81019811</v>
      </c>
      <c r="D3151" s="0" t="n">
        <v>1</v>
      </c>
    </row>
    <row r="3152" customFormat="false" ht="15" hidden="false" customHeight="false" outlineLevel="0" collapsed="false">
      <c r="A3152" s="0" t="n">
        <v>3151</v>
      </c>
      <c r="B3152" s="18" t="n">
        <v>806629.111193554</v>
      </c>
      <c r="C3152" s="18" t="n">
        <v>0</v>
      </c>
      <c r="D3152" s="0" t="n">
        <v>0</v>
      </c>
      <c r="E3152" s="19" t="n">
        <v>44.1666666666667</v>
      </c>
    </row>
    <row r="3153" customFormat="false" ht="15" hidden="false" customHeight="false" outlineLevel="0" collapsed="false">
      <c r="A3153" s="0" t="n">
        <v>3152</v>
      </c>
      <c r="B3153" s="18" t="n">
        <v>1554523.78994415</v>
      </c>
      <c r="C3153" s="18" t="n">
        <v>1790068.1175208</v>
      </c>
      <c r="D3153" s="0" t="n">
        <v>1</v>
      </c>
    </row>
    <row r="3154" customFormat="false" ht="15" hidden="false" customHeight="false" outlineLevel="0" collapsed="false">
      <c r="A3154" s="0" t="n">
        <v>3153</v>
      </c>
      <c r="B3154" s="18" t="n">
        <v>781542.155425599</v>
      </c>
      <c r="C3154" s="18" t="n">
        <v>0</v>
      </c>
      <c r="D3154" s="0" t="n">
        <v>0</v>
      </c>
      <c r="E3154" s="19" t="n">
        <v>40.5833333333333</v>
      </c>
    </row>
    <row r="3155" customFormat="false" ht="15" hidden="false" customHeight="false" outlineLevel="0" collapsed="false">
      <c r="A3155" s="0" t="n">
        <v>3154</v>
      </c>
      <c r="B3155" s="18" t="n">
        <v>1205252.30558411</v>
      </c>
      <c r="C3155" s="18" t="n">
        <v>1507823.23142719</v>
      </c>
      <c r="D3155" s="0" t="n">
        <v>1</v>
      </c>
    </row>
    <row r="3156" customFormat="false" ht="15" hidden="false" customHeight="false" outlineLevel="0" collapsed="false">
      <c r="A3156" s="0" t="n">
        <v>3155</v>
      </c>
      <c r="B3156" s="18" t="n">
        <v>979324.492421491</v>
      </c>
      <c r="C3156" s="18" t="n">
        <v>0</v>
      </c>
      <c r="D3156" s="0" t="n">
        <v>0</v>
      </c>
      <c r="E3156" s="19" t="n">
        <v>46.4166666666667</v>
      </c>
    </row>
    <row r="3157" customFormat="false" ht="15" hidden="false" customHeight="false" outlineLevel="0" collapsed="false">
      <c r="A3157" s="0" t="n">
        <v>3156</v>
      </c>
      <c r="B3157" s="18" t="n">
        <v>1226204.02797643</v>
      </c>
      <c r="C3157" s="18" t="n">
        <v>0</v>
      </c>
      <c r="D3157" s="0" t="n">
        <v>0</v>
      </c>
      <c r="E3157" s="19" t="n">
        <v>41.1666666666667</v>
      </c>
    </row>
    <row r="3158" customFormat="false" ht="15" hidden="false" customHeight="false" outlineLevel="0" collapsed="false">
      <c r="A3158" s="0" t="n">
        <v>3157</v>
      </c>
      <c r="B3158" s="18" t="n">
        <v>2751544.26602535</v>
      </c>
      <c r="C3158" s="18" t="n">
        <v>24539295.6114862</v>
      </c>
      <c r="D3158" s="0" t="n">
        <v>1</v>
      </c>
    </row>
    <row r="3159" customFormat="false" ht="15" hidden="false" customHeight="false" outlineLevel="0" collapsed="false">
      <c r="A3159" s="0" t="n">
        <v>3158</v>
      </c>
      <c r="B3159" s="18" t="n">
        <v>889019.21338952</v>
      </c>
      <c r="C3159" s="18" t="n">
        <v>0</v>
      </c>
      <c r="D3159" s="0" t="n">
        <v>0</v>
      </c>
      <c r="E3159" s="19" t="n">
        <v>39.5</v>
      </c>
    </row>
    <row r="3160" customFormat="false" ht="15" hidden="false" customHeight="false" outlineLevel="0" collapsed="false">
      <c r="A3160" s="0" t="n">
        <v>3159</v>
      </c>
      <c r="B3160" s="18" t="n">
        <v>847248.465831546</v>
      </c>
      <c r="C3160" s="18" t="n">
        <v>0</v>
      </c>
      <c r="D3160" s="0" t="n">
        <v>0</v>
      </c>
      <c r="E3160" s="19" t="n">
        <v>48.5</v>
      </c>
    </row>
    <row r="3161" customFormat="false" ht="15" hidden="false" customHeight="false" outlineLevel="0" collapsed="false">
      <c r="A3161" s="0" t="n">
        <v>3160</v>
      </c>
      <c r="B3161" s="18" t="n">
        <v>1178068.95587616</v>
      </c>
      <c r="C3161" s="18" t="n">
        <v>0</v>
      </c>
      <c r="D3161" s="0" t="n">
        <v>0</v>
      </c>
      <c r="E3161" s="19" t="n">
        <v>49.75</v>
      </c>
    </row>
    <row r="3162" customFormat="false" ht="15" hidden="false" customHeight="false" outlineLevel="0" collapsed="false">
      <c r="A3162" s="0" t="n">
        <v>3161</v>
      </c>
      <c r="B3162" s="18" t="n">
        <v>772101.857986883</v>
      </c>
      <c r="C3162" s="18" t="n">
        <v>0</v>
      </c>
      <c r="D3162" s="0" t="n">
        <v>0</v>
      </c>
      <c r="E3162" s="19" t="n">
        <v>33.3333333333333</v>
      </c>
    </row>
    <row r="3163" customFormat="false" ht="15" hidden="false" customHeight="false" outlineLevel="0" collapsed="false">
      <c r="A3163" s="0" t="n">
        <v>3162</v>
      </c>
      <c r="B3163" s="18" t="n">
        <v>565472.482695426</v>
      </c>
      <c r="C3163" s="18" t="n">
        <v>0</v>
      </c>
      <c r="D3163" s="0" t="n">
        <v>0</v>
      </c>
      <c r="E3163" s="19" t="n">
        <v>33.1666666666667</v>
      </c>
    </row>
    <row r="3164" customFormat="false" ht="15" hidden="false" customHeight="false" outlineLevel="0" collapsed="false">
      <c r="A3164" s="0" t="n">
        <v>3163</v>
      </c>
      <c r="B3164" s="18" t="n">
        <v>691811.845299466</v>
      </c>
      <c r="C3164" s="18" t="n">
        <v>0</v>
      </c>
      <c r="D3164" s="0" t="n">
        <v>0</v>
      </c>
      <c r="E3164" s="19" t="n">
        <v>39.0833333333333</v>
      </c>
    </row>
    <row r="3165" customFormat="false" ht="15" hidden="false" customHeight="false" outlineLevel="0" collapsed="false">
      <c r="A3165" s="0" t="n">
        <v>3164</v>
      </c>
      <c r="B3165" s="18" t="n">
        <v>1137058.28005674</v>
      </c>
      <c r="C3165" s="18" t="n">
        <v>0</v>
      </c>
      <c r="D3165" s="0" t="n">
        <v>0</v>
      </c>
      <c r="E3165" s="19" t="n">
        <v>48.5833333333333</v>
      </c>
    </row>
    <row r="3166" customFormat="false" ht="15" hidden="false" customHeight="false" outlineLevel="0" collapsed="false">
      <c r="A3166" s="0" t="n">
        <v>3165</v>
      </c>
      <c r="B3166" s="18" t="n">
        <v>401884.502649569</v>
      </c>
      <c r="C3166" s="18" t="n">
        <v>0</v>
      </c>
      <c r="D3166" s="0" t="n">
        <v>0</v>
      </c>
      <c r="E3166" s="19" t="n">
        <v>30.8333333333333</v>
      </c>
    </row>
    <row r="3167" customFormat="false" ht="15" hidden="false" customHeight="false" outlineLevel="0" collapsed="false">
      <c r="A3167" s="0" t="n">
        <v>3166</v>
      </c>
      <c r="B3167" s="18" t="n">
        <v>1023697.36941018</v>
      </c>
      <c r="C3167" s="18" t="n">
        <v>0</v>
      </c>
      <c r="D3167" s="0" t="n">
        <v>0</v>
      </c>
      <c r="E3167" s="19" t="n">
        <v>43.1666666666667</v>
      </c>
    </row>
    <row r="3168" customFormat="false" ht="15" hidden="false" customHeight="false" outlineLevel="0" collapsed="false">
      <c r="A3168" s="0" t="n">
        <v>3167</v>
      </c>
      <c r="B3168" s="18" t="n">
        <v>873103.667743852</v>
      </c>
      <c r="C3168" s="18" t="n">
        <v>0</v>
      </c>
      <c r="D3168" s="0" t="n">
        <v>0</v>
      </c>
      <c r="E3168" s="19" t="n">
        <v>34.8333333333333</v>
      </c>
    </row>
    <row r="3169" customFormat="false" ht="15" hidden="false" customHeight="false" outlineLevel="0" collapsed="false">
      <c r="A3169" s="0" t="n">
        <v>3168</v>
      </c>
      <c r="B3169" s="18" t="n">
        <v>903225.542979645</v>
      </c>
      <c r="C3169" s="18" t="n">
        <v>0</v>
      </c>
      <c r="D3169" s="0" t="n">
        <v>0</v>
      </c>
      <c r="E3169" s="19" t="n">
        <v>38.6666666666667</v>
      </c>
    </row>
    <row r="3170" customFormat="false" ht="15" hidden="false" customHeight="false" outlineLevel="0" collapsed="false">
      <c r="A3170" s="0" t="n">
        <v>3169</v>
      </c>
      <c r="B3170" s="18" t="n">
        <v>933633.600031425</v>
      </c>
      <c r="C3170" s="18" t="n">
        <v>0</v>
      </c>
      <c r="D3170" s="0" t="n">
        <v>0</v>
      </c>
      <c r="E3170" s="19" t="n">
        <v>51</v>
      </c>
    </row>
    <row r="3171" customFormat="false" ht="15" hidden="false" customHeight="false" outlineLevel="0" collapsed="false">
      <c r="A3171" s="0" t="n">
        <v>3170</v>
      </c>
      <c r="B3171" s="18" t="n">
        <v>1169967.09155267</v>
      </c>
      <c r="C3171" s="18" t="n">
        <v>5081497.88916631</v>
      </c>
      <c r="D3171" s="0" t="n">
        <v>1</v>
      </c>
    </row>
    <row r="3172" customFormat="false" ht="15" hidden="false" customHeight="false" outlineLevel="0" collapsed="false">
      <c r="A3172" s="0" t="n">
        <v>3171</v>
      </c>
      <c r="B3172" s="18" t="n">
        <v>1346860.83238945</v>
      </c>
      <c r="C3172" s="18" t="n">
        <v>799639.529846122</v>
      </c>
      <c r="D3172" s="0" t="n">
        <v>1</v>
      </c>
    </row>
    <row r="3173" customFormat="false" ht="15" hidden="false" customHeight="false" outlineLevel="0" collapsed="false">
      <c r="A3173" s="0" t="n">
        <v>3172</v>
      </c>
      <c r="B3173" s="18" t="n">
        <v>496104.367648381</v>
      </c>
      <c r="C3173" s="18" t="n">
        <v>0</v>
      </c>
      <c r="D3173" s="0" t="n">
        <v>0</v>
      </c>
      <c r="E3173" s="19" t="n">
        <v>30.5</v>
      </c>
    </row>
    <row r="3174" customFormat="false" ht="15" hidden="false" customHeight="false" outlineLevel="0" collapsed="false">
      <c r="A3174" s="0" t="n">
        <v>3173</v>
      </c>
      <c r="B3174" s="18" t="n">
        <v>2875939.88772444</v>
      </c>
      <c r="C3174" s="18" t="n">
        <v>33491878.2969725</v>
      </c>
      <c r="D3174" s="0" t="n">
        <v>1</v>
      </c>
    </row>
    <row r="3175" customFormat="false" ht="15" hidden="false" customHeight="false" outlineLevel="0" collapsed="false">
      <c r="A3175" s="0" t="n">
        <v>3174</v>
      </c>
      <c r="B3175" s="18" t="n">
        <v>1125719.84688354</v>
      </c>
      <c r="C3175" s="18" t="n">
        <v>1601393.80012116</v>
      </c>
      <c r="D3175" s="0" t="n">
        <v>1</v>
      </c>
    </row>
    <row r="3176" customFormat="false" ht="15" hidden="false" customHeight="false" outlineLevel="0" collapsed="false">
      <c r="A3176" s="0" t="n">
        <v>3175</v>
      </c>
      <c r="B3176" s="18" t="n">
        <v>308430.107233709</v>
      </c>
      <c r="C3176" s="18" t="n">
        <v>0</v>
      </c>
      <c r="D3176" s="0" t="n">
        <v>0</v>
      </c>
      <c r="E3176" s="19" t="n">
        <v>30.5833333333333</v>
      </c>
    </row>
    <row r="3177" customFormat="false" ht="15" hidden="false" customHeight="false" outlineLevel="0" collapsed="false">
      <c r="A3177" s="0" t="n">
        <v>3176</v>
      </c>
      <c r="B3177" s="18" t="n">
        <v>1352054.13679936</v>
      </c>
      <c r="C3177" s="18" t="n">
        <v>3728437.49332268</v>
      </c>
      <c r="D3177" s="0" t="n">
        <v>1</v>
      </c>
    </row>
    <row r="3178" customFormat="false" ht="15" hidden="false" customHeight="false" outlineLevel="0" collapsed="false">
      <c r="A3178" s="0" t="n">
        <v>3177</v>
      </c>
      <c r="B3178" s="18" t="n">
        <v>923313.327692027</v>
      </c>
      <c r="C3178" s="18" t="n">
        <v>0</v>
      </c>
      <c r="D3178" s="0" t="n">
        <v>0</v>
      </c>
      <c r="E3178" s="19" t="n">
        <v>53.5833333333333</v>
      </c>
    </row>
    <row r="3179" customFormat="false" ht="15" hidden="false" customHeight="false" outlineLevel="0" collapsed="false">
      <c r="A3179" s="0" t="n">
        <v>3178</v>
      </c>
      <c r="B3179" s="18" t="n">
        <v>1345699.85511619</v>
      </c>
      <c r="C3179" s="18" t="n">
        <v>407670.711319707</v>
      </c>
      <c r="D3179" s="0" t="n">
        <v>1</v>
      </c>
    </row>
    <row r="3180" customFormat="false" ht="15" hidden="false" customHeight="false" outlineLevel="0" collapsed="false">
      <c r="A3180" s="0" t="n">
        <v>3179</v>
      </c>
      <c r="B3180" s="18" t="n">
        <v>753680.703769261</v>
      </c>
      <c r="C3180" s="18" t="n">
        <v>0</v>
      </c>
      <c r="D3180" s="0" t="n">
        <v>0</v>
      </c>
      <c r="E3180" s="19" t="n">
        <v>36.5</v>
      </c>
    </row>
    <row r="3181" customFormat="false" ht="15" hidden="false" customHeight="false" outlineLevel="0" collapsed="false">
      <c r="A3181" s="0" t="n">
        <v>3180</v>
      </c>
      <c r="B3181" s="18" t="n">
        <v>759423.843629519</v>
      </c>
      <c r="C3181" s="18" t="n">
        <v>0</v>
      </c>
      <c r="D3181" s="0" t="n">
        <v>0</v>
      </c>
      <c r="E3181" s="19" t="n">
        <v>35.25</v>
      </c>
    </row>
    <row r="3182" customFormat="false" ht="15" hidden="false" customHeight="false" outlineLevel="0" collapsed="false">
      <c r="A3182" s="0" t="n">
        <v>3181</v>
      </c>
      <c r="B3182" s="18" t="n">
        <v>334674.104085997</v>
      </c>
      <c r="C3182" s="18" t="n">
        <v>0</v>
      </c>
      <c r="D3182" s="0" t="n">
        <v>0</v>
      </c>
      <c r="E3182" s="19" t="n">
        <v>30.5833333333333</v>
      </c>
    </row>
    <row r="3183" customFormat="false" ht="15" hidden="false" customHeight="false" outlineLevel="0" collapsed="false">
      <c r="A3183" s="0" t="n">
        <v>3182</v>
      </c>
      <c r="B3183" s="18" t="n">
        <v>559798.356098442</v>
      </c>
      <c r="C3183" s="18" t="n">
        <v>0</v>
      </c>
      <c r="D3183" s="0" t="n">
        <v>0</v>
      </c>
      <c r="E3183" s="19" t="n">
        <v>33.9166666666667</v>
      </c>
    </row>
    <row r="3184" customFormat="false" ht="15" hidden="false" customHeight="false" outlineLevel="0" collapsed="false">
      <c r="A3184" s="0" t="n">
        <v>3183</v>
      </c>
      <c r="B3184" s="18" t="n">
        <v>626009.651273569</v>
      </c>
      <c r="C3184" s="18" t="n">
        <v>0</v>
      </c>
      <c r="D3184" s="0" t="n">
        <v>0</v>
      </c>
      <c r="E3184" s="19" t="n">
        <v>35.8333333333333</v>
      </c>
    </row>
    <row r="3185" customFormat="false" ht="15" hidden="false" customHeight="false" outlineLevel="0" collapsed="false">
      <c r="A3185" s="0" t="n">
        <v>3184</v>
      </c>
      <c r="B3185" s="18" t="n">
        <v>1273647.10313466</v>
      </c>
      <c r="C3185" s="18" t="n">
        <v>0</v>
      </c>
      <c r="D3185" s="0" t="n">
        <v>0</v>
      </c>
      <c r="E3185" s="19" t="n">
        <v>45</v>
      </c>
    </row>
    <row r="3186" customFormat="false" ht="15" hidden="false" customHeight="false" outlineLevel="0" collapsed="false">
      <c r="A3186" s="0" t="n">
        <v>3185</v>
      </c>
      <c r="B3186" s="18" t="n">
        <v>641740.990674348</v>
      </c>
      <c r="C3186" s="18" t="n">
        <v>896876.00475505</v>
      </c>
      <c r="D3186" s="0" t="n">
        <v>1</v>
      </c>
    </row>
    <row r="3187" customFormat="false" ht="15" hidden="false" customHeight="false" outlineLevel="0" collapsed="false">
      <c r="A3187" s="0" t="n">
        <v>3186</v>
      </c>
      <c r="B3187" s="18" t="n">
        <v>1883953.54536564</v>
      </c>
      <c r="C3187" s="18" t="n">
        <v>2264202.45793127</v>
      </c>
      <c r="D3187" s="0" t="n">
        <v>1</v>
      </c>
    </row>
    <row r="3188" customFormat="false" ht="15" hidden="false" customHeight="false" outlineLevel="0" collapsed="false">
      <c r="A3188" s="0" t="n">
        <v>3187</v>
      </c>
      <c r="B3188" s="18" t="n">
        <v>637749.787761797</v>
      </c>
      <c r="C3188" s="18" t="n">
        <v>0</v>
      </c>
      <c r="D3188" s="0" t="n">
        <v>0</v>
      </c>
      <c r="E3188" s="19" t="n">
        <v>35.1666666666667</v>
      </c>
    </row>
    <row r="3189" customFormat="false" ht="15" hidden="false" customHeight="false" outlineLevel="0" collapsed="false">
      <c r="A3189" s="0" t="n">
        <v>3188</v>
      </c>
      <c r="B3189" s="18" t="n">
        <v>1702101.40748026</v>
      </c>
      <c r="C3189" s="18" t="n">
        <v>14489447.4859308</v>
      </c>
      <c r="D3189" s="0" t="n">
        <v>1</v>
      </c>
    </row>
    <row r="3190" customFormat="false" ht="15" hidden="false" customHeight="false" outlineLevel="0" collapsed="false">
      <c r="A3190" s="0" t="n">
        <v>3189</v>
      </c>
      <c r="B3190" s="18" t="n">
        <v>536906.004219278</v>
      </c>
      <c r="C3190" s="18" t="n">
        <v>0</v>
      </c>
      <c r="D3190" s="0" t="n">
        <v>0</v>
      </c>
      <c r="E3190" s="19" t="n">
        <v>45.5</v>
      </c>
    </row>
    <row r="3191" customFormat="false" ht="15" hidden="false" customHeight="false" outlineLevel="0" collapsed="false">
      <c r="A3191" s="0" t="n">
        <v>3190</v>
      </c>
      <c r="B3191" s="18" t="n">
        <v>1064917.11757067</v>
      </c>
      <c r="C3191" s="18" t="n">
        <v>901997.38863876</v>
      </c>
      <c r="D3191" s="0" t="n">
        <v>1</v>
      </c>
    </row>
    <row r="3192" customFormat="false" ht="15" hidden="false" customHeight="false" outlineLevel="0" collapsed="false">
      <c r="A3192" s="0" t="n">
        <v>3191</v>
      </c>
      <c r="B3192" s="18" t="n">
        <v>494209.207404971</v>
      </c>
      <c r="C3192" s="18" t="n">
        <v>0</v>
      </c>
      <c r="D3192" s="0" t="n">
        <v>0</v>
      </c>
      <c r="E3192" s="19" t="n">
        <v>35.8333333333333</v>
      </c>
    </row>
    <row r="3193" customFormat="false" ht="15" hidden="false" customHeight="false" outlineLevel="0" collapsed="false">
      <c r="A3193" s="0" t="n">
        <v>3192</v>
      </c>
      <c r="B3193" s="18" t="n">
        <v>525211.501536864</v>
      </c>
      <c r="C3193" s="18" t="n">
        <v>0</v>
      </c>
      <c r="D3193" s="0" t="n">
        <v>0</v>
      </c>
      <c r="E3193" s="19" t="n">
        <v>34.75</v>
      </c>
    </row>
    <row r="3194" customFormat="false" ht="15" hidden="false" customHeight="false" outlineLevel="0" collapsed="false">
      <c r="A3194" s="0" t="n">
        <v>3193</v>
      </c>
      <c r="B3194" s="18" t="n">
        <v>1447911.25144287</v>
      </c>
      <c r="C3194" s="18" t="n">
        <v>5315635.50636657</v>
      </c>
      <c r="D3194" s="0" t="n">
        <v>1</v>
      </c>
    </row>
    <row r="3195" customFormat="false" ht="15" hidden="false" customHeight="false" outlineLevel="0" collapsed="false">
      <c r="A3195" s="0" t="n">
        <v>3194</v>
      </c>
      <c r="B3195" s="18" t="n">
        <v>707254.621177822</v>
      </c>
      <c r="C3195" s="18" t="n">
        <v>0</v>
      </c>
      <c r="D3195" s="0" t="n">
        <v>0</v>
      </c>
      <c r="E3195" s="19" t="n">
        <v>35.25</v>
      </c>
    </row>
    <row r="3196" customFormat="false" ht="15" hidden="false" customHeight="false" outlineLevel="0" collapsed="false">
      <c r="A3196" s="0" t="n">
        <v>3195</v>
      </c>
      <c r="B3196" s="18" t="n">
        <v>372406.888123553</v>
      </c>
      <c r="C3196" s="18" t="n">
        <v>0</v>
      </c>
      <c r="D3196" s="0" t="n">
        <v>0</v>
      </c>
      <c r="E3196" s="19" t="n">
        <v>30.4166666666667</v>
      </c>
    </row>
    <row r="3197" customFormat="false" ht="15" hidden="false" customHeight="false" outlineLevel="0" collapsed="false">
      <c r="A3197" s="0" t="n">
        <v>3196</v>
      </c>
      <c r="B3197" s="18" t="n">
        <v>673232.389530439</v>
      </c>
      <c r="C3197" s="18" t="n">
        <v>0</v>
      </c>
      <c r="D3197" s="0" t="n">
        <v>0</v>
      </c>
      <c r="E3197" s="19" t="n">
        <v>37.1666666666667</v>
      </c>
    </row>
    <row r="3198" customFormat="false" ht="15" hidden="false" customHeight="false" outlineLevel="0" collapsed="false">
      <c r="A3198" s="0" t="n">
        <v>3197</v>
      </c>
      <c r="B3198" s="18" t="n">
        <v>783279.577012844</v>
      </c>
      <c r="C3198" s="18" t="n">
        <v>0</v>
      </c>
      <c r="D3198" s="0" t="n">
        <v>0</v>
      </c>
      <c r="E3198" s="19" t="n">
        <v>35.1666666666667</v>
      </c>
    </row>
    <row r="3199" customFormat="false" ht="15" hidden="false" customHeight="false" outlineLevel="0" collapsed="false">
      <c r="A3199" s="0" t="n">
        <v>3198</v>
      </c>
      <c r="B3199" s="18" t="n">
        <v>1975257.12579296</v>
      </c>
      <c r="C3199" s="18" t="n">
        <v>12733233.2127035</v>
      </c>
      <c r="D3199" s="0" t="n">
        <v>1</v>
      </c>
    </row>
    <row r="3200" customFormat="false" ht="15" hidden="false" customHeight="false" outlineLevel="0" collapsed="false">
      <c r="A3200" s="0" t="n">
        <v>3199</v>
      </c>
      <c r="B3200" s="18" t="n">
        <v>871891.055844567</v>
      </c>
      <c r="C3200" s="18" t="n">
        <v>0</v>
      </c>
      <c r="D3200" s="0" t="n">
        <v>0</v>
      </c>
      <c r="E3200" s="19" t="n">
        <v>38.9166666666667</v>
      </c>
    </row>
    <row r="3201" customFormat="false" ht="15" hidden="false" customHeight="false" outlineLevel="0" collapsed="false">
      <c r="A3201" s="0" t="n">
        <v>3200</v>
      </c>
      <c r="B3201" s="18" t="n">
        <v>742251.217086337</v>
      </c>
      <c r="C3201" s="18" t="n">
        <v>0</v>
      </c>
      <c r="D3201" s="0" t="n">
        <v>0</v>
      </c>
      <c r="E3201" s="19" t="n">
        <v>43.1666666666667</v>
      </c>
    </row>
    <row r="3202" customFormat="false" ht="15" hidden="false" customHeight="false" outlineLevel="0" collapsed="false">
      <c r="A3202" s="0" t="n">
        <v>3201</v>
      </c>
      <c r="B3202" s="18" t="n">
        <v>1191733.97622608</v>
      </c>
      <c r="C3202" s="18" t="n">
        <v>2292495.79809509</v>
      </c>
      <c r="D3202" s="0" t="n">
        <v>1</v>
      </c>
    </row>
    <row r="3203" customFormat="false" ht="15" hidden="false" customHeight="false" outlineLevel="0" collapsed="false">
      <c r="A3203" s="0" t="n">
        <v>3202</v>
      </c>
      <c r="B3203" s="18" t="n">
        <v>669047.365621401</v>
      </c>
      <c r="C3203" s="18" t="n">
        <v>0</v>
      </c>
      <c r="D3203" s="0" t="n">
        <v>0</v>
      </c>
      <c r="E3203" s="19" t="n">
        <v>36.3333333333333</v>
      </c>
    </row>
    <row r="3204" customFormat="false" ht="15" hidden="false" customHeight="false" outlineLevel="0" collapsed="false">
      <c r="A3204" s="0" t="n">
        <v>3203</v>
      </c>
      <c r="B3204" s="18" t="n">
        <v>1074643.7426606</v>
      </c>
      <c r="C3204" s="18" t="n">
        <v>2257805.16030361</v>
      </c>
      <c r="D3204" s="0" t="n">
        <v>1</v>
      </c>
    </row>
    <row r="3205" customFormat="false" ht="15" hidden="false" customHeight="false" outlineLevel="0" collapsed="false">
      <c r="A3205" s="0" t="n">
        <v>3204</v>
      </c>
      <c r="B3205" s="18" t="n">
        <v>949561.672243136</v>
      </c>
      <c r="C3205" s="18" t="n">
        <v>570296.575630754</v>
      </c>
      <c r="D3205" s="0" t="n">
        <v>1</v>
      </c>
    </row>
    <row r="3206" customFormat="false" ht="15" hidden="false" customHeight="false" outlineLevel="0" collapsed="false">
      <c r="A3206" s="0" t="n">
        <v>3205</v>
      </c>
      <c r="B3206" s="18" t="n">
        <v>1922480.94259939</v>
      </c>
      <c r="C3206" s="18" t="n">
        <v>3573757.58286877</v>
      </c>
      <c r="D3206" s="0" t="n">
        <v>1</v>
      </c>
    </row>
    <row r="3207" customFormat="false" ht="15" hidden="false" customHeight="false" outlineLevel="0" collapsed="false">
      <c r="A3207" s="0" t="n">
        <v>3206</v>
      </c>
      <c r="B3207" s="18" t="n">
        <v>1939212.91633973</v>
      </c>
      <c r="C3207" s="18" t="n">
        <v>8710714.35276748</v>
      </c>
      <c r="D3207" s="0" t="n">
        <v>1</v>
      </c>
    </row>
    <row r="3208" customFormat="false" ht="15" hidden="false" customHeight="false" outlineLevel="0" collapsed="false">
      <c r="A3208" s="0" t="n">
        <v>3207</v>
      </c>
      <c r="B3208" s="18" t="n">
        <v>493475.748466632</v>
      </c>
      <c r="C3208" s="18" t="n">
        <v>0</v>
      </c>
      <c r="D3208" s="0" t="n">
        <v>0</v>
      </c>
      <c r="E3208" s="19" t="n">
        <v>36</v>
      </c>
    </row>
    <row r="3209" customFormat="false" ht="15" hidden="false" customHeight="false" outlineLevel="0" collapsed="false">
      <c r="A3209" s="0" t="n">
        <v>3208</v>
      </c>
      <c r="B3209" s="18" t="n">
        <v>733311.310316247</v>
      </c>
      <c r="C3209" s="18" t="n">
        <v>0</v>
      </c>
      <c r="D3209" s="0" t="n">
        <v>0</v>
      </c>
      <c r="E3209" s="19" t="n">
        <v>46</v>
      </c>
    </row>
    <row r="3210" customFormat="false" ht="15" hidden="false" customHeight="false" outlineLevel="0" collapsed="false">
      <c r="A3210" s="0" t="n">
        <v>3209</v>
      </c>
      <c r="B3210" s="18" t="n">
        <v>478965.969459431</v>
      </c>
      <c r="C3210" s="18" t="n">
        <v>0</v>
      </c>
      <c r="D3210" s="0" t="n">
        <v>0</v>
      </c>
      <c r="E3210" s="19" t="n">
        <v>35.1666666666667</v>
      </c>
    </row>
    <row r="3211" customFormat="false" ht="15" hidden="false" customHeight="false" outlineLevel="0" collapsed="false">
      <c r="A3211" s="0" t="n">
        <v>3210</v>
      </c>
      <c r="B3211" s="18" t="n">
        <v>2635485.72060052</v>
      </c>
      <c r="C3211" s="18" t="n">
        <v>5051247.22292657</v>
      </c>
      <c r="D3211" s="0" t="n">
        <v>1</v>
      </c>
    </row>
    <row r="3212" customFormat="false" ht="15" hidden="false" customHeight="false" outlineLevel="0" collapsed="false">
      <c r="A3212" s="0" t="n">
        <v>3211</v>
      </c>
      <c r="B3212" s="18" t="n">
        <v>345903.798475899</v>
      </c>
      <c r="C3212" s="18" t="n">
        <v>0</v>
      </c>
      <c r="D3212" s="0" t="n">
        <v>0</v>
      </c>
      <c r="E3212" s="19" t="n">
        <v>32.5</v>
      </c>
    </row>
    <row r="3213" customFormat="false" ht="15" hidden="false" customHeight="false" outlineLevel="0" collapsed="false">
      <c r="A3213" s="0" t="n">
        <v>3212</v>
      </c>
      <c r="B3213" s="18" t="n">
        <v>758684.212336092</v>
      </c>
      <c r="C3213" s="18" t="n">
        <v>0</v>
      </c>
      <c r="D3213" s="0" t="n">
        <v>0</v>
      </c>
      <c r="E3213" s="19" t="n">
        <v>43.5</v>
      </c>
    </row>
    <row r="3214" customFormat="false" ht="15" hidden="false" customHeight="false" outlineLevel="0" collapsed="false">
      <c r="A3214" s="0" t="n">
        <v>3213</v>
      </c>
      <c r="B3214" s="18" t="n">
        <v>710934.9502443</v>
      </c>
      <c r="C3214" s="18" t="n">
        <v>0</v>
      </c>
      <c r="D3214" s="0" t="n">
        <v>0</v>
      </c>
      <c r="E3214" s="19" t="n">
        <v>36.9166666666667</v>
      </c>
    </row>
    <row r="3215" customFormat="false" ht="15" hidden="false" customHeight="false" outlineLevel="0" collapsed="false">
      <c r="A3215" s="0" t="n">
        <v>3214</v>
      </c>
      <c r="B3215" s="18" t="n">
        <v>750356.478812682</v>
      </c>
      <c r="C3215" s="18" t="n">
        <v>0</v>
      </c>
      <c r="D3215" s="0" t="n">
        <v>0</v>
      </c>
      <c r="E3215" s="19" t="n">
        <v>40.4166666666667</v>
      </c>
    </row>
    <row r="3216" customFormat="false" ht="15" hidden="false" customHeight="false" outlineLevel="0" collapsed="false">
      <c r="A3216" s="0" t="n">
        <v>3215</v>
      </c>
      <c r="B3216" s="18" t="n">
        <v>663848.86826975</v>
      </c>
      <c r="C3216" s="18" t="n">
        <v>0</v>
      </c>
      <c r="D3216" s="0" t="n">
        <v>0</v>
      </c>
      <c r="E3216" s="19" t="n">
        <v>35.1666666666667</v>
      </c>
    </row>
    <row r="3217" customFormat="false" ht="15" hidden="false" customHeight="false" outlineLevel="0" collapsed="false">
      <c r="A3217" s="0" t="n">
        <v>3216</v>
      </c>
      <c r="B3217" s="18" t="n">
        <v>499707.599166799</v>
      </c>
      <c r="C3217" s="18" t="n">
        <v>0</v>
      </c>
      <c r="D3217" s="0" t="n">
        <v>0</v>
      </c>
      <c r="E3217" s="19" t="n">
        <v>31.6666666666667</v>
      </c>
    </row>
    <row r="3218" customFormat="false" ht="15" hidden="false" customHeight="false" outlineLevel="0" collapsed="false">
      <c r="A3218" s="0" t="n">
        <v>3217</v>
      </c>
      <c r="B3218" s="18" t="n">
        <v>661869.733484289</v>
      </c>
      <c r="C3218" s="18" t="n">
        <v>0</v>
      </c>
      <c r="D3218" s="0" t="n">
        <v>0</v>
      </c>
      <c r="E3218" s="19" t="n">
        <v>36.5833333333333</v>
      </c>
    </row>
    <row r="3219" customFormat="false" ht="15" hidden="false" customHeight="false" outlineLevel="0" collapsed="false">
      <c r="A3219" s="0" t="n">
        <v>3218</v>
      </c>
      <c r="B3219" s="18" t="n">
        <v>1074890.86106766</v>
      </c>
      <c r="C3219" s="18" t="n">
        <v>0</v>
      </c>
      <c r="D3219" s="0" t="n">
        <v>0</v>
      </c>
      <c r="E3219" s="19" t="n">
        <v>37.4166666666667</v>
      </c>
    </row>
    <row r="3220" customFormat="false" ht="15" hidden="false" customHeight="false" outlineLevel="0" collapsed="false">
      <c r="A3220" s="0" t="n">
        <v>3219</v>
      </c>
      <c r="B3220" s="18" t="n">
        <v>950621.185455888</v>
      </c>
      <c r="C3220" s="18" t="n">
        <v>0</v>
      </c>
      <c r="D3220" s="0" t="n">
        <v>0</v>
      </c>
      <c r="E3220" s="19" t="n">
        <v>42.4166666666667</v>
      </c>
    </row>
    <row r="3221" customFormat="false" ht="15" hidden="false" customHeight="false" outlineLevel="0" collapsed="false">
      <c r="A3221" s="0" t="n">
        <v>3220</v>
      </c>
      <c r="B3221" s="18" t="n">
        <v>992210.124650181</v>
      </c>
      <c r="C3221" s="18" t="n">
        <v>0</v>
      </c>
      <c r="D3221" s="0" t="n">
        <v>0</v>
      </c>
      <c r="E3221" s="19" t="n">
        <v>37.5</v>
      </c>
    </row>
    <row r="3222" customFormat="false" ht="15" hidden="false" customHeight="false" outlineLevel="0" collapsed="false">
      <c r="A3222" s="0" t="n">
        <v>3221</v>
      </c>
      <c r="B3222" s="18" t="n">
        <v>1835215.53637317</v>
      </c>
      <c r="C3222" s="18" t="n">
        <v>9088052.57809629</v>
      </c>
      <c r="D3222" s="0" t="n">
        <v>1</v>
      </c>
    </row>
    <row r="3223" customFormat="false" ht="15" hidden="false" customHeight="false" outlineLevel="0" collapsed="false">
      <c r="A3223" s="0" t="n">
        <v>3222</v>
      </c>
      <c r="B3223" s="18" t="n">
        <v>328650.833716445</v>
      </c>
      <c r="C3223" s="18" t="n">
        <v>0</v>
      </c>
      <c r="D3223" s="0" t="n">
        <v>0</v>
      </c>
      <c r="E3223" s="19" t="n">
        <v>32.5</v>
      </c>
    </row>
    <row r="3224" customFormat="false" ht="15" hidden="false" customHeight="false" outlineLevel="0" collapsed="false">
      <c r="A3224" s="0" t="n">
        <v>3223</v>
      </c>
      <c r="B3224" s="18" t="n">
        <v>3889336.08290572</v>
      </c>
      <c r="C3224" s="18" t="n">
        <v>5084443.6795672</v>
      </c>
      <c r="D3224" s="0" t="n">
        <v>1</v>
      </c>
    </row>
    <row r="3225" customFormat="false" ht="15" hidden="false" customHeight="false" outlineLevel="0" collapsed="false">
      <c r="A3225" s="0" t="n">
        <v>3224</v>
      </c>
      <c r="B3225" s="18" t="n">
        <v>1591663.2108422</v>
      </c>
      <c r="C3225" s="18" t="n">
        <v>2058205.47944411</v>
      </c>
      <c r="D3225" s="0" t="n">
        <v>1</v>
      </c>
    </row>
    <row r="3226" customFormat="false" ht="15" hidden="false" customHeight="false" outlineLevel="0" collapsed="false">
      <c r="A3226" s="0" t="n">
        <v>3225</v>
      </c>
      <c r="B3226" s="18" t="n">
        <v>840624.631055218</v>
      </c>
      <c r="C3226" s="18" t="n">
        <v>0</v>
      </c>
      <c r="D3226" s="0" t="n">
        <v>0</v>
      </c>
      <c r="E3226" s="19" t="n">
        <v>38</v>
      </c>
    </row>
    <row r="3227" customFormat="false" ht="15" hidden="false" customHeight="false" outlineLevel="0" collapsed="false">
      <c r="A3227" s="0" t="n">
        <v>3226</v>
      </c>
      <c r="B3227" s="18" t="n">
        <v>275505.566079558</v>
      </c>
      <c r="C3227" s="18" t="n">
        <v>0</v>
      </c>
      <c r="D3227" s="0" t="n">
        <v>0</v>
      </c>
      <c r="E3227" s="19" t="n">
        <v>30.0833333333333</v>
      </c>
    </row>
    <row r="3228" customFormat="false" ht="15" hidden="false" customHeight="false" outlineLevel="0" collapsed="false">
      <c r="A3228" s="0" t="n">
        <v>3227</v>
      </c>
      <c r="B3228" s="18" t="n">
        <v>763289.769000958</v>
      </c>
      <c r="C3228" s="18" t="n">
        <v>0</v>
      </c>
      <c r="D3228" s="0" t="n">
        <v>0</v>
      </c>
      <c r="E3228" s="19" t="n">
        <v>37.75</v>
      </c>
    </row>
    <row r="3229" customFormat="false" ht="15" hidden="false" customHeight="false" outlineLevel="0" collapsed="false">
      <c r="A3229" s="0" t="n">
        <v>3228</v>
      </c>
      <c r="B3229" s="18" t="n">
        <v>2240371.79838028</v>
      </c>
      <c r="C3229" s="18" t="n">
        <v>29316227.5622541</v>
      </c>
      <c r="D3229" s="0" t="n">
        <v>1</v>
      </c>
    </row>
    <row r="3230" customFormat="false" ht="15" hidden="false" customHeight="false" outlineLevel="0" collapsed="false">
      <c r="A3230" s="0" t="n">
        <v>3229</v>
      </c>
      <c r="B3230" s="18" t="n">
        <v>291956.957397635</v>
      </c>
      <c r="C3230" s="18" t="n">
        <v>0</v>
      </c>
      <c r="D3230" s="0" t="n">
        <v>0</v>
      </c>
      <c r="E3230" s="19" t="n">
        <v>29</v>
      </c>
    </row>
    <row r="3231" customFormat="false" ht="15" hidden="false" customHeight="false" outlineLevel="0" collapsed="false">
      <c r="A3231" s="0" t="n">
        <v>3230</v>
      </c>
      <c r="B3231" s="18" t="n">
        <v>654214.753675394</v>
      </c>
      <c r="C3231" s="18" t="n">
        <v>0</v>
      </c>
      <c r="D3231" s="0" t="n">
        <v>0</v>
      </c>
      <c r="E3231" s="19" t="n">
        <v>50.25</v>
      </c>
    </row>
    <row r="3232" customFormat="false" ht="15" hidden="false" customHeight="false" outlineLevel="0" collapsed="false">
      <c r="A3232" s="0" t="n">
        <v>3231</v>
      </c>
      <c r="B3232" s="18" t="n">
        <v>2315910.07185009</v>
      </c>
      <c r="C3232" s="18" t="n">
        <v>19238055.0844726</v>
      </c>
      <c r="D3232" s="0" t="n">
        <v>1</v>
      </c>
    </row>
    <row r="3233" customFormat="false" ht="15" hidden="false" customHeight="false" outlineLevel="0" collapsed="false">
      <c r="A3233" s="0" t="n">
        <v>3232</v>
      </c>
      <c r="B3233" s="18" t="n">
        <v>1039858.87313939</v>
      </c>
      <c r="C3233" s="18" t="n">
        <v>171762.907871025</v>
      </c>
      <c r="D3233" s="0" t="n">
        <v>1</v>
      </c>
    </row>
    <row r="3234" customFormat="false" ht="15" hidden="false" customHeight="false" outlineLevel="0" collapsed="false">
      <c r="A3234" s="0" t="n">
        <v>3233</v>
      </c>
      <c r="B3234" s="18" t="n">
        <v>1002046.63766943</v>
      </c>
      <c r="C3234" s="18" t="n">
        <v>0</v>
      </c>
      <c r="D3234" s="0" t="n">
        <v>0</v>
      </c>
      <c r="E3234" s="19" t="n">
        <v>44.8333333333333</v>
      </c>
    </row>
    <row r="3235" customFormat="false" ht="15" hidden="false" customHeight="false" outlineLevel="0" collapsed="false">
      <c r="A3235" s="0" t="n">
        <v>3234</v>
      </c>
      <c r="B3235" s="18" t="n">
        <v>1308898.13206462</v>
      </c>
      <c r="C3235" s="18" t="n">
        <v>3759972.38858335</v>
      </c>
      <c r="D3235" s="0" t="n">
        <v>1</v>
      </c>
    </row>
    <row r="3236" customFormat="false" ht="15" hidden="false" customHeight="false" outlineLevel="0" collapsed="false">
      <c r="A3236" s="0" t="n">
        <v>3235</v>
      </c>
      <c r="B3236" s="18" t="n">
        <v>1410252.09375384</v>
      </c>
      <c r="C3236" s="18" t="n">
        <v>534265.240385106</v>
      </c>
      <c r="D3236" s="0" t="n">
        <v>1</v>
      </c>
    </row>
    <row r="3237" customFormat="false" ht="15" hidden="false" customHeight="false" outlineLevel="0" collapsed="false">
      <c r="A3237" s="0" t="n">
        <v>3236</v>
      </c>
      <c r="B3237" s="18" t="n">
        <v>605128.709380508</v>
      </c>
      <c r="C3237" s="18" t="n">
        <v>0</v>
      </c>
      <c r="D3237" s="0" t="n">
        <v>0</v>
      </c>
      <c r="E3237" s="19" t="n">
        <v>46.5833333333333</v>
      </c>
    </row>
    <row r="3238" customFormat="false" ht="15" hidden="false" customHeight="false" outlineLevel="0" collapsed="false">
      <c r="A3238" s="0" t="n">
        <v>3237</v>
      </c>
      <c r="B3238" s="18" t="n">
        <v>742509.469700246</v>
      </c>
      <c r="C3238" s="18" t="n">
        <v>0</v>
      </c>
      <c r="D3238" s="0" t="n">
        <v>0</v>
      </c>
      <c r="E3238" s="19" t="n">
        <v>37.4166666666667</v>
      </c>
    </row>
    <row r="3239" customFormat="false" ht="15" hidden="false" customHeight="false" outlineLevel="0" collapsed="false">
      <c r="A3239" s="0" t="n">
        <v>3238</v>
      </c>
      <c r="B3239" s="18" t="n">
        <v>785508.386319134</v>
      </c>
      <c r="C3239" s="18" t="n">
        <v>0</v>
      </c>
      <c r="D3239" s="0" t="n">
        <v>0</v>
      </c>
      <c r="E3239" s="19" t="n">
        <v>38.75</v>
      </c>
    </row>
    <row r="3240" customFormat="false" ht="15" hidden="false" customHeight="false" outlineLevel="0" collapsed="false">
      <c r="A3240" s="0" t="n">
        <v>3239</v>
      </c>
      <c r="B3240" s="18" t="n">
        <v>672866.58825269</v>
      </c>
      <c r="C3240" s="18" t="n">
        <v>0</v>
      </c>
      <c r="D3240" s="0" t="n">
        <v>0</v>
      </c>
      <c r="E3240" s="19" t="n">
        <v>31.9166666666667</v>
      </c>
    </row>
    <row r="3241" customFormat="false" ht="15" hidden="false" customHeight="false" outlineLevel="0" collapsed="false">
      <c r="A3241" s="0" t="n">
        <v>3240</v>
      </c>
      <c r="B3241" s="18" t="n">
        <v>634584.318550451</v>
      </c>
      <c r="C3241" s="18" t="n">
        <v>0</v>
      </c>
      <c r="D3241" s="0" t="n">
        <v>0</v>
      </c>
      <c r="E3241" s="19" t="n">
        <v>34.8333333333333</v>
      </c>
    </row>
    <row r="3242" customFormat="false" ht="15" hidden="false" customHeight="false" outlineLevel="0" collapsed="false">
      <c r="A3242" s="0" t="n">
        <v>3241</v>
      </c>
      <c r="B3242" s="18" t="n">
        <v>1636876.20680668</v>
      </c>
      <c r="C3242" s="18" t="n">
        <v>851683.494279332</v>
      </c>
      <c r="D3242" s="0" t="n">
        <v>1</v>
      </c>
    </row>
    <row r="3243" customFormat="false" ht="15" hidden="false" customHeight="false" outlineLevel="0" collapsed="false">
      <c r="A3243" s="0" t="n">
        <v>3242</v>
      </c>
      <c r="B3243" s="18" t="n">
        <v>1110262.88574575</v>
      </c>
      <c r="C3243" s="18" t="n">
        <v>0</v>
      </c>
      <c r="D3243" s="0" t="n">
        <v>0</v>
      </c>
      <c r="E3243" s="19" t="n">
        <v>40.1666666666667</v>
      </c>
    </row>
    <row r="3244" customFormat="false" ht="15" hidden="false" customHeight="false" outlineLevel="0" collapsed="false">
      <c r="A3244" s="0" t="n">
        <v>3243</v>
      </c>
      <c r="B3244" s="18" t="n">
        <v>575131.912037365</v>
      </c>
      <c r="C3244" s="18" t="n">
        <v>0</v>
      </c>
      <c r="D3244" s="0" t="n">
        <v>0</v>
      </c>
      <c r="E3244" s="19" t="n">
        <v>33.9166666666667</v>
      </c>
    </row>
    <row r="3245" customFormat="false" ht="15" hidden="false" customHeight="false" outlineLevel="0" collapsed="false">
      <c r="A3245" s="0" t="n">
        <v>3244</v>
      </c>
      <c r="B3245" s="18" t="n">
        <v>2064306.77455959</v>
      </c>
      <c r="C3245" s="18" t="n">
        <v>11441843.1688861</v>
      </c>
      <c r="D3245" s="0" t="n">
        <v>1</v>
      </c>
    </row>
    <row r="3246" customFormat="false" ht="15" hidden="false" customHeight="false" outlineLevel="0" collapsed="false">
      <c r="A3246" s="0" t="n">
        <v>3245</v>
      </c>
      <c r="B3246" s="18" t="n">
        <v>251673.892832119</v>
      </c>
      <c r="C3246" s="18" t="n">
        <v>0</v>
      </c>
      <c r="D3246" s="0" t="n">
        <v>0</v>
      </c>
      <c r="E3246" s="19" t="n">
        <v>30.8333333333333</v>
      </c>
    </row>
    <row r="3247" customFormat="false" ht="15" hidden="false" customHeight="false" outlineLevel="0" collapsed="false">
      <c r="A3247" s="0" t="n">
        <v>3246</v>
      </c>
      <c r="B3247" s="18" t="n">
        <v>849058.752547335</v>
      </c>
      <c r="C3247" s="18" t="n">
        <v>0</v>
      </c>
      <c r="D3247" s="0" t="n">
        <v>0</v>
      </c>
      <c r="E3247" s="19" t="n">
        <v>48</v>
      </c>
    </row>
    <row r="3248" customFormat="false" ht="15" hidden="false" customHeight="false" outlineLevel="0" collapsed="false">
      <c r="A3248" s="0" t="n">
        <v>3247</v>
      </c>
      <c r="B3248" s="18" t="n">
        <v>993220.976071674</v>
      </c>
      <c r="C3248" s="18" t="n">
        <v>0</v>
      </c>
      <c r="D3248" s="0" t="n">
        <v>0</v>
      </c>
      <c r="E3248" s="19" t="n">
        <v>35.3333333333333</v>
      </c>
    </row>
    <row r="3249" customFormat="false" ht="15" hidden="false" customHeight="false" outlineLevel="0" collapsed="false">
      <c r="A3249" s="0" t="n">
        <v>3248</v>
      </c>
      <c r="B3249" s="18" t="n">
        <v>645050.519761596</v>
      </c>
      <c r="C3249" s="18" t="n">
        <v>0</v>
      </c>
      <c r="D3249" s="0" t="n">
        <v>0</v>
      </c>
      <c r="E3249" s="19" t="n">
        <v>33.75</v>
      </c>
    </row>
    <row r="3250" customFormat="false" ht="15" hidden="false" customHeight="false" outlineLevel="0" collapsed="false">
      <c r="A3250" s="0" t="n">
        <v>3249</v>
      </c>
      <c r="B3250" s="18" t="n">
        <v>1119828.68814276</v>
      </c>
      <c r="C3250" s="18" t="n">
        <v>0</v>
      </c>
      <c r="D3250" s="0" t="n">
        <v>0</v>
      </c>
      <c r="E3250" s="19" t="n">
        <v>39.1666666666667</v>
      </c>
    </row>
    <row r="3251" customFormat="false" ht="15" hidden="false" customHeight="false" outlineLevel="0" collapsed="false">
      <c r="A3251" s="0" t="n">
        <v>3250</v>
      </c>
      <c r="B3251" s="18" t="n">
        <v>473205.861235177</v>
      </c>
      <c r="C3251" s="18" t="n">
        <v>0</v>
      </c>
      <c r="D3251" s="0" t="n">
        <v>0</v>
      </c>
      <c r="E3251" s="19" t="n">
        <v>33.6666666666667</v>
      </c>
    </row>
    <row r="3252" customFormat="false" ht="15" hidden="false" customHeight="false" outlineLevel="0" collapsed="false">
      <c r="A3252" s="0" t="n">
        <v>3251</v>
      </c>
      <c r="B3252" s="18" t="n">
        <v>1309128.57008947</v>
      </c>
      <c r="C3252" s="18" t="n">
        <v>8547712.82999367</v>
      </c>
      <c r="D3252" s="0" t="n">
        <v>1</v>
      </c>
    </row>
    <row r="3253" customFormat="false" ht="15" hidden="false" customHeight="false" outlineLevel="0" collapsed="false">
      <c r="A3253" s="0" t="n">
        <v>3252</v>
      </c>
      <c r="B3253" s="18" t="n">
        <v>1016502.23860676</v>
      </c>
      <c r="C3253" s="18" t="n">
        <v>47571193.703454</v>
      </c>
      <c r="D3253" s="0" t="n">
        <v>1</v>
      </c>
    </row>
    <row r="3254" customFormat="false" ht="15" hidden="false" customHeight="false" outlineLevel="0" collapsed="false">
      <c r="A3254" s="0" t="n">
        <v>3253</v>
      </c>
      <c r="B3254" s="18" t="n">
        <v>1430183.8248438</v>
      </c>
      <c r="C3254" s="18" t="n">
        <v>0</v>
      </c>
      <c r="D3254" s="0" t="n">
        <v>0</v>
      </c>
      <c r="E3254" s="19" t="n">
        <v>41.6666666666667</v>
      </c>
    </row>
    <row r="3255" customFormat="false" ht="15" hidden="false" customHeight="false" outlineLevel="0" collapsed="false">
      <c r="A3255" s="0" t="n">
        <v>3254</v>
      </c>
      <c r="B3255" s="18" t="n">
        <v>1427495.36405068</v>
      </c>
      <c r="C3255" s="18" t="n">
        <v>0</v>
      </c>
      <c r="D3255" s="0" t="n">
        <v>0</v>
      </c>
      <c r="E3255" s="19" t="n">
        <v>43.8333333333333</v>
      </c>
    </row>
    <row r="3256" customFormat="false" ht="15" hidden="false" customHeight="false" outlineLevel="0" collapsed="false">
      <c r="A3256" s="0" t="n">
        <v>3255</v>
      </c>
      <c r="B3256" s="18" t="n">
        <v>783627.755731525</v>
      </c>
      <c r="C3256" s="18" t="n">
        <v>0</v>
      </c>
      <c r="D3256" s="0" t="n">
        <v>0</v>
      </c>
      <c r="E3256" s="19" t="n">
        <v>35.8333333333333</v>
      </c>
    </row>
    <row r="3257" customFormat="false" ht="15" hidden="false" customHeight="false" outlineLevel="0" collapsed="false">
      <c r="A3257" s="0" t="n">
        <v>3256</v>
      </c>
      <c r="B3257" s="18" t="n">
        <v>712076.914187492</v>
      </c>
      <c r="C3257" s="18" t="n">
        <v>0</v>
      </c>
      <c r="D3257" s="0" t="n">
        <v>0</v>
      </c>
      <c r="E3257" s="19" t="n">
        <v>39.9166666666667</v>
      </c>
    </row>
    <row r="3258" customFormat="false" ht="15" hidden="false" customHeight="false" outlineLevel="0" collapsed="false">
      <c r="A3258" s="0" t="n">
        <v>3257</v>
      </c>
      <c r="B3258" s="18" t="n">
        <v>1087844.64960345</v>
      </c>
      <c r="C3258" s="18" t="n">
        <v>1221045.31017706</v>
      </c>
      <c r="D3258" s="0" t="n">
        <v>1</v>
      </c>
    </row>
    <row r="3259" customFormat="false" ht="15" hidden="false" customHeight="false" outlineLevel="0" collapsed="false">
      <c r="A3259" s="0" t="n">
        <v>3258</v>
      </c>
      <c r="B3259" s="18" t="n">
        <v>697447.635666392</v>
      </c>
      <c r="C3259" s="18" t="n">
        <v>0</v>
      </c>
      <c r="D3259" s="0" t="n">
        <v>0</v>
      </c>
      <c r="E3259" s="19" t="n">
        <v>34.9166666666667</v>
      </c>
    </row>
    <row r="3260" customFormat="false" ht="15" hidden="false" customHeight="false" outlineLevel="0" collapsed="false">
      <c r="A3260" s="0" t="n">
        <v>3259</v>
      </c>
      <c r="B3260" s="18" t="n">
        <v>594371.541864145</v>
      </c>
      <c r="C3260" s="18" t="n">
        <v>0</v>
      </c>
      <c r="D3260" s="0" t="n">
        <v>0</v>
      </c>
      <c r="E3260" s="19" t="n">
        <v>34.5</v>
      </c>
    </row>
    <row r="3261" customFormat="false" ht="15" hidden="false" customHeight="false" outlineLevel="0" collapsed="false">
      <c r="A3261" s="0" t="n">
        <v>3260</v>
      </c>
      <c r="B3261" s="18" t="n">
        <v>885994.804640464</v>
      </c>
      <c r="C3261" s="18" t="n">
        <v>2657048.53619338</v>
      </c>
      <c r="D3261" s="0" t="n">
        <v>1</v>
      </c>
    </row>
    <row r="3262" customFormat="false" ht="15" hidden="false" customHeight="false" outlineLevel="0" collapsed="false">
      <c r="A3262" s="0" t="n">
        <v>3261</v>
      </c>
      <c r="B3262" s="18" t="n">
        <v>976704.701777769</v>
      </c>
      <c r="C3262" s="18" t="n">
        <v>632109.04031243</v>
      </c>
      <c r="D3262" s="0" t="n">
        <v>1</v>
      </c>
    </row>
    <row r="3263" customFormat="false" ht="15" hidden="false" customHeight="false" outlineLevel="0" collapsed="false">
      <c r="A3263" s="0" t="n">
        <v>3262</v>
      </c>
      <c r="B3263" s="18" t="n">
        <v>545552.119348771</v>
      </c>
      <c r="C3263" s="18" t="n">
        <v>0</v>
      </c>
      <c r="D3263" s="0" t="n">
        <v>0</v>
      </c>
      <c r="E3263" s="19" t="n">
        <v>35.5833333333333</v>
      </c>
    </row>
    <row r="3264" customFormat="false" ht="15" hidden="false" customHeight="false" outlineLevel="0" collapsed="false">
      <c r="A3264" s="0" t="n">
        <v>3263</v>
      </c>
      <c r="B3264" s="18" t="n">
        <v>1096408.803672</v>
      </c>
      <c r="C3264" s="18" t="n">
        <v>0</v>
      </c>
      <c r="D3264" s="0" t="n">
        <v>0</v>
      </c>
      <c r="E3264" s="19" t="n">
        <v>48.5</v>
      </c>
    </row>
    <row r="3265" customFormat="false" ht="15" hidden="false" customHeight="false" outlineLevel="0" collapsed="false">
      <c r="A3265" s="0" t="n">
        <v>3264</v>
      </c>
      <c r="B3265" s="18" t="n">
        <v>1719185.72179487</v>
      </c>
      <c r="C3265" s="18" t="n">
        <v>7645758.85464403</v>
      </c>
      <c r="D3265" s="0" t="n">
        <v>1</v>
      </c>
    </row>
    <row r="3266" customFormat="false" ht="15" hidden="false" customHeight="false" outlineLevel="0" collapsed="false">
      <c r="A3266" s="0" t="n">
        <v>3265</v>
      </c>
      <c r="B3266" s="18" t="n">
        <v>1498075.04661612</v>
      </c>
      <c r="C3266" s="18" t="n">
        <v>613885.47174454</v>
      </c>
      <c r="D3266" s="0" t="n">
        <v>1</v>
      </c>
    </row>
    <row r="3267" customFormat="false" ht="15" hidden="false" customHeight="false" outlineLevel="0" collapsed="false">
      <c r="A3267" s="0" t="n">
        <v>3266</v>
      </c>
      <c r="B3267" s="18" t="n">
        <v>792791.283394795</v>
      </c>
      <c r="C3267" s="18" t="n">
        <v>0</v>
      </c>
      <c r="D3267" s="0" t="n">
        <v>0</v>
      </c>
      <c r="E3267" s="19" t="n">
        <v>47.8333333333333</v>
      </c>
    </row>
    <row r="3268" customFormat="false" ht="15" hidden="false" customHeight="false" outlineLevel="0" collapsed="false">
      <c r="A3268" s="0" t="n">
        <v>3267</v>
      </c>
      <c r="B3268" s="18" t="n">
        <v>801125.754151459</v>
      </c>
      <c r="C3268" s="18" t="n">
        <v>0</v>
      </c>
      <c r="D3268" s="0" t="n">
        <v>0</v>
      </c>
      <c r="E3268" s="19" t="n">
        <v>35.5833333333333</v>
      </c>
    </row>
    <row r="3269" customFormat="false" ht="15" hidden="false" customHeight="false" outlineLevel="0" collapsed="false">
      <c r="A3269" s="0" t="n">
        <v>3268</v>
      </c>
      <c r="B3269" s="18" t="n">
        <v>1445926.97020379</v>
      </c>
      <c r="C3269" s="18" t="n">
        <v>0</v>
      </c>
      <c r="D3269" s="0" t="n">
        <v>0</v>
      </c>
      <c r="E3269" s="19" t="n">
        <v>43.75</v>
      </c>
    </row>
    <row r="3270" customFormat="false" ht="15" hidden="false" customHeight="false" outlineLevel="0" collapsed="false">
      <c r="A3270" s="0" t="n">
        <v>3269</v>
      </c>
      <c r="B3270" s="18" t="n">
        <v>465058.925707096</v>
      </c>
      <c r="C3270" s="18" t="n">
        <v>0</v>
      </c>
      <c r="D3270" s="0" t="n">
        <v>0</v>
      </c>
      <c r="E3270" s="19" t="n">
        <v>33.0833333333333</v>
      </c>
    </row>
    <row r="3271" customFormat="false" ht="15" hidden="false" customHeight="false" outlineLevel="0" collapsed="false">
      <c r="A3271" s="0" t="n">
        <v>3270</v>
      </c>
      <c r="B3271" s="18" t="n">
        <v>771133.186153874</v>
      </c>
      <c r="C3271" s="18" t="n">
        <v>0</v>
      </c>
      <c r="D3271" s="0" t="n">
        <v>0</v>
      </c>
      <c r="E3271" s="19" t="n">
        <v>40.1666666666667</v>
      </c>
    </row>
    <row r="3272" customFormat="false" ht="15" hidden="false" customHeight="false" outlineLevel="0" collapsed="false">
      <c r="A3272" s="0" t="n">
        <v>3271</v>
      </c>
      <c r="B3272" s="18" t="n">
        <v>1051640.30541783</v>
      </c>
      <c r="C3272" s="18" t="n">
        <v>0</v>
      </c>
      <c r="D3272" s="0" t="n">
        <v>0</v>
      </c>
      <c r="E3272" s="19" t="n">
        <v>44.3333333333333</v>
      </c>
    </row>
    <row r="3273" customFormat="false" ht="15" hidden="false" customHeight="false" outlineLevel="0" collapsed="false">
      <c r="A3273" s="0" t="n">
        <v>3272</v>
      </c>
      <c r="B3273" s="18" t="n">
        <v>390090.297354547</v>
      </c>
      <c r="C3273" s="18" t="n">
        <v>0</v>
      </c>
      <c r="D3273" s="0" t="n">
        <v>0</v>
      </c>
      <c r="E3273" s="19" t="n">
        <v>32.4166666666667</v>
      </c>
    </row>
    <row r="3274" customFormat="false" ht="15" hidden="false" customHeight="false" outlineLevel="0" collapsed="false">
      <c r="A3274" s="0" t="n">
        <v>3273</v>
      </c>
      <c r="B3274" s="18" t="n">
        <v>632804.916026768</v>
      </c>
      <c r="C3274" s="18" t="n">
        <v>0</v>
      </c>
      <c r="D3274" s="0" t="n">
        <v>0</v>
      </c>
      <c r="E3274" s="19" t="n">
        <v>39.75</v>
      </c>
    </row>
    <row r="3275" customFormat="false" ht="15" hidden="false" customHeight="false" outlineLevel="0" collapsed="false">
      <c r="A3275" s="0" t="n">
        <v>3274</v>
      </c>
      <c r="B3275" s="18" t="n">
        <v>1346728.67241307</v>
      </c>
      <c r="C3275" s="18" t="n">
        <v>553527.935333521</v>
      </c>
      <c r="D3275" s="0" t="n">
        <v>1</v>
      </c>
    </row>
    <row r="3276" customFormat="false" ht="15" hidden="false" customHeight="false" outlineLevel="0" collapsed="false">
      <c r="A3276" s="0" t="n">
        <v>3275</v>
      </c>
      <c r="B3276" s="18" t="n">
        <v>1283251.39061242</v>
      </c>
      <c r="C3276" s="18" t="n">
        <v>0</v>
      </c>
      <c r="D3276" s="0" t="n">
        <v>0</v>
      </c>
      <c r="E3276" s="19" t="n">
        <v>47.6666666666667</v>
      </c>
    </row>
    <row r="3277" customFormat="false" ht="15" hidden="false" customHeight="false" outlineLevel="0" collapsed="false">
      <c r="A3277" s="0" t="n">
        <v>3276</v>
      </c>
      <c r="B3277" s="18" t="n">
        <v>971342.310357176</v>
      </c>
      <c r="C3277" s="18" t="n">
        <v>0</v>
      </c>
      <c r="D3277" s="0" t="n">
        <v>0</v>
      </c>
      <c r="E3277" s="19" t="n">
        <v>44.6666666666667</v>
      </c>
    </row>
    <row r="3278" customFormat="false" ht="15" hidden="false" customHeight="false" outlineLevel="0" collapsed="false">
      <c r="A3278" s="0" t="n">
        <v>3277</v>
      </c>
      <c r="B3278" s="18" t="n">
        <v>368471.912630193</v>
      </c>
      <c r="C3278" s="18" t="n">
        <v>0</v>
      </c>
      <c r="D3278" s="0" t="n">
        <v>0</v>
      </c>
      <c r="E3278" s="19" t="n">
        <v>30.0833333333333</v>
      </c>
    </row>
    <row r="3279" customFormat="false" ht="15" hidden="false" customHeight="false" outlineLevel="0" collapsed="false">
      <c r="A3279" s="0" t="n">
        <v>3278</v>
      </c>
      <c r="B3279" s="18" t="n">
        <v>393428.485257434</v>
      </c>
      <c r="C3279" s="18" t="n">
        <v>0</v>
      </c>
      <c r="D3279" s="0" t="n">
        <v>0</v>
      </c>
      <c r="E3279" s="19" t="n">
        <v>34.0833333333333</v>
      </c>
    </row>
    <row r="3280" customFormat="false" ht="15" hidden="false" customHeight="false" outlineLevel="0" collapsed="false">
      <c r="A3280" s="0" t="n">
        <v>3279</v>
      </c>
      <c r="B3280" s="18" t="n">
        <v>579450.312670096</v>
      </c>
      <c r="C3280" s="18" t="n">
        <v>0</v>
      </c>
      <c r="D3280" s="0" t="n">
        <v>0</v>
      </c>
      <c r="E3280" s="19" t="n">
        <v>42.8333333333333</v>
      </c>
    </row>
    <row r="3281" customFormat="false" ht="15" hidden="false" customHeight="false" outlineLevel="0" collapsed="false">
      <c r="A3281" s="0" t="n">
        <v>3280</v>
      </c>
      <c r="B3281" s="18" t="n">
        <v>1104810.63077398</v>
      </c>
      <c r="C3281" s="18" t="n">
        <v>0</v>
      </c>
      <c r="D3281" s="0" t="n">
        <v>0</v>
      </c>
      <c r="E3281" s="19" t="n">
        <v>51.1666666666667</v>
      </c>
    </row>
    <row r="3282" customFormat="false" ht="15" hidden="false" customHeight="false" outlineLevel="0" collapsed="false">
      <c r="A3282" s="0" t="n">
        <v>3281</v>
      </c>
      <c r="B3282" s="18" t="n">
        <v>778114.386544948</v>
      </c>
      <c r="C3282" s="18" t="n">
        <v>0</v>
      </c>
      <c r="D3282" s="0" t="n">
        <v>0</v>
      </c>
      <c r="E3282" s="19" t="n">
        <v>35</v>
      </c>
    </row>
    <row r="3283" customFormat="false" ht="15" hidden="false" customHeight="false" outlineLevel="0" collapsed="false">
      <c r="A3283" s="0" t="n">
        <v>3282</v>
      </c>
      <c r="B3283" s="18" t="n">
        <v>1549063.84744741</v>
      </c>
      <c r="C3283" s="18" t="n">
        <v>8911742.94471245</v>
      </c>
      <c r="D3283" s="0" t="n">
        <v>1</v>
      </c>
    </row>
    <row r="3284" customFormat="false" ht="15" hidden="false" customHeight="false" outlineLevel="0" collapsed="false">
      <c r="A3284" s="0" t="n">
        <v>3283</v>
      </c>
      <c r="B3284" s="18" t="n">
        <v>1759272.47137939</v>
      </c>
      <c r="C3284" s="18" t="n">
        <v>18953937.8101086</v>
      </c>
      <c r="D3284" s="0" t="n">
        <v>1</v>
      </c>
    </row>
    <row r="3285" customFormat="false" ht="15" hidden="false" customHeight="false" outlineLevel="0" collapsed="false">
      <c r="A3285" s="0" t="n">
        <v>3284</v>
      </c>
      <c r="B3285" s="18" t="n">
        <v>636660.885439685</v>
      </c>
      <c r="C3285" s="18" t="n">
        <v>0</v>
      </c>
      <c r="D3285" s="0" t="n">
        <v>0</v>
      </c>
      <c r="E3285" s="19" t="n">
        <v>51.9166666666667</v>
      </c>
    </row>
    <row r="3286" customFormat="false" ht="15" hidden="false" customHeight="false" outlineLevel="0" collapsed="false">
      <c r="A3286" s="0" t="n">
        <v>3285</v>
      </c>
      <c r="B3286" s="18" t="n">
        <v>937502.210377337</v>
      </c>
      <c r="C3286" s="18" t="n">
        <v>5748805.24293397</v>
      </c>
      <c r="D3286" s="0" t="n">
        <v>1</v>
      </c>
    </row>
    <row r="3287" customFormat="false" ht="15" hidden="false" customHeight="false" outlineLevel="0" collapsed="false">
      <c r="A3287" s="0" t="n">
        <v>3286</v>
      </c>
      <c r="B3287" s="18" t="n">
        <v>1267358.35849512</v>
      </c>
      <c r="C3287" s="18" t="n">
        <v>0</v>
      </c>
      <c r="D3287" s="0" t="n">
        <v>0</v>
      </c>
      <c r="E3287" s="19" t="n">
        <v>46.5</v>
      </c>
    </row>
    <row r="3288" customFormat="false" ht="15" hidden="false" customHeight="false" outlineLevel="0" collapsed="false">
      <c r="A3288" s="0" t="n">
        <v>3287</v>
      </c>
      <c r="B3288" s="18" t="n">
        <v>583323.554381838</v>
      </c>
      <c r="C3288" s="18" t="n">
        <v>0</v>
      </c>
      <c r="D3288" s="0" t="n">
        <v>0</v>
      </c>
      <c r="E3288" s="19" t="n">
        <v>39.6666666666667</v>
      </c>
    </row>
    <row r="3289" customFormat="false" ht="15" hidden="false" customHeight="false" outlineLevel="0" collapsed="false">
      <c r="A3289" s="0" t="n">
        <v>3288</v>
      </c>
      <c r="B3289" s="18" t="n">
        <v>1326495.10382608</v>
      </c>
      <c r="C3289" s="18" t="n">
        <v>0</v>
      </c>
      <c r="D3289" s="0" t="n">
        <v>0</v>
      </c>
      <c r="E3289" s="19" t="n">
        <v>40.9166666666667</v>
      </c>
    </row>
    <row r="3290" customFormat="false" ht="15" hidden="false" customHeight="false" outlineLevel="0" collapsed="false">
      <c r="A3290" s="0" t="n">
        <v>3289</v>
      </c>
      <c r="B3290" s="18" t="n">
        <v>690437.142306134</v>
      </c>
      <c r="C3290" s="18" t="n">
        <v>0</v>
      </c>
      <c r="D3290" s="0" t="n">
        <v>0</v>
      </c>
      <c r="E3290" s="19" t="n">
        <v>34.9166666666667</v>
      </c>
    </row>
    <row r="3291" customFormat="false" ht="15" hidden="false" customHeight="false" outlineLevel="0" collapsed="false">
      <c r="A3291" s="0" t="n">
        <v>3290</v>
      </c>
      <c r="B3291" s="18" t="n">
        <v>1076680.94766695</v>
      </c>
      <c r="C3291" s="18" t="n">
        <v>0</v>
      </c>
      <c r="D3291" s="0" t="n">
        <v>0</v>
      </c>
      <c r="E3291" s="19" t="n">
        <v>42.5</v>
      </c>
    </row>
    <row r="3292" customFormat="false" ht="15" hidden="false" customHeight="false" outlineLevel="0" collapsed="false">
      <c r="A3292" s="0" t="n">
        <v>3291</v>
      </c>
      <c r="B3292" s="18" t="n">
        <v>1399512.51840015</v>
      </c>
      <c r="C3292" s="18" t="n">
        <v>2924239.43376674</v>
      </c>
      <c r="D3292" s="0" t="n">
        <v>1</v>
      </c>
    </row>
    <row r="3293" customFormat="false" ht="15" hidden="false" customHeight="false" outlineLevel="0" collapsed="false">
      <c r="A3293" s="0" t="n">
        <v>3292</v>
      </c>
      <c r="B3293" s="18" t="n">
        <v>908864.02020259</v>
      </c>
      <c r="C3293" s="18" t="n">
        <v>0</v>
      </c>
      <c r="D3293" s="0" t="n">
        <v>0</v>
      </c>
      <c r="E3293" s="19" t="n">
        <v>34.1666666666667</v>
      </c>
    </row>
    <row r="3294" customFormat="false" ht="15" hidden="false" customHeight="false" outlineLevel="0" collapsed="false">
      <c r="A3294" s="0" t="n">
        <v>3293</v>
      </c>
      <c r="B3294" s="18" t="n">
        <v>1183868.84804307</v>
      </c>
      <c r="C3294" s="18" t="n">
        <v>1391832.87345094</v>
      </c>
      <c r="D3294" s="0" t="n">
        <v>1</v>
      </c>
    </row>
    <row r="3295" customFormat="false" ht="15" hidden="false" customHeight="false" outlineLevel="0" collapsed="false">
      <c r="A3295" s="0" t="n">
        <v>3294</v>
      </c>
      <c r="B3295" s="18" t="n">
        <v>1138308.09738347</v>
      </c>
      <c r="C3295" s="18" t="n">
        <v>0</v>
      </c>
      <c r="D3295" s="0" t="n">
        <v>0</v>
      </c>
      <c r="E3295" s="19" t="n">
        <v>48.25</v>
      </c>
    </row>
    <row r="3296" customFormat="false" ht="15" hidden="false" customHeight="false" outlineLevel="0" collapsed="false">
      <c r="A3296" s="0" t="n">
        <v>3295</v>
      </c>
      <c r="B3296" s="18" t="n">
        <v>1123069.51794856</v>
      </c>
      <c r="C3296" s="18" t="n">
        <v>276470.429107946</v>
      </c>
      <c r="D3296" s="0" t="n">
        <v>1</v>
      </c>
    </row>
    <row r="3297" customFormat="false" ht="15" hidden="false" customHeight="false" outlineLevel="0" collapsed="false">
      <c r="A3297" s="0" t="n">
        <v>3296</v>
      </c>
      <c r="B3297" s="18" t="n">
        <v>638959.385591426</v>
      </c>
      <c r="C3297" s="18" t="n">
        <v>1146462.4461654</v>
      </c>
      <c r="D3297" s="0" t="n">
        <v>1</v>
      </c>
    </row>
    <row r="3298" customFormat="false" ht="15" hidden="false" customHeight="false" outlineLevel="0" collapsed="false">
      <c r="A3298" s="0" t="n">
        <v>3297</v>
      </c>
      <c r="B3298" s="18" t="n">
        <v>745915.333939033</v>
      </c>
      <c r="C3298" s="18" t="n">
        <v>0</v>
      </c>
      <c r="D3298" s="0" t="n">
        <v>0</v>
      </c>
      <c r="E3298" s="19" t="n">
        <v>38.8333333333333</v>
      </c>
    </row>
    <row r="3299" customFormat="false" ht="15" hidden="false" customHeight="false" outlineLevel="0" collapsed="false">
      <c r="A3299" s="0" t="n">
        <v>3298</v>
      </c>
      <c r="B3299" s="18" t="n">
        <v>440535.07286681</v>
      </c>
      <c r="C3299" s="18" t="n">
        <v>0</v>
      </c>
      <c r="D3299" s="0" t="n">
        <v>0</v>
      </c>
      <c r="E3299" s="19" t="n">
        <v>34.6666666666667</v>
      </c>
    </row>
    <row r="3300" customFormat="false" ht="15" hidden="false" customHeight="false" outlineLevel="0" collapsed="false">
      <c r="A3300" s="0" t="n">
        <v>3299</v>
      </c>
      <c r="B3300" s="18" t="n">
        <v>3049708.66391879</v>
      </c>
      <c r="C3300" s="18" t="n">
        <v>7984585.30893026</v>
      </c>
      <c r="D3300" s="0" t="n">
        <v>1</v>
      </c>
    </row>
    <row r="3301" customFormat="false" ht="15" hidden="false" customHeight="false" outlineLevel="0" collapsed="false">
      <c r="A3301" s="0" t="n">
        <v>3300</v>
      </c>
      <c r="B3301" s="18" t="n">
        <v>798951.608815313</v>
      </c>
      <c r="C3301" s="18" t="n">
        <v>0</v>
      </c>
      <c r="D3301" s="0" t="n">
        <v>0</v>
      </c>
      <c r="E3301" s="19" t="n">
        <v>39.5833333333333</v>
      </c>
    </row>
    <row r="3302" customFormat="false" ht="15" hidden="false" customHeight="false" outlineLevel="0" collapsed="false">
      <c r="A3302" s="0" t="n">
        <v>3301</v>
      </c>
      <c r="B3302" s="18" t="n">
        <v>1062149.71097384</v>
      </c>
      <c r="C3302" s="18" t="n">
        <v>0</v>
      </c>
      <c r="D3302" s="0" t="n">
        <v>0</v>
      </c>
      <c r="E3302" s="19" t="n">
        <v>45.5833333333333</v>
      </c>
    </row>
    <row r="3303" customFormat="false" ht="15" hidden="false" customHeight="false" outlineLevel="0" collapsed="false">
      <c r="A3303" s="0" t="n">
        <v>3302</v>
      </c>
      <c r="B3303" s="18" t="n">
        <v>814276.822690987</v>
      </c>
      <c r="C3303" s="18" t="n">
        <v>1883526.10975192</v>
      </c>
      <c r="D3303" s="0" t="n">
        <v>1</v>
      </c>
    </row>
    <row r="3304" customFormat="false" ht="15" hidden="false" customHeight="false" outlineLevel="0" collapsed="false">
      <c r="A3304" s="0" t="n">
        <v>3303</v>
      </c>
      <c r="B3304" s="18" t="n">
        <v>1230096.36668441</v>
      </c>
      <c r="C3304" s="18" t="n">
        <v>3648240.4341116</v>
      </c>
      <c r="D3304" s="0" t="n">
        <v>1</v>
      </c>
    </row>
    <row r="3305" customFormat="false" ht="15" hidden="false" customHeight="false" outlineLevel="0" collapsed="false">
      <c r="A3305" s="0" t="n">
        <v>3304</v>
      </c>
      <c r="B3305" s="18" t="n">
        <v>1051119.66641966</v>
      </c>
      <c r="C3305" s="18" t="n">
        <v>0</v>
      </c>
      <c r="D3305" s="0" t="n">
        <v>0</v>
      </c>
      <c r="E3305" s="19" t="n">
        <v>49.0833333333333</v>
      </c>
    </row>
    <row r="3306" customFormat="false" ht="15" hidden="false" customHeight="false" outlineLevel="0" collapsed="false">
      <c r="A3306" s="0" t="n">
        <v>3305</v>
      </c>
      <c r="B3306" s="18" t="n">
        <v>853340.512055267</v>
      </c>
      <c r="C3306" s="18" t="n">
        <v>0</v>
      </c>
      <c r="D3306" s="0" t="n">
        <v>0</v>
      </c>
      <c r="E3306" s="19" t="n">
        <v>45.8333333333333</v>
      </c>
    </row>
    <row r="3307" customFormat="false" ht="15" hidden="false" customHeight="false" outlineLevel="0" collapsed="false">
      <c r="A3307" s="0" t="n">
        <v>3306</v>
      </c>
      <c r="B3307" s="18" t="n">
        <v>1277075.34070639</v>
      </c>
      <c r="C3307" s="18" t="n">
        <v>5018637.74822465</v>
      </c>
      <c r="D3307" s="0" t="n">
        <v>1</v>
      </c>
    </row>
    <row r="3308" customFormat="false" ht="15" hidden="false" customHeight="false" outlineLevel="0" collapsed="false">
      <c r="A3308" s="0" t="n">
        <v>3307</v>
      </c>
      <c r="B3308" s="18" t="n">
        <v>1152582.61021669</v>
      </c>
      <c r="C3308" s="18" t="n">
        <v>0</v>
      </c>
      <c r="D3308" s="0" t="n">
        <v>0</v>
      </c>
      <c r="E3308" s="19" t="n">
        <v>44.5833333333333</v>
      </c>
    </row>
    <row r="3309" customFormat="false" ht="15" hidden="false" customHeight="false" outlineLevel="0" collapsed="false">
      <c r="A3309" s="0" t="n">
        <v>3308</v>
      </c>
      <c r="B3309" s="18" t="n">
        <v>954276.344223265</v>
      </c>
      <c r="C3309" s="18" t="n">
        <v>0</v>
      </c>
      <c r="D3309" s="0" t="n">
        <v>0</v>
      </c>
      <c r="E3309" s="19" t="n">
        <v>38</v>
      </c>
    </row>
    <row r="3310" customFormat="false" ht="15" hidden="false" customHeight="false" outlineLevel="0" collapsed="false">
      <c r="A3310" s="0" t="n">
        <v>3309</v>
      </c>
      <c r="B3310" s="18" t="n">
        <v>1442942.71705982</v>
      </c>
      <c r="C3310" s="18" t="n">
        <v>1468191.8964557</v>
      </c>
      <c r="D3310" s="0" t="n">
        <v>1</v>
      </c>
    </row>
    <row r="3311" customFormat="false" ht="15" hidden="false" customHeight="false" outlineLevel="0" collapsed="false">
      <c r="A3311" s="0" t="n">
        <v>3310</v>
      </c>
      <c r="B3311" s="18" t="n">
        <v>1123578.08655439</v>
      </c>
      <c r="C3311" s="18" t="n">
        <v>0</v>
      </c>
      <c r="D3311" s="0" t="n">
        <v>0</v>
      </c>
      <c r="E3311" s="19" t="n">
        <v>35.8333333333333</v>
      </c>
    </row>
    <row r="3312" customFormat="false" ht="15" hidden="false" customHeight="false" outlineLevel="0" collapsed="false">
      <c r="A3312" s="0" t="n">
        <v>3311</v>
      </c>
      <c r="B3312" s="18" t="n">
        <v>1263470.47819052</v>
      </c>
      <c r="C3312" s="18" t="n">
        <v>4023447.34176676</v>
      </c>
      <c r="D3312" s="0" t="n">
        <v>1</v>
      </c>
    </row>
    <row r="3313" customFormat="false" ht="15" hidden="false" customHeight="false" outlineLevel="0" collapsed="false">
      <c r="A3313" s="0" t="n">
        <v>3312</v>
      </c>
      <c r="B3313" s="18" t="n">
        <v>629302.985477985</v>
      </c>
      <c r="C3313" s="18" t="n">
        <v>0</v>
      </c>
      <c r="D3313" s="0" t="n">
        <v>0</v>
      </c>
      <c r="E3313" s="19" t="n">
        <v>35.1666666666667</v>
      </c>
    </row>
    <row r="3314" customFormat="false" ht="15" hidden="false" customHeight="false" outlineLevel="0" collapsed="false">
      <c r="A3314" s="0" t="n">
        <v>3313</v>
      </c>
      <c r="B3314" s="18" t="n">
        <v>914754.947685461</v>
      </c>
      <c r="C3314" s="18" t="n">
        <v>4070242.38856872</v>
      </c>
      <c r="D3314" s="0" t="n">
        <v>1</v>
      </c>
    </row>
    <row r="3315" customFormat="false" ht="15" hidden="false" customHeight="false" outlineLevel="0" collapsed="false">
      <c r="A3315" s="0" t="n">
        <v>3314</v>
      </c>
      <c r="B3315" s="18" t="n">
        <v>872227.045386536</v>
      </c>
      <c r="C3315" s="18" t="n">
        <v>0</v>
      </c>
      <c r="D3315" s="0" t="n">
        <v>0</v>
      </c>
      <c r="E3315" s="19" t="n">
        <v>44.0833333333333</v>
      </c>
    </row>
    <row r="3316" customFormat="false" ht="15" hidden="false" customHeight="false" outlineLevel="0" collapsed="false">
      <c r="A3316" s="0" t="n">
        <v>3315</v>
      </c>
      <c r="B3316" s="18" t="n">
        <v>1078668.71403411</v>
      </c>
      <c r="C3316" s="18" t="n">
        <v>72974651.6192166</v>
      </c>
      <c r="D3316" s="0" t="n">
        <v>1</v>
      </c>
    </row>
    <row r="3317" customFormat="false" ht="15" hidden="false" customHeight="false" outlineLevel="0" collapsed="false">
      <c r="A3317" s="0" t="n">
        <v>3316</v>
      </c>
      <c r="B3317" s="18" t="n">
        <v>291923.535026018</v>
      </c>
      <c r="C3317" s="18" t="n">
        <v>0</v>
      </c>
      <c r="D3317" s="0" t="n">
        <v>0</v>
      </c>
      <c r="E3317" s="19" t="n">
        <v>30</v>
      </c>
    </row>
    <row r="3318" customFormat="false" ht="15" hidden="false" customHeight="false" outlineLevel="0" collapsed="false">
      <c r="A3318" s="0" t="n">
        <v>3317</v>
      </c>
      <c r="B3318" s="18" t="n">
        <v>2634991.4906319</v>
      </c>
      <c r="C3318" s="18" t="n">
        <v>1548967.20697359</v>
      </c>
      <c r="D3318" s="0" t="n">
        <v>1</v>
      </c>
    </row>
    <row r="3319" customFormat="false" ht="15" hidden="false" customHeight="false" outlineLevel="0" collapsed="false">
      <c r="A3319" s="0" t="n">
        <v>3318</v>
      </c>
      <c r="B3319" s="18" t="n">
        <v>1764040.51941685</v>
      </c>
      <c r="C3319" s="18" t="n">
        <v>13250558.4778347</v>
      </c>
      <c r="D3319" s="0" t="n">
        <v>1</v>
      </c>
    </row>
    <row r="3320" customFormat="false" ht="15" hidden="false" customHeight="false" outlineLevel="0" collapsed="false">
      <c r="A3320" s="0" t="n">
        <v>3319</v>
      </c>
      <c r="B3320" s="18" t="n">
        <v>1394821.75993091</v>
      </c>
      <c r="C3320" s="18" t="n">
        <v>1938818.64509372</v>
      </c>
      <c r="D3320" s="0" t="n">
        <v>1</v>
      </c>
    </row>
    <row r="3321" customFormat="false" ht="15" hidden="false" customHeight="false" outlineLevel="0" collapsed="false">
      <c r="A3321" s="0" t="n">
        <v>3320</v>
      </c>
      <c r="B3321" s="18" t="n">
        <v>239794.387209008</v>
      </c>
      <c r="C3321" s="18" t="n">
        <v>0</v>
      </c>
      <c r="D3321" s="0" t="n">
        <v>0</v>
      </c>
      <c r="E3321" s="19" t="n">
        <v>28.25</v>
      </c>
    </row>
    <row r="3322" customFormat="false" ht="15" hidden="false" customHeight="false" outlineLevel="0" collapsed="false">
      <c r="A3322" s="0" t="n">
        <v>3321</v>
      </c>
      <c r="B3322" s="18" t="n">
        <v>950365.89916291</v>
      </c>
      <c r="C3322" s="18" t="n">
        <v>0</v>
      </c>
      <c r="D3322" s="0" t="n">
        <v>0</v>
      </c>
      <c r="E3322" s="19" t="n">
        <v>45</v>
      </c>
    </row>
    <row r="3323" customFormat="false" ht="15" hidden="false" customHeight="false" outlineLevel="0" collapsed="false">
      <c r="A3323" s="0" t="n">
        <v>3322</v>
      </c>
      <c r="B3323" s="18" t="n">
        <v>437515.716353049</v>
      </c>
      <c r="C3323" s="18" t="n">
        <v>0</v>
      </c>
      <c r="D3323" s="0" t="n">
        <v>0</v>
      </c>
      <c r="E3323" s="19" t="n">
        <v>33.0833333333333</v>
      </c>
    </row>
    <row r="3324" customFormat="false" ht="15" hidden="false" customHeight="false" outlineLevel="0" collapsed="false">
      <c r="A3324" s="0" t="n">
        <v>3323</v>
      </c>
      <c r="B3324" s="18" t="n">
        <v>665444.852614047</v>
      </c>
      <c r="C3324" s="18" t="n">
        <v>0</v>
      </c>
      <c r="D3324" s="0" t="n">
        <v>0</v>
      </c>
      <c r="E3324" s="19" t="n">
        <v>34.3333333333333</v>
      </c>
    </row>
    <row r="3325" customFormat="false" ht="15" hidden="false" customHeight="false" outlineLevel="0" collapsed="false">
      <c r="A3325" s="0" t="n">
        <v>3324</v>
      </c>
      <c r="B3325" s="18" t="n">
        <v>691253.111640176</v>
      </c>
      <c r="C3325" s="18" t="n">
        <v>0</v>
      </c>
      <c r="D3325" s="0" t="n">
        <v>0</v>
      </c>
      <c r="E3325" s="19" t="n">
        <v>34.9166666666667</v>
      </c>
    </row>
    <row r="3326" customFormat="false" ht="15" hidden="false" customHeight="false" outlineLevel="0" collapsed="false">
      <c r="A3326" s="0" t="n">
        <v>3325</v>
      </c>
      <c r="B3326" s="18" t="n">
        <v>958360.02341568</v>
      </c>
      <c r="C3326" s="18" t="n">
        <v>9671261.85709961</v>
      </c>
      <c r="D3326" s="0" t="n">
        <v>1</v>
      </c>
    </row>
    <row r="3327" customFormat="false" ht="15" hidden="false" customHeight="false" outlineLevel="0" collapsed="false">
      <c r="A3327" s="0" t="n">
        <v>3326</v>
      </c>
      <c r="B3327" s="18" t="n">
        <v>898976.904224822</v>
      </c>
      <c r="C3327" s="18" t="n">
        <v>0</v>
      </c>
      <c r="D3327" s="0" t="n">
        <v>0</v>
      </c>
      <c r="E3327" s="19" t="n">
        <v>37.9166666666667</v>
      </c>
    </row>
    <row r="3328" customFormat="false" ht="15" hidden="false" customHeight="false" outlineLevel="0" collapsed="false">
      <c r="A3328" s="0" t="n">
        <v>3327</v>
      </c>
      <c r="B3328" s="18" t="n">
        <v>628961.700388214</v>
      </c>
      <c r="C3328" s="18" t="n">
        <v>0</v>
      </c>
      <c r="D3328" s="0" t="n">
        <v>0</v>
      </c>
      <c r="E3328" s="19" t="n">
        <v>43.75</v>
      </c>
    </row>
    <row r="3329" customFormat="false" ht="15" hidden="false" customHeight="false" outlineLevel="0" collapsed="false">
      <c r="A3329" s="0" t="n">
        <v>3328</v>
      </c>
      <c r="B3329" s="18" t="n">
        <v>893549.391668146</v>
      </c>
      <c r="C3329" s="18" t="n">
        <v>0</v>
      </c>
      <c r="D3329" s="0" t="n">
        <v>0</v>
      </c>
      <c r="E3329" s="19" t="n">
        <v>47.9166666666667</v>
      </c>
    </row>
    <row r="3330" customFormat="false" ht="15" hidden="false" customHeight="false" outlineLevel="0" collapsed="false">
      <c r="A3330" s="0" t="n">
        <v>3329</v>
      </c>
      <c r="B3330" s="18" t="n">
        <v>550337.93597959</v>
      </c>
      <c r="C3330" s="18" t="n">
        <v>0</v>
      </c>
      <c r="D3330" s="0" t="n">
        <v>0</v>
      </c>
      <c r="E3330" s="19" t="n">
        <v>33.5</v>
      </c>
    </row>
    <row r="3331" customFormat="false" ht="15" hidden="false" customHeight="false" outlineLevel="0" collapsed="false">
      <c r="A3331" s="0" t="n">
        <v>3330</v>
      </c>
      <c r="B3331" s="18" t="n">
        <v>787724.101199789</v>
      </c>
      <c r="C3331" s="18" t="n">
        <v>0</v>
      </c>
      <c r="D3331" s="0" t="n">
        <v>0</v>
      </c>
      <c r="E3331" s="19" t="n">
        <v>38.25</v>
      </c>
    </row>
    <row r="3332" customFormat="false" ht="15" hidden="false" customHeight="false" outlineLevel="0" collapsed="false">
      <c r="A3332" s="0" t="n">
        <v>3331</v>
      </c>
      <c r="B3332" s="18" t="n">
        <v>3948872.83295788</v>
      </c>
      <c r="C3332" s="18" t="n">
        <v>12495339.4462451</v>
      </c>
      <c r="D3332" s="0" t="n">
        <v>1</v>
      </c>
    </row>
    <row r="3333" customFormat="false" ht="15" hidden="false" customHeight="false" outlineLevel="0" collapsed="false">
      <c r="A3333" s="0" t="n">
        <v>3332</v>
      </c>
      <c r="B3333" s="18" t="n">
        <v>1218354.9260608</v>
      </c>
      <c r="C3333" s="18" t="n">
        <v>36509.4237304001</v>
      </c>
      <c r="D3333" s="0" t="n">
        <v>1</v>
      </c>
    </row>
    <row r="3334" customFormat="false" ht="15" hidden="false" customHeight="false" outlineLevel="0" collapsed="false">
      <c r="A3334" s="0" t="n">
        <v>3333</v>
      </c>
      <c r="B3334" s="18" t="n">
        <v>1377740.38019446</v>
      </c>
      <c r="C3334" s="18" t="n">
        <v>0</v>
      </c>
      <c r="D3334" s="0" t="n">
        <v>0</v>
      </c>
      <c r="E3334" s="19" t="n">
        <v>54.9166666666667</v>
      </c>
    </row>
    <row r="3335" customFormat="false" ht="15" hidden="false" customHeight="false" outlineLevel="0" collapsed="false">
      <c r="A3335" s="0" t="n">
        <v>3334</v>
      </c>
      <c r="B3335" s="18" t="n">
        <v>549501.940151101</v>
      </c>
      <c r="C3335" s="18" t="n">
        <v>0</v>
      </c>
      <c r="D3335" s="0" t="n">
        <v>0</v>
      </c>
      <c r="E3335" s="19" t="n">
        <v>41.75</v>
      </c>
    </row>
    <row r="3336" customFormat="false" ht="15" hidden="false" customHeight="false" outlineLevel="0" collapsed="false">
      <c r="A3336" s="0" t="n">
        <v>3335</v>
      </c>
      <c r="B3336" s="18" t="n">
        <v>642411.767375756</v>
      </c>
      <c r="C3336" s="18" t="n">
        <v>0</v>
      </c>
      <c r="D3336" s="0" t="n">
        <v>0</v>
      </c>
      <c r="E3336" s="19" t="n">
        <v>54.4166666666667</v>
      </c>
    </row>
    <row r="3337" customFormat="false" ht="15" hidden="false" customHeight="false" outlineLevel="0" collapsed="false">
      <c r="A3337" s="0" t="n">
        <v>3336</v>
      </c>
      <c r="B3337" s="18" t="n">
        <v>851673.88606675</v>
      </c>
      <c r="C3337" s="18" t="n">
        <v>4872911.15262915</v>
      </c>
      <c r="D3337" s="0" t="n">
        <v>1</v>
      </c>
    </row>
    <row r="3338" customFormat="false" ht="15" hidden="false" customHeight="false" outlineLevel="0" collapsed="false">
      <c r="A3338" s="0" t="n">
        <v>3337</v>
      </c>
      <c r="B3338" s="18" t="n">
        <v>522098.223552358</v>
      </c>
      <c r="C3338" s="18" t="n">
        <v>0</v>
      </c>
      <c r="D3338" s="0" t="n">
        <v>0</v>
      </c>
      <c r="E3338" s="19" t="n">
        <v>40.3333333333333</v>
      </c>
    </row>
    <row r="3339" customFormat="false" ht="15" hidden="false" customHeight="false" outlineLevel="0" collapsed="false">
      <c r="A3339" s="0" t="n">
        <v>3338</v>
      </c>
      <c r="B3339" s="18" t="n">
        <v>1289046.45347862</v>
      </c>
      <c r="C3339" s="18" t="n">
        <v>0</v>
      </c>
      <c r="D3339" s="0" t="n">
        <v>0</v>
      </c>
      <c r="E3339" s="19" t="n">
        <v>54.0833333333333</v>
      </c>
    </row>
    <row r="3340" customFormat="false" ht="15" hidden="false" customHeight="false" outlineLevel="0" collapsed="false">
      <c r="A3340" s="0" t="n">
        <v>3339</v>
      </c>
      <c r="B3340" s="18" t="n">
        <v>520600.963877102</v>
      </c>
      <c r="C3340" s="18" t="n">
        <v>0</v>
      </c>
      <c r="D3340" s="0" t="n">
        <v>0</v>
      </c>
      <c r="E3340" s="19" t="n">
        <v>33.75</v>
      </c>
    </row>
    <row r="3341" customFormat="false" ht="15" hidden="false" customHeight="false" outlineLevel="0" collapsed="false">
      <c r="A3341" s="0" t="n">
        <v>3340</v>
      </c>
      <c r="B3341" s="18" t="n">
        <v>2369113.21362498</v>
      </c>
      <c r="C3341" s="18" t="n">
        <v>7841546.24207237</v>
      </c>
      <c r="D3341" s="0" t="n">
        <v>1</v>
      </c>
    </row>
    <row r="3342" customFormat="false" ht="15" hidden="false" customHeight="false" outlineLevel="0" collapsed="false">
      <c r="A3342" s="0" t="n">
        <v>3341</v>
      </c>
      <c r="B3342" s="18" t="n">
        <v>1139777.29900814</v>
      </c>
      <c r="C3342" s="18" t="n">
        <v>0</v>
      </c>
      <c r="D3342" s="0" t="n">
        <v>0</v>
      </c>
      <c r="E3342" s="19" t="n">
        <v>38</v>
      </c>
    </row>
    <row r="3343" customFormat="false" ht="15" hidden="false" customHeight="false" outlineLevel="0" collapsed="false">
      <c r="A3343" s="0" t="n">
        <v>3342</v>
      </c>
      <c r="B3343" s="18" t="n">
        <v>3234104.06740996</v>
      </c>
      <c r="C3343" s="18" t="n">
        <v>893900.479342242</v>
      </c>
      <c r="D3343" s="0" t="n">
        <v>1</v>
      </c>
    </row>
    <row r="3344" customFormat="false" ht="15" hidden="false" customHeight="false" outlineLevel="0" collapsed="false">
      <c r="A3344" s="0" t="n">
        <v>3343</v>
      </c>
      <c r="B3344" s="18" t="n">
        <v>3049284.64083769</v>
      </c>
      <c r="C3344" s="18" t="n">
        <v>862053.445236136</v>
      </c>
      <c r="D3344" s="0" t="n">
        <v>1</v>
      </c>
    </row>
    <row r="3345" customFormat="false" ht="15" hidden="false" customHeight="false" outlineLevel="0" collapsed="false">
      <c r="A3345" s="0" t="n">
        <v>3344</v>
      </c>
      <c r="B3345" s="18" t="n">
        <v>1782190.79183184</v>
      </c>
      <c r="C3345" s="18" t="n">
        <v>0</v>
      </c>
      <c r="D3345" s="0" t="n">
        <v>0</v>
      </c>
      <c r="E3345" s="19" t="n">
        <v>44.5833333333333</v>
      </c>
    </row>
    <row r="3346" customFormat="false" ht="15" hidden="false" customHeight="false" outlineLevel="0" collapsed="false">
      <c r="A3346" s="0" t="n">
        <v>3345</v>
      </c>
      <c r="B3346" s="18" t="n">
        <v>1622555.69034176</v>
      </c>
      <c r="C3346" s="18" t="n">
        <v>0</v>
      </c>
      <c r="D3346" s="0" t="n">
        <v>0</v>
      </c>
      <c r="E3346" s="19" t="n">
        <v>42.4166666666667</v>
      </c>
    </row>
    <row r="3347" customFormat="false" ht="15" hidden="false" customHeight="false" outlineLevel="0" collapsed="false">
      <c r="A3347" s="0" t="n">
        <v>3346</v>
      </c>
      <c r="B3347" s="18" t="n">
        <v>1622624.61932964</v>
      </c>
      <c r="C3347" s="18" t="n">
        <v>463712.705566482</v>
      </c>
      <c r="D3347" s="0" t="n">
        <v>1</v>
      </c>
    </row>
    <row r="3348" customFormat="false" ht="15" hidden="false" customHeight="false" outlineLevel="0" collapsed="false">
      <c r="A3348" s="0" t="n">
        <v>3347</v>
      </c>
      <c r="B3348" s="18" t="n">
        <v>827121.173328532</v>
      </c>
      <c r="C3348" s="18" t="n">
        <v>0</v>
      </c>
      <c r="D3348" s="0" t="n">
        <v>0</v>
      </c>
      <c r="E3348" s="19" t="n">
        <v>54.8333333333333</v>
      </c>
    </row>
    <row r="3349" customFormat="false" ht="15" hidden="false" customHeight="false" outlineLevel="0" collapsed="false">
      <c r="A3349" s="0" t="n">
        <v>3348</v>
      </c>
      <c r="B3349" s="18" t="n">
        <v>712079.36740863</v>
      </c>
      <c r="C3349" s="18" t="n">
        <v>0</v>
      </c>
      <c r="D3349" s="0" t="n">
        <v>0</v>
      </c>
      <c r="E3349" s="19" t="n">
        <v>34.25</v>
      </c>
    </row>
    <row r="3350" customFormat="false" ht="15" hidden="false" customHeight="false" outlineLevel="0" collapsed="false">
      <c r="A3350" s="0" t="n">
        <v>3349</v>
      </c>
      <c r="B3350" s="18" t="n">
        <v>496190.950544174</v>
      </c>
      <c r="C3350" s="18" t="n">
        <v>0</v>
      </c>
      <c r="D3350" s="0" t="n">
        <v>0</v>
      </c>
      <c r="E3350" s="19" t="n">
        <v>33.4166666666667</v>
      </c>
    </row>
    <row r="3351" customFormat="false" ht="15" hidden="false" customHeight="false" outlineLevel="0" collapsed="false">
      <c r="A3351" s="0" t="n">
        <v>3350</v>
      </c>
      <c r="B3351" s="18" t="n">
        <v>2279939.58769097</v>
      </c>
      <c r="C3351" s="18" t="n">
        <v>889093.879600079</v>
      </c>
      <c r="D3351" s="0" t="n">
        <v>1</v>
      </c>
    </row>
    <row r="3352" customFormat="false" ht="15" hidden="false" customHeight="false" outlineLevel="0" collapsed="false">
      <c r="A3352" s="0" t="n">
        <v>3351</v>
      </c>
      <c r="B3352" s="18" t="n">
        <v>628179.863794399</v>
      </c>
      <c r="C3352" s="18" t="n">
        <v>0</v>
      </c>
      <c r="D3352" s="0" t="n">
        <v>0</v>
      </c>
      <c r="E3352" s="19" t="n">
        <v>47.1666666666667</v>
      </c>
    </row>
    <row r="3353" customFormat="false" ht="15" hidden="false" customHeight="false" outlineLevel="0" collapsed="false">
      <c r="A3353" s="0" t="n">
        <v>3352</v>
      </c>
      <c r="B3353" s="18" t="n">
        <v>1044722.01606723</v>
      </c>
      <c r="C3353" s="18" t="n">
        <v>1439571.75923231</v>
      </c>
      <c r="D3353" s="0" t="n">
        <v>1</v>
      </c>
    </row>
    <row r="3354" customFormat="false" ht="15" hidden="false" customHeight="false" outlineLevel="0" collapsed="false">
      <c r="A3354" s="0" t="n">
        <v>3353</v>
      </c>
      <c r="B3354" s="18" t="n">
        <v>460536.145488925</v>
      </c>
      <c r="C3354" s="18" t="n">
        <v>0</v>
      </c>
      <c r="D3354" s="0" t="n">
        <v>0</v>
      </c>
      <c r="E3354" s="19" t="n">
        <v>33.4166666666667</v>
      </c>
    </row>
    <row r="3355" customFormat="false" ht="15" hidden="false" customHeight="false" outlineLevel="0" collapsed="false">
      <c r="A3355" s="0" t="n">
        <v>3354</v>
      </c>
      <c r="B3355" s="18" t="n">
        <v>1810101.4862187</v>
      </c>
      <c r="C3355" s="18" t="n">
        <v>9200393.35288567</v>
      </c>
      <c r="D3355" s="0" t="n">
        <v>1</v>
      </c>
    </row>
    <row r="3356" customFormat="false" ht="15" hidden="false" customHeight="false" outlineLevel="0" collapsed="false">
      <c r="A3356" s="0" t="n">
        <v>3355</v>
      </c>
      <c r="B3356" s="18" t="n">
        <v>1160705.03585565</v>
      </c>
      <c r="C3356" s="18" t="n">
        <v>2618634.90841964</v>
      </c>
      <c r="D3356" s="0" t="n">
        <v>1</v>
      </c>
    </row>
    <row r="3357" customFormat="false" ht="15" hidden="false" customHeight="false" outlineLevel="0" collapsed="false">
      <c r="A3357" s="0" t="n">
        <v>3356</v>
      </c>
      <c r="B3357" s="18" t="n">
        <v>1294058.67118083</v>
      </c>
      <c r="C3357" s="18" t="n">
        <v>4955713.2498136</v>
      </c>
      <c r="D3357" s="0" t="n">
        <v>1</v>
      </c>
    </row>
    <row r="3358" customFormat="false" ht="15" hidden="false" customHeight="false" outlineLevel="0" collapsed="false">
      <c r="A3358" s="0" t="n">
        <v>3357</v>
      </c>
      <c r="B3358" s="18" t="n">
        <v>419991.397889106</v>
      </c>
      <c r="C3358" s="18" t="n">
        <v>0</v>
      </c>
      <c r="D3358" s="0" t="n">
        <v>0</v>
      </c>
      <c r="E3358" s="19" t="n">
        <v>37.0833333333333</v>
      </c>
    </row>
    <row r="3359" customFormat="false" ht="15" hidden="false" customHeight="false" outlineLevel="0" collapsed="false">
      <c r="A3359" s="0" t="n">
        <v>3358</v>
      </c>
      <c r="B3359" s="18" t="n">
        <v>536432.443742249</v>
      </c>
      <c r="C3359" s="18" t="n">
        <v>0</v>
      </c>
      <c r="D3359" s="0" t="n">
        <v>0</v>
      </c>
      <c r="E3359" s="19" t="n">
        <v>31</v>
      </c>
    </row>
    <row r="3360" customFormat="false" ht="15" hidden="false" customHeight="false" outlineLevel="0" collapsed="false">
      <c r="A3360" s="0" t="n">
        <v>3359</v>
      </c>
      <c r="B3360" s="18" t="n">
        <v>784458.045234973</v>
      </c>
      <c r="C3360" s="18" t="n">
        <v>0</v>
      </c>
      <c r="D3360" s="0" t="n">
        <v>0</v>
      </c>
      <c r="E3360" s="19" t="n">
        <v>42.25</v>
      </c>
    </row>
    <row r="3361" customFormat="false" ht="15" hidden="false" customHeight="false" outlineLevel="0" collapsed="false">
      <c r="A3361" s="0" t="n">
        <v>3360</v>
      </c>
      <c r="B3361" s="18" t="n">
        <v>1272728.70899362</v>
      </c>
      <c r="C3361" s="18" t="n">
        <v>0</v>
      </c>
      <c r="D3361" s="0" t="n">
        <v>0</v>
      </c>
      <c r="E3361" s="19" t="n">
        <v>51</v>
      </c>
    </row>
    <row r="3362" customFormat="false" ht="15" hidden="false" customHeight="false" outlineLevel="0" collapsed="false">
      <c r="A3362" s="0" t="n">
        <v>3361</v>
      </c>
      <c r="B3362" s="18" t="n">
        <v>2361861.35626402</v>
      </c>
      <c r="C3362" s="18" t="n">
        <v>4260336.03347479</v>
      </c>
      <c r="D3362" s="0" t="n">
        <v>1</v>
      </c>
    </row>
    <row r="3363" customFormat="false" ht="15" hidden="false" customHeight="false" outlineLevel="0" collapsed="false">
      <c r="A3363" s="0" t="n">
        <v>3362</v>
      </c>
      <c r="B3363" s="18" t="n">
        <v>2509770.37111191</v>
      </c>
      <c r="C3363" s="18" t="n">
        <v>6022858.50412986</v>
      </c>
      <c r="D3363" s="0" t="n">
        <v>1</v>
      </c>
    </row>
    <row r="3364" customFormat="false" ht="15" hidden="false" customHeight="false" outlineLevel="0" collapsed="false">
      <c r="A3364" s="0" t="n">
        <v>3363</v>
      </c>
      <c r="B3364" s="18" t="n">
        <v>652889.316161537</v>
      </c>
      <c r="C3364" s="18" t="n">
        <v>0</v>
      </c>
      <c r="D3364" s="0" t="n">
        <v>0</v>
      </c>
      <c r="E3364" s="19" t="n">
        <v>35.3333333333333</v>
      </c>
    </row>
    <row r="3365" customFormat="false" ht="15" hidden="false" customHeight="false" outlineLevel="0" collapsed="false">
      <c r="A3365" s="0" t="n">
        <v>3364</v>
      </c>
      <c r="B3365" s="18" t="n">
        <v>1631233.09522136</v>
      </c>
      <c r="C3365" s="18" t="n">
        <v>17663096.4060161</v>
      </c>
      <c r="D3365" s="0" t="n">
        <v>1</v>
      </c>
    </row>
    <row r="3366" customFormat="false" ht="15" hidden="false" customHeight="false" outlineLevel="0" collapsed="false">
      <c r="A3366" s="0" t="n">
        <v>3365</v>
      </c>
      <c r="B3366" s="18" t="n">
        <v>1102304.61477591</v>
      </c>
      <c r="C3366" s="18" t="n">
        <v>5970538.73753104</v>
      </c>
      <c r="D3366" s="0" t="n">
        <v>1</v>
      </c>
    </row>
    <row r="3367" customFormat="false" ht="15" hidden="false" customHeight="false" outlineLevel="0" collapsed="false">
      <c r="A3367" s="0" t="n">
        <v>3366</v>
      </c>
      <c r="B3367" s="18" t="n">
        <v>506780.134249543</v>
      </c>
      <c r="C3367" s="18" t="n">
        <v>0</v>
      </c>
      <c r="D3367" s="0" t="n">
        <v>0</v>
      </c>
      <c r="E3367" s="19" t="n">
        <v>34.9166666666667</v>
      </c>
    </row>
    <row r="3368" customFormat="false" ht="15" hidden="false" customHeight="false" outlineLevel="0" collapsed="false">
      <c r="A3368" s="0" t="n">
        <v>3367</v>
      </c>
      <c r="B3368" s="18" t="n">
        <v>1317294.24462723</v>
      </c>
      <c r="C3368" s="18" t="n">
        <v>0</v>
      </c>
      <c r="D3368" s="0" t="n">
        <v>0</v>
      </c>
      <c r="E3368" s="19" t="n">
        <v>50.25</v>
      </c>
    </row>
    <row r="3369" customFormat="false" ht="15" hidden="false" customHeight="false" outlineLevel="0" collapsed="false">
      <c r="A3369" s="0" t="n">
        <v>3368</v>
      </c>
      <c r="B3369" s="18" t="n">
        <v>273915.098209038</v>
      </c>
      <c r="C3369" s="18" t="n">
        <v>0</v>
      </c>
      <c r="D3369" s="0" t="n">
        <v>0</v>
      </c>
      <c r="E3369" s="19" t="n">
        <v>31.1666666666667</v>
      </c>
    </row>
    <row r="3370" customFormat="false" ht="15" hidden="false" customHeight="false" outlineLevel="0" collapsed="false">
      <c r="A3370" s="0" t="n">
        <v>3369</v>
      </c>
      <c r="B3370" s="18" t="n">
        <v>1693141.30062054</v>
      </c>
      <c r="C3370" s="18" t="n">
        <v>22355666.9845531</v>
      </c>
      <c r="D3370" s="0" t="n">
        <v>1</v>
      </c>
    </row>
    <row r="3371" customFormat="false" ht="15" hidden="false" customHeight="false" outlineLevel="0" collapsed="false">
      <c r="A3371" s="0" t="n">
        <v>3370</v>
      </c>
      <c r="B3371" s="18" t="n">
        <v>730952.416273085</v>
      </c>
      <c r="C3371" s="18" t="n">
        <v>0</v>
      </c>
      <c r="D3371" s="0" t="n">
        <v>0</v>
      </c>
      <c r="E3371" s="19" t="n">
        <v>36.0833333333333</v>
      </c>
    </row>
    <row r="3372" customFormat="false" ht="15" hidden="false" customHeight="false" outlineLevel="0" collapsed="false">
      <c r="A3372" s="0" t="n">
        <v>3371</v>
      </c>
      <c r="B3372" s="18" t="n">
        <v>2876488.6131571</v>
      </c>
      <c r="C3372" s="18" t="n">
        <v>38417627.2881044</v>
      </c>
      <c r="D3372" s="0" t="n">
        <v>1</v>
      </c>
    </row>
    <row r="3373" customFormat="false" ht="15" hidden="false" customHeight="false" outlineLevel="0" collapsed="false">
      <c r="A3373" s="0" t="n">
        <v>3372</v>
      </c>
      <c r="B3373" s="18" t="n">
        <v>2580828.51887893</v>
      </c>
      <c r="C3373" s="18" t="n">
        <v>11370956.2905218</v>
      </c>
      <c r="D3373" s="0" t="n">
        <v>1</v>
      </c>
    </row>
    <row r="3374" customFormat="false" ht="15" hidden="false" customHeight="false" outlineLevel="0" collapsed="false">
      <c r="A3374" s="0" t="n">
        <v>3373</v>
      </c>
      <c r="B3374" s="18" t="n">
        <v>443032.204647017</v>
      </c>
      <c r="C3374" s="18" t="n">
        <v>0</v>
      </c>
      <c r="D3374" s="0" t="n">
        <v>0</v>
      </c>
      <c r="E3374" s="19" t="n">
        <v>34.6666666666667</v>
      </c>
    </row>
    <row r="3375" customFormat="false" ht="15" hidden="false" customHeight="false" outlineLevel="0" collapsed="false">
      <c r="A3375" s="0" t="n">
        <v>3374</v>
      </c>
      <c r="B3375" s="18" t="n">
        <v>762221.907726434</v>
      </c>
      <c r="C3375" s="18" t="n">
        <v>0</v>
      </c>
      <c r="D3375" s="0" t="n">
        <v>0</v>
      </c>
      <c r="E3375" s="19" t="n">
        <v>42.0833333333333</v>
      </c>
    </row>
    <row r="3376" customFormat="false" ht="15" hidden="false" customHeight="false" outlineLevel="0" collapsed="false">
      <c r="A3376" s="0" t="n">
        <v>3375</v>
      </c>
      <c r="B3376" s="18" t="n">
        <v>783170.78471741</v>
      </c>
      <c r="C3376" s="18" t="n">
        <v>0</v>
      </c>
      <c r="D3376" s="0" t="n">
        <v>0</v>
      </c>
      <c r="E3376" s="19" t="n">
        <v>40.3333333333333</v>
      </c>
    </row>
    <row r="3377" customFormat="false" ht="15" hidden="false" customHeight="false" outlineLevel="0" collapsed="false">
      <c r="A3377" s="0" t="n">
        <v>3376</v>
      </c>
      <c r="B3377" s="18" t="n">
        <v>1030749.71558675</v>
      </c>
      <c r="C3377" s="18" t="n">
        <v>0</v>
      </c>
      <c r="D3377" s="0" t="n">
        <v>0</v>
      </c>
      <c r="E3377" s="19" t="n">
        <v>47.6666666666667</v>
      </c>
    </row>
    <row r="3378" customFormat="false" ht="15" hidden="false" customHeight="false" outlineLevel="0" collapsed="false">
      <c r="A3378" s="0" t="n">
        <v>3377</v>
      </c>
      <c r="B3378" s="18" t="n">
        <v>4272892.91251765</v>
      </c>
      <c r="C3378" s="18" t="n">
        <v>9434510.68716925</v>
      </c>
      <c r="D3378" s="0" t="n">
        <v>1</v>
      </c>
    </row>
    <row r="3379" customFormat="false" ht="15" hidden="false" customHeight="false" outlineLevel="0" collapsed="false">
      <c r="A3379" s="0" t="n">
        <v>3378</v>
      </c>
      <c r="B3379" s="18" t="n">
        <v>729504.797161751</v>
      </c>
      <c r="C3379" s="18" t="n">
        <v>975563.654955995</v>
      </c>
      <c r="D3379" s="0" t="n">
        <v>1</v>
      </c>
    </row>
    <row r="3380" customFormat="false" ht="15" hidden="false" customHeight="false" outlineLevel="0" collapsed="false">
      <c r="A3380" s="0" t="n">
        <v>3379</v>
      </c>
      <c r="B3380" s="18" t="n">
        <v>1648375.81646076</v>
      </c>
      <c r="C3380" s="18" t="n">
        <v>16798794.3346568</v>
      </c>
      <c r="D3380" s="0" t="n">
        <v>1</v>
      </c>
    </row>
    <row r="3381" customFormat="false" ht="15" hidden="false" customHeight="false" outlineLevel="0" collapsed="false">
      <c r="A3381" s="0" t="n">
        <v>3380</v>
      </c>
      <c r="B3381" s="18" t="n">
        <v>750518.284078371</v>
      </c>
      <c r="C3381" s="18" t="n">
        <v>0</v>
      </c>
      <c r="D3381" s="0" t="n">
        <v>0</v>
      </c>
      <c r="E3381" s="19" t="n">
        <v>36.3333333333333</v>
      </c>
    </row>
    <row r="3382" customFormat="false" ht="15" hidden="false" customHeight="false" outlineLevel="0" collapsed="false">
      <c r="A3382" s="0" t="n">
        <v>3381</v>
      </c>
      <c r="B3382" s="18" t="n">
        <v>590794.760072161</v>
      </c>
      <c r="C3382" s="18" t="n">
        <v>0</v>
      </c>
      <c r="D3382" s="0" t="n">
        <v>0</v>
      </c>
      <c r="E3382" s="19" t="n">
        <v>35.0833333333333</v>
      </c>
    </row>
    <row r="3383" customFormat="false" ht="15" hidden="false" customHeight="false" outlineLevel="0" collapsed="false">
      <c r="A3383" s="0" t="n">
        <v>3382</v>
      </c>
      <c r="B3383" s="18" t="n">
        <v>266861.896004454</v>
      </c>
      <c r="C3383" s="18" t="n">
        <v>0</v>
      </c>
      <c r="D3383" s="0" t="n">
        <v>0</v>
      </c>
      <c r="E3383" s="19" t="n">
        <v>30.25</v>
      </c>
    </row>
    <row r="3384" customFormat="false" ht="15" hidden="false" customHeight="false" outlineLevel="0" collapsed="false">
      <c r="A3384" s="0" t="n">
        <v>3383</v>
      </c>
      <c r="B3384" s="18" t="n">
        <v>813917.218902847</v>
      </c>
      <c r="C3384" s="18" t="n">
        <v>719848.567979328</v>
      </c>
      <c r="D3384" s="0" t="n">
        <v>1</v>
      </c>
    </row>
    <row r="3385" customFormat="false" ht="15" hidden="false" customHeight="false" outlineLevel="0" collapsed="false">
      <c r="A3385" s="0" t="n">
        <v>3384</v>
      </c>
      <c r="B3385" s="18" t="n">
        <v>1346294.49469506</v>
      </c>
      <c r="C3385" s="18" t="n">
        <v>217073.429241001</v>
      </c>
      <c r="D3385" s="0" t="n">
        <v>1</v>
      </c>
    </row>
    <row r="3386" customFormat="false" ht="15" hidden="false" customHeight="false" outlineLevel="0" collapsed="false">
      <c r="A3386" s="0" t="n">
        <v>3385</v>
      </c>
      <c r="B3386" s="18" t="n">
        <v>504168.411714109</v>
      </c>
      <c r="C3386" s="18" t="n">
        <v>0</v>
      </c>
      <c r="D3386" s="0" t="n">
        <v>0</v>
      </c>
      <c r="E3386" s="19" t="n">
        <v>40</v>
      </c>
    </row>
    <row r="3387" customFormat="false" ht="15" hidden="false" customHeight="false" outlineLevel="0" collapsed="false">
      <c r="A3387" s="0" t="n">
        <v>3386</v>
      </c>
      <c r="B3387" s="18" t="n">
        <v>1366700.82053399</v>
      </c>
      <c r="C3387" s="18" t="n">
        <v>2083867.59244803</v>
      </c>
      <c r="D3387" s="0" t="n">
        <v>1</v>
      </c>
    </row>
    <row r="3388" customFormat="false" ht="15" hidden="false" customHeight="false" outlineLevel="0" collapsed="false">
      <c r="A3388" s="0" t="n">
        <v>3387</v>
      </c>
      <c r="B3388" s="18" t="n">
        <v>573827.428894364</v>
      </c>
      <c r="C3388" s="18" t="n">
        <v>0</v>
      </c>
      <c r="D3388" s="0" t="n">
        <v>0</v>
      </c>
      <c r="E3388" s="19" t="n">
        <v>31.3333333333333</v>
      </c>
    </row>
    <row r="3389" customFormat="false" ht="15" hidden="false" customHeight="false" outlineLevel="0" collapsed="false">
      <c r="A3389" s="0" t="n">
        <v>3388</v>
      </c>
      <c r="B3389" s="18" t="n">
        <v>380182.240067905</v>
      </c>
      <c r="C3389" s="18" t="n">
        <v>0</v>
      </c>
      <c r="D3389" s="0" t="n">
        <v>0</v>
      </c>
      <c r="E3389" s="19" t="n">
        <v>36</v>
      </c>
    </row>
    <row r="3390" customFormat="false" ht="15" hidden="false" customHeight="false" outlineLevel="0" collapsed="false">
      <c r="A3390" s="0" t="n">
        <v>3389</v>
      </c>
      <c r="B3390" s="18" t="n">
        <v>1136243.79302385</v>
      </c>
      <c r="C3390" s="18" t="n">
        <v>4287848.67765225</v>
      </c>
      <c r="D3390" s="0" t="n">
        <v>1</v>
      </c>
    </row>
    <row r="3391" customFormat="false" ht="15" hidden="false" customHeight="false" outlineLevel="0" collapsed="false">
      <c r="A3391" s="0" t="n">
        <v>3390</v>
      </c>
      <c r="B3391" s="18" t="n">
        <v>1539653.27101093</v>
      </c>
      <c r="C3391" s="18" t="n">
        <v>190910.293949985</v>
      </c>
      <c r="D3391" s="0" t="n">
        <v>1</v>
      </c>
    </row>
    <row r="3392" customFormat="false" ht="15" hidden="false" customHeight="false" outlineLevel="0" collapsed="false">
      <c r="A3392" s="0" t="n">
        <v>3391</v>
      </c>
      <c r="B3392" s="18" t="n">
        <v>1738724.29962046</v>
      </c>
      <c r="C3392" s="18" t="n">
        <v>5663579.72001843</v>
      </c>
      <c r="D3392" s="0" t="n">
        <v>1</v>
      </c>
    </row>
    <row r="3393" customFormat="false" ht="15" hidden="false" customHeight="false" outlineLevel="0" collapsed="false">
      <c r="A3393" s="0" t="n">
        <v>3392</v>
      </c>
      <c r="B3393" s="18" t="n">
        <v>860087.650702906</v>
      </c>
      <c r="C3393" s="18" t="n">
        <v>8919672.54970255</v>
      </c>
      <c r="D3393" s="0" t="n">
        <v>1</v>
      </c>
    </row>
    <row r="3394" customFormat="false" ht="15" hidden="false" customHeight="false" outlineLevel="0" collapsed="false">
      <c r="A3394" s="0" t="n">
        <v>3393</v>
      </c>
      <c r="B3394" s="18" t="n">
        <v>1386499.63861759</v>
      </c>
      <c r="C3394" s="18" t="n">
        <v>2636067.49204334</v>
      </c>
      <c r="D3394" s="0" t="n">
        <v>1</v>
      </c>
    </row>
    <row r="3395" customFormat="false" ht="15" hidden="false" customHeight="false" outlineLevel="0" collapsed="false">
      <c r="A3395" s="0" t="n">
        <v>3394</v>
      </c>
      <c r="B3395" s="18" t="n">
        <v>1489689.20168676</v>
      </c>
      <c r="C3395" s="18" t="n">
        <v>0</v>
      </c>
      <c r="D3395" s="0" t="n">
        <v>0</v>
      </c>
      <c r="E3395" s="19" t="n">
        <v>43.9166666666667</v>
      </c>
    </row>
    <row r="3396" customFormat="false" ht="15" hidden="false" customHeight="false" outlineLevel="0" collapsed="false">
      <c r="A3396" s="0" t="n">
        <v>3395</v>
      </c>
      <c r="B3396" s="18" t="n">
        <v>1092013.2741645</v>
      </c>
      <c r="C3396" s="18" t="n">
        <v>0</v>
      </c>
      <c r="D3396" s="0" t="n">
        <v>0</v>
      </c>
      <c r="E3396" s="19" t="n">
        <v>43.9166666666667</v>
      </c>
    </row>
    <row r="3397" customFormat="false" ht="15" hidden="false" customHeight="false" outlineLevel="0" collapsed="false">
      <c r="A3397" s="0" t="n">
        <v>3396</v>
      </c>
      <c r="B3397" s="18" t="n">
        <v>701318.038925812</v>
      </c>
      <c r="C3397" s="18" t="n">
        <v>0</v>
      </c>
      <c r="D3397" s="0" t="n">
        <v>0</v>
      </c>
      <c r="E3397" s="19" t="n">
        <v>37.75</v>
      </c>
    </row>
    <row r="3398" customFormat="false" ht="15" hidden="false" customHeight="false" outlineLevel="0" collapsed="false">
      <c r="A3398" s="0" t="n">
        <v>3397</v>
      </c>
      <c r="B3398" s="18" t="n">
        <v>1470637.82408184</v>
      </c>
      <c r="C3398" s="18" t="n">
        <v>3647223.32362948</v>
      </c>
      <c r="D3398" s="0" t="n">
        <v>1</v>
      </c>
    </row>
    <row r="3399" customFormat="false" ht="15" hidden="false" customHeight="false" outlineLevel="0" collapsed="false">
      <c r="A3399" s="0" t="n">
        <v>3398</v>
      </c>
      <c r="B3399" s="18" t="n">
        <v>551446.977856314</v>
      </c>
      <c r="C3399" s="18" t="n">
        <v>0</v>
      </c>
      <c r="D3399" s="0" t="n">
        <v>0</v>
      </c>
      <c r="E3399" s="19" t="n">
        <v>34.8333333333333</v>
      </c>
    </row>
    <row r="3400" customFormat="false" ht="15" hidden="false" customHeight="false" outlineLevel="0" collapsed="false">
      <c r="A3400" s="0" t="n">
        <v>3399</v>
      </c>
      <c r="B3400" s="18" t="n">
        <v>1363787.69949152</v>
      </c>
      <c r="C3400" s="18" t="n">
        <v>0</v>
      </c>
      <c r="D3400" s="0" t="n">
        <v>0</v>
      </c>
      <c r="E3400" s="19" t="n">
        <v>52.5833333333333</v>
      </c>
    </row>
    <row r="3401" customFormat="false" ht="15" hidden="false" customHeight="false" outlineLevel="0" collapsed="false">
      <c r="A3401" s="0" t="n">
        <v>3400</v>
      </c>
      <c r="B3401" s="18" t="n">
        <v>1107875.44293196</v>
      </c>
      <c r="C3401" s="18" t="n">
        <v>0</v>
      </c>
      <c r="D3401" s="0" t="n">
        <v>0</v>
      </c>
      <c r="E3401" s="19" t="n">
        <v>41.8333333333333</v>
      </c>
    </row>
    <row r="3402" customFormat="false" ht="15" hidden="false" customHeight="false" outlineLevel="0" collapsed="false">
      <c r="A3402" s="0" t="n">
        <v>3401</v>
      </c>
      <c r="B3402" s="18" t="n">
        <v>513774.500396233</v>
      </c>
      <c r="C3402" s="18" t="n">
        <v>0</v>
      </c>
      <c r="D3402" s="0" t="n">
        <v>0</v>
      </c>
      <c r="E3402" s="19" t="n">
        <v>39.6666666666667</v>
      </c>
    </row>
    <row r="3403" customFormat="false" ht="15" hidden="false" customHeight="false" outlineLevel="0" collapsed="false">
      <c r="A3403" s="0" t="n">
        <v>3402</v>
      </c>
      <c r="B3403" s="18" t="n">
        <v>869978.455906258</v>
      </c>
      <c r="C3403" s="18" t="n">
        <v>0</v>
      </c>
      <c r="D3403" s="0" t="n">
        <v>0</v>
      </c>
      <c r="E3403" s="19" t="n">
        <v>53.4166666666667</v>
      </c>
    </row>
    <row r="3404" customFormat="false" ht="15" hidden="false" customHeight="false" outlineLevel="0" collapsed="false">
      <c r="A3404" s="0" t="n">
        <v>3403</v>
      </c>
      <c r="B3404" s="18" t="n">
        <v>707048.910218576</v>
      </c>
      <c r="C3404" s="18" t="n">
        <v>0</v>
      </c>
      <c r="D3404" s="0" t="n">
        <v>0</v>
      </c>
      <c r="E3404" s="19" t="n">
        <v>38.9166666666667</v>
      </c>
    </row>
    <row r="3405" customFormat="false" ht="15" hidden="false" customHeight="false" outlineLevel="0" collapsed="false">
      <c r="A3405" s="0" t="n">
        <v>3404</v>
      </c>
      <c r="B3405" s="18" t="n">
        <v>4540426.87903076</v>
      </c>
      <c r="C3405" s="18" t="n">
        <v>11825906.428704</v>
      </c>
      <c r="D3405" s="0" t="n">
        <v>1</v>
      </c>
    </row>
    <row r="3406" customFormat="false" ht="15" hidden="false" customHeight="false" outlineLevel="0" collapsed="false">
      <c r="A3406" s="0" t="n">
        <v>3405</v>
      </c>
      <c r="B3406" s="18" t="n">
        <v>448026.685686201</v>
      </c>
      <c r="C3406" s="18" t="n">
        <v>0</v>
      </c>
      <c r="D3406" s="0" t="n">
        <v>0</v>
      </c>
      <c r="E3406" s="19" t="n">
        <v>30.5</v>
      </c>
    </row>
    <row r="3407" customFormat="false" ht="15" hidden="false" customHeight="false" outlineLevel="0" collapsed="false">
      <c r="A3407" s="0" t="n">
        <v>3406</v>
      </c>
      <c r="B3407" s="18" t="n">
        <v>678283.656914031</v>
      </c>
      <c r="C3407" s="18" t="n">
        <v>0</v>
      </c>
      <c r="D3407" s="0" t="n">
        <v>0</v>
      </c>
      <c r="E3407" s="19" t="n">
        <v>34.5</v>
      </c>
    </row>
    <row r="3408" customFormat="false" ht="15" hidden="false" customHeight="false" outlineLevel="0" collapsed="false">
      <c r="A3408" s="0" t="n">
        <v>3407</v>
      </c>
      <c r="B3408" s="18" t="n">
        <v>215136.261715067</v>
      </c>
      <c r="C3408" s="18" t="n">
        <v>0</v>
      </c>
      <c r="D3408" s="0" t="n">
        <v>0</v>
      </c>
      <c r="E3408" s="19" t="n">
        <v>28.8333333333333</v>
      </c>
    </row>
    <row r="3409" customFormat="false" ht="15" hidden="false" customHeight="false" outlineLevel="0" collapsed="false">
      <c r="A3409" s="0" t="n">
        <v>3408</v>
      </c>
      <c r="B3409" s="18" t="n">
        <v>417397.836432252</v>
      </c>
      <c r="C3409" s="18" t="n">
        <v>0</v>
      </c>
      <c r="D3409" s="0" t="n">
        <v>0</v>
      </c>
      <c r="E3409" s="19" t="n">
        <v>35</v>
      </c>
    </row>
    <row r="3410" customFormat="false" ht="15" hidden="false" customHeight="false" outlineLevel="0" collapsed="false">
      <c r="A3410" s="0" t="n">
        <v>3409</v>
      </c>
      <c r="B3410" s="18" t="n">
        <v>1383551.28095384</v>
      </c>
      <c r="C3410" s="18" t="n">
        <v>0</v>
      </c>
      <c r="D3410" s="0" t="n">
        <v>0</v>
      </c>
      <c r="E3410" s="19" t="n">
        <v>53.5</v>
      </c>
    </row>
    <row r="3411" customFormat="false" ht="15" hidden="false" customHeight="false" outlineLevel="0" collapsed="false">
      <c r="A3411" s="0" t="n">
        <v>3410</v>
      </c>
      <c r="B3411" s="18" t="n">
        <v>1034659.40768444</v>
      </c>
      <c r="C3411" s="18" t="n">
        <v>0</v>
      </c>
      <c r="D3411" s="0" t="n">
        <v>0</v>
      </c>
      <c r="E3411" s="19" t="n">
        <v>45.1666666666667</v>
      </c>
    </row>
    <row r="3412" customFormat="false" ht="15" hidden="false" customHeight="false" outlineLevel="0" collapsed="false">
      <c r="A3412" s="0" t="n">
        <v>3411</v>
      </c>
      <c r="B3412" s="18" t="n">
        <v>1021074.81832537</v>
      </c>
      <c r="C3412" s="18" t="n">
        <v>0</v>
      </c>
      <c r="D3412" s="0" t="n">
        <v>0</v>
      </c>
      <c r="E3412" s="19" t="n">
        <v>39.6666666666667</v>
      </c>
    </row>
    <row r="3413" customFormat="false" ht="15" hidden="false" customHeight="false" outlineLevel="0" collapsed="false">
      <c r="A3413" s="0" t="n">
        <v>3412</v>
      </c>
      <c r="B3413" s="18" t="n">
        <v>997520.422374972</v>
      </c>
      <c r="C3413" s="18" t="n">
        <v>0</v>
      </c>
      <c r="D3413" s="0" t="n">
        <v>0</v>
      </c>
      <c r="E3413" s="19" t="n">
        <v>53.8333333333333</v>
      </c>
    </row>
    <row r="3414" customFormat="false" ht="15" hidden="false" customHeight="false" outlineLevel="0" collapsed="false">
      <c r="A3414" s="0" t="n">
        <v>3413</v>
      </c>
      <c r="B3414" s="18" t="n">
        <v>987485.062456864</v>
      </c>
      <c r="C3414" s="18" t="n">
        <v>0</v>
      </c>
      <c r="D3414" s="0" t="n">
        <v>0</v>
      </c>
      <c r="E3414" s="19" t="n">
        <v>38.4166666666667</v>
      </c>
    </row>
    <row r="3415" customFormat="false" ht="15" hidden="false" customHeight="false" outlineLevel="0" collapsed="false">
      <c r="A3415" s="0" t="n">
        <v>3414</v>
      </c>
      <c r="B3415" s="18" t="n">
        <v>736036.822286722</v>
      </c>
      <c r="C3415" s="18" t="n">
        <v>5089186.99504263</v>
      </c>
      <c r="D3415" s="0" t="n">
        <v>1</v>
      </c>
    </row>
    <row r="3416" customFormat="false" ht="15" hidden="false" customHeight="false" outlineLevel="0" collapsed="false">
      <c r="A3416" s="0" t="n">
        <v>3415</v>
      </c>
      <c r="B3416" s="18" t="n">
        <v>710208.086574017</v>
      </c>
      <c r="C3416" s="18" t="n">
        <v>0</v>
      </c>
      <c r="D3416" s="0" t="n">
        <v>0</v>
      </c>
      <c r="E3416" s="19" t="n">
        <v>38.5833333333333</v>
      </c>
    </row>
    <row r="3417" customFormat="false" ht="15" hidden="false" customHeight="false" outlineLevel="0" collapsed="false">
      <c r="A3417" s="0" t="n">
        <v>3416</v>
      </c>
      <c r="B3417" s="18" t="n">
        <v>2135827.47540889</v>
      </c>
      <c r="C3417" s="18" t="n">
        <v>1780058.98734041</v>
      </c>
      <c r="D3417" s="0" t="n">
        <v>1</v>
      </c>
    </row>
    <row r="3418" customFormat="false" ht="15" hidden="false" customHeight="false" outlineLevel="0" collapsed="false">
      <c r="A3418" s="0" t="n">
        <v>3417</v>
      </c>
      <c r="B3418" s="18" t="n">
        <v>394732.852483792</v>
      </c>
      <c r="C3418" s="18" t="n">
        <v>0</v>
      </c>
      <c r="D3418" s="0" t="n">
        <v>0</v>
      </c>
      <c r="E3418" s="19" t="n">
        <v>35.9166666666667</v>
      </c>
    </row>
    <row r="3419" customFormat="false" ht="15" hidden="false" customHeight="false" outlineLevel="0" collapsed="false">
      <c r="A3419" s="0" t="n">
        <v>3418</v>
      </c>
      <c r="B3419" s="18" t="n">
        <v>820330.092661077</v>
      </c>
      <c r="C3419" s="18" t="n">
        <v>0</v>
      </c>
      <c r="D3419" s="0" t="n">
        <v>0</v>
      </c>
      <c r="E3419" s="19" t="n">
        <v>40</v>
      </c>
    </row>
    <row r="3420" customFormat="false" ht="15" hidden="false" customHeight="false" outlineLevel="0" collapsed="false">
      <c r="A3420" s="0" t="n">
        <v>3419</v>
      </c>
      <c r="B3420" s="18" t="n">
        <v>1367898.64819265</v>
      </c>
      <c r="C3420" s="18" t="n">
        <v>1512198.71429573</v>
      </c>
      <c r="D3420" s="0" t="n">
        <v>1</v>
      </c>
    </row>
    <row r="3421" customFormat="false" ht="15" hidden="false" customHeight="false" outlineLevel="0" collapsed="false">
      <c r="A3421" s="0" t="n">
        <v>3420</v>
      </c>
      <c r="B3421" s="18" t="n">
        <v>340717.359922298</v>
      </c>
      <c r="C3421" s="18" t="n">
        <v>0</v>
      </c>
      <c r="D3421" s="0" t="n">
        <v>0</v>
      </c>
      <c r="E3421" s="19" t="n">
        <v>30.9166666666667</v>
      </c>
    </row>
    <row r="3422" customFormat="false" ht="15" hidden="false" customHeight="false" outlineLevel="0" collapsed="false">
      <c r="A3422" s="0" t="n">
        <v>3421</v>
      </c>
      <c r="B3422" s="18" t="n">
        <v>688294.530467336</v>
      </c>
      <c r="C3422" s="18" t="n">
        <v>0</v>
      </c>
      <c r="D3422" s="0" t="n">
        <v>0</v>
      </c>
      <c r="E3422" s="19" t="n">
        <v>34.6666666666667</v>
      </c>
    </row>
    <row r="3423" customFormat="false" ht="15" hidden="false" customHeight="false" outlineLevel="0" collapsed="false">
      <c r="A3423" s="0" t="n">
        <v>3422</v>
      </c>
      <c r="B3423" s="18" t="n">
        <v>970043.346069159</v>
      </c>
      <c r="C3423" s="18" t="n">
        <v>607217.474116643</v>
      </c>
      <c r="D3423" s="0" t="n">
        <v>1</v>
      </c>
    </row>
    <row r="3424" customFormat="false" ht="15" hidden="false" customHeight="false" outlineLevel="0" collapsed="false">
      <c r="A3424" s="0" t="n">
        <v>3423</v>
      </c>
      <c r="B3424" s="18" t="n">
        <v>518284.274327777</v>
      </c>
      <c r="C3424" s="18" t="n">
        <v>0</v>
      </c>
      <c r="D3424" s="0" t="n">
        <v>0</v>
      </c>
      <c r="E3424" s="19" t="n">
        <v>35.5</v>
      </c>
    </row>
    <row r="3425" customFormat="false" ht="15" hidden="false" customHeight="false" outlineLevel="0" collapsed="false">
      <c r="A3425" s="0" t="n">
        <v>3424</v>
      </c>
      <c r="B3425" s="18" t="n">
        <v>670332.322299068</v>
      </c>
      <c r="C3425" s="18" t="n">
        <v>0</v>
      </c>
      <c r="D3425" s="0" t="n">
        <v>0</v>
      </c>
      <c r="E3425" s="19" t="n">
        <v>37.25</v>
      </c>
    </row>
    <row r="3426" customFormat="false" ht="15" hidden="false" customHeight="false" outlineLevel="0" collapsed="false">
      <c r="A3426" s="0" t="n">
        <v>3425</v>
      </c>
      <c r="B3426" s="18" t="n">
        <v>840590.199187504</v>
      </c>
      <c r="C3426" s="18" t="n">
        <v>859024.962382752</v>
      </c>
      <c r="D3426" s="0" t="n">
        <v>1</v>
      </c>
    </row>
    <row r="3427" customFormat="false" ht="15" hidden="false" customHeight="false" outlineLevel="0" collapsed="false">
      <c r="A3427" s="0" t="n">
        <v>3426</v>
      </c>
      <c r="B3427" s="18" t="n">
        <v>731605.072599417</v>
      </c>
      <c r="C3427" s="18" t="n">
        <v>0</v>
      </c>
      <c r="D3427" s="0" t="n">
        <v>0</v>
      </c>
      <c r="E3427" s="19" t="n">
        <v>37.1666666666667</v>
      </c>
    </row>
    <row r="3428" customFormat="false" ht="15" hidden="false" customHeight="false" outlineLevel="0" collapsed="false">
      <c r="A3428" s="0" t="n">
        <v>3427</v>
      </c>
      <c r="B3428" s="18" t="n">
        <v>1291823.46290144</v>
      </c>
      <c r="C3428" s="18" t="n">
        <v>4309268.35882024</v>
      </c>
      <c r="D3428" s="0" t="n">
        <v>1</v>
      </c>
    </row>
    <row r="3429" customFormat="false" ht="15" hidden="false" customHeight="false" outlineLevel="0" collapsed="false">
      <c r="A3429" s="0" t="n">
        <v>3428</v>
      </c>
      <c r="B3429" s="18" t="n">
        <v>1787663.91562033</v>
      </c>
      <c r="C3429" s="18" t="n">
        <v>2146177.13784945</v>
      </c>
      <c r="D3429" s="0" t="n">
        <v>1</v>
      </c>
    </row>
    <row r="3430" customFormat="false" ht="15" hidden="false" customHeight="false" outlineLevel="0" collapsed="false">
      <c r="A3430" s="0" t="n">
        <v>3429</v>
      </c>
      <c r="B3430" s="18" t="n">
        <v>753463.787776424</v>
      </c>
      <c r="C3430" s="18" t="n">
        <v>0</v>
      </c>
      <c r="D3430" s="0" t="n">
        <v>0</v>
      </c>
      <c r="E3430" s="19" t="n">
        <v>45.3333333333333</v>
      </c>
    </row>
    <row r="3431" customFormat="false" ht="15" hidden="false" customHeight="false" outlineLevel="0" collapsed="false">
      <c r="A3431" s="0" t="n">
        <v>3430</v>
      </c>
      <c r="B3431" s="18" t="n">
        <v>522714.178128555</v>
      </c>
      <c r="C3431" s="18" t="n">
        <v>0</v>
      </c>
      <c r="D3431" s="0" t="n">
        <v>0</v>
      </c>
      <c r="E3431" s="19" t="n">
        <v>45</v>
      </c>
    </row>
    <row r="3432" customFormat="false" ht="15" hidden="false" customHeight="false" outlineLevel="0" collapsed="false">
      <c r="A3432" s="0" t="n">
        <v>3431</v>
      </c>
      <c r="B3432" s="18" t="n">
        <v>1074156.37376253</v>
      </c>
      <c r="C3432" s="18" t="n">
        <v>3847351.60774406</v>
      </c>
      <c r="D3432" s="0" t="n">
        <v>1</v>
      </c>
    </row>
    <row r="3433" customFormat="false" ht="15" hidden="false" customHeight="false" outlineLevel="0" collapsed="false">
      <c r="A3433" s="0" t="n">
        <v>3432</v>
      </c>
      <c r="B3433" s="18" t="n">
        <v>1515079.42454725</v>
      </c>
      <c r="C3433" s="18" t="n">
        <v>2700930.02507963</v>
      </c>
      <c r="D3433" s="0" t="n">
        <v>1</v>
      </c>
    </row>
    <row r="3434" customFormat="false" ht="15" hidden="false" customHeight="false" outlineLevel="0" collapsed="false">
      <c r="A3434" s="0" t="n">
        <v>3433</v>
      </c>
      <c r="B3434" s="18" t="n">
        <v>950680.868490567</v>
      </c>
      <c r="C3434" s="18" t="n">
        <v>0</v>
      </c>
      <c r="D3434" s="0" t="n">
        <v>0</v>
      </c>
      <c r="E3434" s="19" t="n">
        <v>40.1666666666667</v>
      </c>
    </row>
    <row r="3435" customFormat="false" ht="15" hidden="false" customHeight="false" outlineLevel="0" collapsed="false">
      <c r="A3435" s="0" t="n">
        <v>3434</v>
      </c>
      <c r="B3435" s="18" t="n">
        <v>3154562.61632843</v>
      </c>
      <c r="C3435" s="18" t="n">
        <v>1258771.14380703</v>
      </c>
      <c r="D3435" s="0" t="n">
        <v>1</v>
      </c>
    </row>
    <row r="3436" customFormat="false" ht="15" hidden="false" customHeight="false" outlineLevel="0" collapsed="false">
      <c r="A3436" s="0" t="n">
        <v>3435</v>
      </c>
      <c r="B3436" s="18" t="n">
        <v>2493109.0546286</v>
      </c>
      <c r="C3436" s="18" t="n">
        <v>1031216.96997237</v>
      </c>
      <c r="D3436" s="0" t="n">
        <v>1</v>
      </c>
    </row>
    <row r="3437" customFormat="false" ht="15" hidden="false" customHeight="false" outlineLevel="0" collapsed="false">
      <c r="A3437" s="0" t="n">
        <v>3436</v>
      </c>
      <c r="B3437" s="18" t="n">
        <v>772782.060471747</v>
      </c>
      <c r="C3437" s="18" t="n">
        <v>0</v>
      </c>
      <c r="D3437" s="0" t="n">
        <v>0</v>
      </c>
      <c r="E3437" s="19" t="n">
        <v>33.5</v>
      </c>
    </row>
    <row r="3438" customFormat="false" ht="15" hidden="false" customHeight="false" outlineLevel="0" collapsed="false">
      <c r="A3438" s="0" t="n">
        <v>3437</v>
      </c>
      <c r="B3438" s="18" t="n">
        <v>1185839.34643749</v>
      </c>
      <c r="C3438" s="18" t="n">
        <v>0</v>
      </c>
      <c r="D3438" s="0" t="n">
        <v>0</v>
      </c>
      <c r="E3438" s="19" t="n">
        <v>54.25</v>
      </c>
    </row>
    <row r="3439" customFormat="false" ht="15" hidden="false" customHeight="false" outlineLevel="0" collapsed="false">
      <c r="A3439" s="0" t="n">
        <v>3438</v>
      </c>
      <c r="B3439" s="18" t="n">
        <v>362574.167610111</v>
      </c>
      <c r="C3439" s="18" t="n">
        <v>0</v>
      </c>
      <c r="D3439" s="0" t="n">
        <v>0</v>
      </c>
      <c r="E3439" s="19" t="n">
        <v>30</v>
      </c>
    </row>
    <row r="3440" customFormat="false" ht="15" hidden="false" customHeight="false" outlineLevel="0" collapsed="false">
      <c r="A3440" s="0" t="n">
        <v>3439</v>
      </c>
      <c r="B3440" s="18" t="n">
        <v>926506.950761451</v>
      </c>
      <c r="C3440" s="18" t="n">
        <v>768282.900700746</v>
      </c>
      <c r="D3440" s="0" t="n">
        <v>1</v>
      </c>
    </row>
    <row r="3441" customFormat="false" ht="15" hidden="false" customHeight="false" outlineLevel="0" collapsed="false">
      <c r="A3441" s="0" t="n">
        <v>3440</v>
      </c>
      <c r="B3441" s="18" t="n">
        <v>1187060.02273435</v>
      </c>
      <c r="C3441" s="18" t="n">
        <v>11663191.4741583</v>
      </c>
      <c r="D3441" s="0" t="n">
        <v>1</v>
      </c>
    </row>
    <row r="3442" customFormat="false" ht="15" hidden="false" customHeight="false" outlineLevel="0" collapsed="false">
      <c r="A3442" s="0" t="n">
        <v>3441</v>
      </c>
      <c r="B3442" s="18" t="n">
        <v>1887116.79682258</v>
      </c>
      <c r="C3442" s="18" t="n">
        <v>0</v>
      </c>
      <c r="D3442" s="0" t="n">
        <v>0</v>
      </c>
      <c r="E3442" s="19" t="n">
        <v>42.1666666666667</v>
      </c>
    </row>
    <row r="3443" customFormat="false" ht="15" hidden="false" customHeight="false" outlineLevel="0" collapsed="false">
      <c r="A3443" s="0" t="n">
        <v>3442</v>
      </c>
      <c r="B3443" s="18" t="n">
        <v>438036.775855092</v>
      </c>
      <c r="C3443" s="18" t="n">
        <v>0</v>
      </c>
      <c r="D3443" s="0" t="n">
        <v>0</v>
      </c>
      <c r="E3443" s="19" t="n">
        <v>33.1666666666667</v>
      </c>
    </row>
    <row r="3444" customFormat="false" ht="15" hidden="false" customHeight="false" outlineLevel="0" collapsed="false">
      <c r="A3444" s="0" t="n">
        <v>3443</v>
      </c>
      <c r="B3444" s="18" t="n">
        <v>1198729.28718181</v>
      </c>
      <c r="C3444" s="18" t="n">
        <v>0</v>
      </c>
      <c r="D3444" s="0" t="n">
        <v>0</v>
      </c>
      <c r="E3444" s="19" t="n">
        <v>48.9166666666667</v>
      </c>
    </row>
    <row r="3445" customFormat="false" ht="15" hidden="false" customHeight="false" outlineLevel="0" collapsed="false">
      <c r="A3445" s="0" t="n">
        <v>3444</v>
      </c>
      <c r="B3445" s="18" t="n">
        <v>1002867.9387452</v>
      </c>
      <c r="C3445" s="18" t="n">
        <v>0</v>
      </c>
      <c r="D3445" s="0" t="n">
        <v>0</v>
      </c>
      <c r="E3445" s="19" t="n">
        <v>37.3333333333333</v>
      </c>
    </row>
    <row r="3446" customFormat="false" ht="15" hidden="false" customHeight="false" outlineLevel="0" collapsed="false">
      <c r="A3446" s="0" t="n">
        <v>3445</v>
      </c>
      <c r="B3446" s="18" t="n">
        <v>1958390.05468119</v>
      </c>
      <c r="C3446" s="18" t="n">
        <v>76837.4828951076</v>
      </c>
      <c r="D3446" s="0" t="n">
        <v>1</v>
      </c>
    </row>
    <row r="3447" customFormat="false" ht="15" hidden="false" customHeight="false" outlineLevel="0" collapsed="false">
      <c r="A3447" s="0" t="n">
        <v>3446</v>
      </c>
      <c r="B3447" s="18" t="n">
        <v>965537.875409839</v>
      </c>
      <c r="C3447" s="18" t="n">
        <v>0</v>
      </c>
      <c r="D3447" s="0" t="n">
        <v>0</v>
      </c>
      <c r="E3447" s="19" t="n">
        <v>36.5</v>
      </c>
    </row>
    <row r="3448" customFormat="false" ht="15" hidden="false" customHeight="false" outlineLevel="0" collapsed="false">
      <c r="A3448" s="0" t="n">
        <v>3447</v>
      </c>
      <c r="B3448" s="18" t="n">
        <v>670724.19045412</v>
      </c>
      <c r="C3448" s="18" t="n">
        <v>0</v>
      </c>
      <c r="D3448" s="0" t="n">
        <v>0</v>
      </c>
      <c r="E3448" s="19" t="n">
        <v>48.3333333333333</v>
      </c>
    </row>
    <row r="3449" customFormat="false" ht="15" hidden="false" customHeight="false" outlineLevel="0" collapsed="false">
      <c r="A3449" s="0" t="n">
        <v>3448</v>
      </c>
      <c r="B3449" s="18" t="n">
        <v>1017076.40351408</v>
      </c>
      <c r="C3449" s="18" t="n">
        <v>0</v>
      </c>
      <c r="D3449" s="0" t="n">
        <v>0</v>
      </c>
      <c r="E3449" s="19" t="n">
        <v>40.0833333333333</v>
      </c>
    </row>
    <row r="3450" customFormat="false" ht="15" hidden="false" customHeight="false" outlineLevel="0" collapsed="false">
      <c r="A3450" s="0" t="n">
        <v>3449</v>
      </c>
      <c r="B3450" s="18" t="n">
        <v>1564016.93921049</v>
      </c>
      <c r="C3450" s="18" t="n">
        <v>15039882.1482617</v>
      </c>
      <c r="D3450" s="0" t="n">
        <v>1</v>
      </c>
    </row>
    <row r="3451" customFormat="false" ht="15" hidden="false" customHeight="false" outlineLevel="0" collapsed="false">
      <c r="A3451" s="0" t="n">
        <v>3450</v>
      </c>
      <c r="B3451" s="18" t="n">
        <v>1381553.59983416</v>
      </c>
      <c r="C3451" s="18" t="n">
        <v>1273514.62652251</v>
      </c>
      <c r="D3451" s="0" t="n">
        <v>1</v>
      </c>
    </row>
    <row r="3452" customFormat="false" ht="15" hidden="false" customHeight="false" outlineLevel="0" collapsed="false">
      <c r="A3452" s="0" t="n">
        <v>3451</v>
      </c>
      <c r="B3452" s="18" t="n">
        <v>402957.754059697</v>
      </c>
      <c r="C3452" s="18" t="n">
        <v>0</v>
      </c>
      <c r="D3452" s="0" t="n">
        <v>0</v>
      </c>
      <c r="E3452" s="19" t="n">
        <v>34.5</v>
      </c>
    </row>
    <row r="3453" customFormat="false" ht="15" hidden="false" customHeight="false" outlineLevel="0" collapsed="false">
      <c r="A3453" s="0" t="n">
        <v>3452</v>
      </c>
      <c r="B3453" s="18" t="n">
        <v>498884.043926071</v>
      </c>
      <c r="C3453" s="18" t="n">
        <v>0</v>
      </c>
      <c r="D3453" s="0" t="n">
        <v>0</v>
      </c>
      <c r="E3453" s="19" t="n">
        <v>36.5</v>
      </c>
    </row>
    <row r="3454" customFormat="false" ht="15" hidden="false" customHeight="false" outlineLevel="0" collapsed="false">
      <c r="A3454" s="0" t="n">
        <v>3453</v>
      </c>
      <c r="B3454" s="18" t="n">
        <v>1225849.85732161</v>
      </c>
      <c r="C3454" s="18" t="n">
        <v>1151687.50156816</v>
      </c>
      <c r="D3454" s="0" t="n">
        <v>1</v>
      </c>
    </row>
    <row r="3455" customFormat="false" ht="15" hidden="false" customHeight="false" outlineLevel="0" collapsed="false">
      <c r="A3455" s="0" t="n">
        <v>3454</v>
      </c>
      <c r="B3455" s="18" t="n">
        <v>1157785.63929989</v>
      </c>
      <c r="C3455" s="18" t="n">
        <v>1925608.48333954</v>
      </c>
      <c r="D3455" s="0" t="n">
        <v>1</v>
      </c>
    </row>
    <row r="3456" customFormat="false" ht="15" hidden="false" customHeight="false" outlineLevel="0" collapsed="false">
      <c r="A3456" s="0" t="n">
        <v>3455</v>
      </c>
      <c r="B3456" s="18" t="n">
        <v>1030706.39607848</v>
      </c>
      <c r="C3456" s="18" t="n">
        <v>0</v>
      </c>
      <c r="D3456" s="0" t="n">
        <v>0</v>
      </c>
      <c r="E3456" s="19" t="n">
        <v>39.3333333333333</v>
      </c>
    </row>
    <row r="3457" customFormat="false" ht="15" hidden="false" customHeight="false" outlineLevel="0" collapsed="false">
      <c r="A3457" s="0" t="n">
        <v>3456</v>
      </c>
      <c r="B3457" s="18" t="n">
        <v>1900667.96525971</v>
      </c>
      <c r="C3457" s="18" t="n">
        <v>9772118.57259641</v>
      </c>
      <c r="D3457" s="0" t="n">
        <v>1</v>
      </c>
    </row>
    <row r="3458" customFormat="false" ht="15" hidden="false" customHeight="false" outlineLevel="0" collapsed="false">
      <c r="A3458" s="0" t="n">
        <v>3457</v>
      </c>
      <c r="B3458" s="18" t="n">
        <v>1732490.32819341</v>
      </c>
      <c r="C3458" s="18" t="n">
        <v>0</v>
      </c>
      <c r="D3458" s="0" t="n">
        <v>0</v>
      </c>
      <c r="E3458" s="19" t="n">
        <v>51</v>
      </c>
    </row>
    <row r="3459" customFormat="false" ht="15" hidden="false" customHeight="false" outlineLevel="0" collapsed="false">
      <c r="A3459" s="0" t="n">
        <v>3458</v>
      </c>
      <c r="B3459" s="18" t="n">
        <v>1461870.48550712</v>
      </c>
      <c r="C3459" s="18" t="n">
        <v>4083854.13218621</v>
      </c>
      <c r="D3459" s="0" t="n">
        <v>1</v>
      </c>
    </row>
    <row r="3460" customFormat="false" ht="15" hidden="false" customHeight="false" outlineLevel="0" collapsed="false">
      <c r="A3460" s="0" t="n">
        <v>3459</v>
      </c>
      <c r="B3460" s="18" t="n">
        <v>1708228.76890143</v>
      </c>
      <c r="C3460" s="18" t="n">
        <v>10954727.5924201</v>
      </c>
      <c r="D3460" s="0" t="n">
        <v>1</v>
      </c>
    </row>
    <row r="3461" customFormat="false" ht="15" hidden="false" customHeight="false" outlineLevel="0" collapsed="false">
      <c r="A3461" s="0" t="n">
        <v>3460</v>
      </c>
      <c r="B3461" s="18" t="n">
        <v>960796.032515371</v>
      </c>
      <c r="C3461" s="18" t="n">
        <v>0</v>
      </c>
      <c r="D3461" s="0" t="n">
        <v>0</v>
      </c>
      <c r="E3461" s="19" t="n">
        <v>42.3333333333333</v>
      </c>
    </row>
    <row r="3462" customFormat="false" ht="15" hidden="false" customHeight="false" outlineLevel="0" collapsed="false">
      <c r="A3462" s="0" t="n">
        <v>3461</v>
      </c>
      <c r="B3462" s="18" t="n">
        <v>2271761.73366894</v>
      </c>
      <c r="C3462" s="18" t="n">
        <v>66442510.1282517</v>
      </c>
      <c r="D3462" s="0" t="n">
        <v>1</v>
      </c>
    </row>
    <row r="3463" customFormat="false" ht="15" hidden="false" customHeight="false" outlineLevel="0" collapsed="false">
      <c r="A3463" s="0" t="n">
        <v>3462</v>
      </c>
      <c r="B3463" s="18" t="n">
        <v>1060221.88666043</v>
      </c>
      <c r="C3463" s="18" t="n">
        <v>3705510.37329523</v>
      </c>
      <c r="D3463" s="0" t="n">
        <v>1</v>
      </c>
    </row>
    <row r="3464" customFormat="false" ht="15" hidden="false" customHeight="false" outlineLevel="0" collapsed="false">
      <c r="A3464" s="0" t="n">
        <v>3463</v>
      </c>
      <c r="B3464" s="18" t="n">
        <v>1455507.6829022</v>
      </c>
      <c r="C3464" s="18" t="n">
        <v>0</v>
      </c>
      <c r="D3464" s="0" t="n">
        <v>0</v>
      </c>
      <c r="E3464" s="19" t="n">
        <v>49.3333333333333</v>
      </c>
    </row>
    <row r="3465" customFormat="false" ht="15" hidden="false" customHeight="false" outlineLevel="0" collapsed="false">
      <c r="A3465" s="0" t="n">
        <v>3464</v>
      </c>
      <c r="B3465" s="18" t="n">
        <v>2689189.14830296</v>
      </c>
      <c r="C3465" s="18" t="n">
        <v>84753887.6498198</v>
      </c>
      <c r="D3465" s="0" t="n">
        <v>1</v>
      </c>
    </row>
    <row r="3466" customFormat="false" ht="15" hidden="false" customHeight="false" outlineLevel="0" collapsed="false">
      <c r="A3466" s="0" t="n">
        <v>3465</v>
      </c>
      <c r="B3466" s="18" t="n">
        <v>1430955.54769007</v>
      </c>
      <c r="C3466" s="18" t="n">
        <v>6690733.86565959</v>
      </c>
      <c r="D3466" s="0" t="n">
        <v>1</v>
      </c>
    </row>
    <row r="3467" customFormat="false" ht="15" hidden="false" customHeight="false" outlineLevel="0" collapsed="false">
      <c r="A3467" s="0" t="n">
        <v>3466</v>
      </c>
      <c r="B3467" s="18" t="n">
        <v>684594.445549163</v>
      </c>
      <c r="C3467" s="18" t="n">
        <v>0</v>
      </c>
      <c r="D3467" s="0" t="n">
        <v>0</v>
      </c>
      <c r="E3467" s="19" t="n">
        <v>48.25</v>
      </c>
    </row>
    <row r="3468" customFormat="false" ht="15" hidden="false" customHeight="false" outlineLevel="0" collapsed="false">
      <c r="A3468" s="0" t="n">
        <v>3467</v>
      </c>
      <c r="B3468" s="18" t="n">
        <v>1448574.89527209</v>
      </c>
      <c r="C3468" s="18" t="n">
        <v>413343.502039025</v>
      </c>
      <c r="D3468" s="0" t="n">
        <v>1</v>
      </c>
    </row>
    <row r="3469" customFormat="false" ht="15" hidden="false" customHeight="false" outlineLevel="0" collapsed="false">
      <c r="A3469" s="0" t="n">
        <v>3468</v>
      </c>
      <c r="B3469" s="18" t="n">
        <v>981469.410067393</v>
      </c>
      <c r="C3469" s="18" t="n">
        <v>621140.084672335</v>
      </c>
      <c r="D3469" s="0" t="n">
        <v>1</v>
      </c>
    </row>
    <row r="3470" customFormat="false" ht="15" hidden="false" customHeight="false" outlineLevel="0" collapsed="false">
      <c r="A3470" s="0" t="n">
        <v>3469</v>
      </c>
      <c r="B3470" s="18" t="n">
        <v>2202279.39053444</v>
      </c>
      <c r="C3470" s="18" t="n">
        <v>30512571.8740669</v>
      </c>
      <c r="D3470" s="0" t="n">
        <v>1</v>
      </c>
    </row>
    <row r="3471" customFormat="false" ht="15" hidden="false" customHeight="false" outlineLevel="0" collapsed="false">
      <c r="A3471" s="0" t="n">
        <v>3470</v>
      </c>
      <c r="B3471" s="18" t="n">
        <v>3145790.62928084</v>
      </c>
      <c r="C3471" s="18" t="n">
        <v>8815740.13136568</v>
      </c>
      <c r="D3471" s="0" t="n">
        <v>1</v>
      </c>
    </row>
    <row r="3472" customFormat="false" ht="15" hidden="false" customHeight="false" outlineLevel="0" collapsed="false">
      <c r="A3472" s="0" t="n">
        <v>3471</v>
      </c>
      <c r="B3472" s="18" t="n">
        <v>2165351.57417219</v>
      </c>
      <c r="C3472" s="18" t="n">
        <v>4703506.63287554</v>
      </c>
      <c r="D3472" s="0" t="n">
        <v>1</v>
      </c>
    </row>
    <row r="3473" customFormat="false" ht="15" hidden="false" customHeight="false" outlineLevel="0" collapsed="false">
      <c r="A3473" s="0" t="n">
        <v>3472</v>
      </c>
      <c r="B3473" s="18" t="n">
        <v>1177177.64985787</v>
      </c>
      <c r="C3473" s="18" t="n">
        <v>9508207.86457303</v>
      </c>
      <c r="D3473" s="0" t="n">
        <v>1</v>
      </c>
    </row>
    <row r="3474" customFormat="false" ht="15" hidden="false" customHeight="false" outlineLevel="0" collapsed="false">
      <c r="A3474" s="0" t="n">
        <v>3473</v>
      </c>
      <c r="B3474" s="18" t="n">
        <v>958888.945872503</v>
      </c>
      <c r="C3474" s="18" t="n">
        <v>0</v>
      </c>
      <c r="D3474" s="0" t="n">
        <v>0</v>
      </c>
      <c r="E3474" s="19" t="n">
        <v>51.0833333333333</v>
      </c>
    </row>
    <row r="3475" customFormat="false" ht="15" hidden="false" customHeight="false" outlineLevel="0" collapsed="false">
      <c r="A3475" s="0" t="n">
        <v>3474</v>
      </c>
      <c r="B3475" s="18" t="n">
        <v>1057231.61450419</v>
      </c>
      <c r="C3475" s="18" t="n">
        <v>1342228.61284957</v>
      </c>
      <c r="D3475" s="0" t="n">
        <v>1</v>
      </c>
    </row>
    <row r="3476" customFormat="false" ht="15" hidden="false" customHeight="false" outlineLevel="0" collapsed="false">
      <c r="A3476" s="0" t="n">
        <v>3475</v>
      </c>
      <c r="B3476" s="18" t="n">
        <v>696362.962786234</v>
      </c>
      <c r="C3476" s="18" t="n">
        <v>0</v>
      </c>
      <c r="D3476" s="0" t="n">
        <v>0</v>
      </c>
      <c r="E3476" s="19" t="n">
        <v>38.5</v>
      </c>
    </row>
    <row r="3477" customFormat="false" ht="15" hidden="false" customHeight="false" outlineLevel="0" collapsed="false">
      <c r="A3477" s="0" t="n">
        <v>3476</v>
      </c>
      <c r="B3477" s="18" t="n">
        <v>542699.2660358</v>
      </c>
      <c r="C3477" s="18" t="n">
        <v>0</v>
      </c>
      <c r="D3477" s="0" t="n">
        <v>0</v>
      </c>
      <c r="E3477" s="19" t="n">
        <v>32.75</v>
      </c>
    </row>
    <row r="3478" customFormat="false" ht="15" hidden="false" customHeight="false" outlineLevel="0" collapsed="false">
      <c r="A3478" s="0" t="n">
        <v>3477</v>
      </c>
      <c r="B3478" s="18" t="n">
        <v>341652.345171409</v>
      </c>
      <c r="C3478" s="18" t="n">
        <v>0</v>
      </c>
      <c r="D3478" s="0" t="n">
        <v>0</v>
      </c>
      <c r="E3478" s="19" t="n">
        <v>30.75</v>
      </c>
    </row>
    <row r="3479" customFormat="false" ht="15" hidden="false" customHeight="false" outlineLevel="0" collapsed="false">
      <c r="A3479" s="0" t="n">
        <v>3478</v>
      </c>
      <c r="B3479" s="18" t="n">
        <v>1475508.79457004</v>
      </c>
      <c r="C3479" s="18" t="n">
        <v>0</v>
      </c>
      <c r="D3479" s="0" t="n">
        <v>0</v>
      </c>
      <c r="E3479" s="19" t="n">
        <v>51.9166666666667</v>
      </c>
    </row>
    <row r="3480" customFormat="false" ht="15" hidden="false" customHeight="false" outlineLevel="0" collapsed="false">
      <c r="A3480" s="0" t="n">
        <v>3479</v>
      </c>
      <c r="B3480" s="18" t="n">
        <v>665034.963213657</v>
      </c>
      <c r="C3480" s="18" t="n">
        <v>0</v>
      </c>
      <c r="D3480" s="0" t="n">
        <v>0</v>
      </c>
      <c r="E3480" s="19" t="n">
        <v>41.4166666666667</v>
      </c>
    </row>
    <row r="3481" customFormat="false" ht="15" hidden="false" customHeight="false" outlineLevel="0" collapsed="false">
      <c r="A3481" s="0" t="n">
        <v>3480</v>
      </c>
      <c r="B3481" s="18" t="n">
        <v>489557.743566023</v>
      </c>
      <c r="C3481" s="18" t="n">
        <v>0</v>
      </c>
      <c r="D3481" s="0" t="n">
        <v>0</v>
      </c>
      <c r="E3481" s="19" t="n">
        <v>32.3333333333333</v>
      </c>
    </row>
    <row r="3482" customFormat="false" ht="15" hidden="false" customHeight="false" outlineLevel="0" collapsed="false">
      <c r="A3482" s="0" t="n">
        <v>3481</v>
      </c>
      <c r="B3482" s="18" t="n">
        <v>1290169.02348515</v>
      </c>
      <c r="C3482" s="18" t="n">
        <v>0</v>
      </c>
      <c r="D3482" s="0" t="n">
        <v>0</v>
      </c>
      <c r="E3482" s="19" t="n">
        <v>46.3333333333333</v>
      </c>
    </row>
    <row r="3483" customFormat="false" ht="15" hidden="false" customHeight="false" outlineLevel="0" collapsed="false">
      <c r="A3483" s="0" t="n">
        <v>3482</v>
      </c>
      <c r="B3483" s="18" t="n">
        <v>593656.939773826</v>
      </c>
      <c r="C3483" s="18" t="n">
        <v>0</v>
      </c>
      <c r="D3483" s="0" t="n">
        <v>0</v>
      </c>
      <c r="E3483" s="19" t="n">
        <v>33.9166666666667</v>
      </c>
    </row>
    <row r="3484" customFormat="false" ht="15" hidden="false" customHeight="false" outlineLevel="0" collapsed="false">
      <c r="A3484" s="0" t="n">
        <v>3483</v>
      </c>
      <c r="B3484" s="18" t="n">
        <v>558358.868382893</v>
      </c>
      <c r="C3484" s="18" t="n">
        <v>0</v>
      </c>
      <c r="D3484" s="0" t="n">
        <v>0</v>
      </c>
      <c r="E3484" s="19" t="n">
        <v>34.5</v>
      </c>
    </row>
    <row r="3485" customFormat="false" ht="15" hidden="false" customHeight="false" outlineLevel="0" collapsed="false">
      <c r="A3485" s="0" t="n">
        <v>3484</v>
      </c>
      <c r="B3485" s="18" t="n">
        <v>1761937.90933458</v>
      </c>
      <c r="C3485" s="18" t="n">
        <v>1389272.50633661</v>
      </c>
      <c r="D3485" s="0" t="n">
        <v>1</v>
      </c>
    </row>
    <row r="3486" customFormat="false" ht="15" hidden="false" customHeight="false" outlineLevel="0" collapsed="false">
      <c r="A3486" s="0" t="n">
        <v>3485</v>
      </c>
      <c r="B3486" s="18" t="n">
        <v>1214044.42368536</v>
      </c>
      <c r="C3486" s="18" t="n">
        <v>650428.490742564</v>
      </c>
      <c r="D3486" s="0" t="n">
        <v>1</v>
      </c>
    </row>
    <row r="3487" customFormat="false" ht="15" hidden="false" customHeight="false" outlineLevel="0" collapsed="false">
      <c r="A3487" s="0" t="n">
        <v>3486</v>
      </c>
      <c r="B3487" s="18" t="n">
        <v>1556206.57612632</v>
      </c>
      <c r="C3487" s="18" t="n">
        <v>0</v>
      </c>
      <c r="D3487" s="0" t="n">
        <v>0</v>
      </c>
      <c r="E3487" s="19" t="n">
        <v>42.6666666666667</v>
      </c>
    </row>
    <row r="3488" customFormat="false" ht="15" hidden="false" customHeight="false" outlineLevel="0" collapsed="false">
      <c r="A3488" s="0" t="n">
        <v>3487</v>
      </c>
      <c r="B3488" s="18" t="n">
        <v>956767.292151937</v>
      </c>
      <c r="C3488" s="18" t="n">
        <v>4188111.94145226</v>
      </c>
      <c r="D3488" s="0" t="n">
        <v>1</v>
      </c>
    </row>
    <row r="3489" customFormat="false" ht="15" hidden="false" customHeight="false" outlineLevel="0" collapsed="false">
      <c r="A3489" s="0" t="n">
        <v>3488</v>
      </c>
      <c r="B3489" s="18" t="n">
        <v>1358749.55265584</v>
      </c>
      <c r="C3489" s="18" t="n">
        <v>1192829.4997131</v>
      </c>
      <c r="D3489" s="0" t="n">
        <v>1</v>
      </c>
    </row>
    <row r="3490" customFormat="false" ht="15" hidden="false" customHeight="false" outlineLevel="0" collapsed="false">
      <c r="A3490" s="0" t="n">
        <v>3489</v>
      </c>
      <c r="B3490" s="18" t="n">
        <v>1039240.4177424</v>
      </c>
      <c r="C3490" s="18" t="n">
        <v>0</v>
      </c>
      <c r="D3490" s="0" t="n">
        <v>0</v>
      </c>
      <c r="E3490" s="19" t="n">
        <v>41.5</v>
      </c>
    </row>
    <row r="3491" customFormat="false" ht="15" hidden="false" customHeight="false" outlineLevel="0" collapsed="false">
      <c r="A3491" s="0" t="n">
        <v>3490</v>
      </c>
      <c r="B3491" s="18" t="n">
        <v>5418182.79174478</v>
      </c>
      <c r="C3491" s="18" t="n">
        <v>10019732.8576707</v>
      </c>
      <c r="D3491" s="0" t="n">
        <v>1</v>
      </c>
    </row>
    <row r="3492" customFormat="false" ht="15" hidden="false" customHeight="false" outlineLevel="0" collapsed="false">
      <c r="A3492" s="0" t="n">
        <v>3491</v>
      </c>
      <c r="B3492" s="18" t="n">
        <v>1110268.1313039</v>
      </c>
      <c r="C3492" s="18" t="n">
        <v>18039779.3277188</v>
      </c>
      <c r="D3492" s="0" t="n">
        <v>1</v>
      </c>
    </row>
    <row r="3493" customFormat="false" ht="15" hidden="false" customHeight="false" outlineLevel="0" collapsed="false">
      <c r="A3493" s="0" t="n">
        <v>3492</v>
      </c>
      <c r="B3493" s="18" t="n">
        <v>460783.550557044</v>
      </c>
      <c r="C3493" s="18" t="n">
        <v>0</v>
      </c>
      <c r="D3493" s="0" t="n">
        <v>0</v>
      </c>
      <c r="E3493" s="19" t="n">
        <v>32.5833333333333</v>
      </c>
    </row>
    <row r="3494" customFormat="false" ht="15" hidden="false" customHeight="false" outlineLevel="0" collapsed="false">
      <c r="A3494" s="0" t="n">
        <v>3493</v>
      </c>
      <c r="B3494" s="18" t="n">
        <v>1786484.64126727</v>
      </c>
      <c r="C3494" s="18" t="n">
        <v>0</v>
      </c>
      <c r="D3494" s="0" t="n">
        <v>0</v>
      </c>
      <c r="E3494" s="19" t="n">
        <v>53.0833333333333</v>
      </c>
    </row>
    <row r="3495" customFormat="false" ht="15" hidden="false" customHeight="false" outlineLevel="0" collapsed="false">
      <c r="A3495" s="0" t="n">
        <v>3494</v>
      </c>
      <c r="B3495" s="18" t="n">
        <v>1266143.91524969</v>
      </c>
      <c r="C3495" s="18" t="n">
        <v>0</v>
      </c>
      <c r="D3495" s="0" t="n">
        <v>0</v>
      </c>
      <c r="E3495" s="19" t="n">
        <v>53.0833333333333</v>
      </c>
    </row>
    <row r="3496" customFormat="false" ht="15" hidden="false" customHeight="false" outlineLevel="0" collapsed="false">
      <c r="A3496" s="0" t="n">
        <v>3495</v>
      </c>
      <c r="B3496" s="18" t="n">
        <v>1269496.06621189</v>
      </c>
      <c r="C3496" s="18" t="n">
        <v>10405890.236232</v>
      </c>
      <c r="D3496" s="0" t="n">
        <v>1</v>
      </c>
    </row>
    <row r="3497" customFormat="false" ht="15" hidden="false" customHeight="false" outlineLevel="0" collapsed="false">
      <c r="A3497" s="0" t="n">
        <v>3496</v>
      </c>
      <c r="B3497" s="18" t="n">
        <v>356262.491928358</v>
      </c>
      <c r="C3497" s="18" t="n">
        <v>0</v>
      </c>
      <c r="D3497" s="0" t="n">
        <v>0</v>
      </c>
      <c r="E3497" s="19" t="n">
        <v>29.75</v>
      </c>
    </row>
    <row r="3498" customFormat="false" ht="15" hidden="false" customHeight="false" outlineLevel="0" collapsed="false">
      <c r="A3498" s="0" t="n">
        <v>3497</v>
      </c>
      <c r="B3498" s="18" t="n">
        <v>877886.424362562</v>
      </c>
      <c r="C3498" s="18" t="n">
        <v>0</v>
      </c>
      <c r="D3498" s="0" t="n">
        <v>0</v>
      </c>
      <c r="E3498" s="19" t="n">
        <v>41.6666666666667</v>
      </c>
    </row>
    <row r="3499" customFormat="false" ht="15" hidden="false" customHeight="false" outlineLevel="0" collapsed="false">
      <c r="A3499" s="0" t="n">
        <v>3498</v>
      </c>
      <c r="B3499" s="18" t="n">
        <v>711086.128762362</v>
      </c>
      <c r="C3499" s="18" t="n">
        <v>620370.684450954</v>
      </c>
      <c r="D3499" s="0" t="n">
        <v>1</v>
      </c>
    </row>
    <row r="3500" customFormat="false" ht="15" hidden="false" customHeight="false" outlineLevel="0" collapsed="false">
      <c r="A3500" s="0" t="n">
        <v>3499</v>
      </c>
      <c r="B3500" s="18" t="n">
        <v>522863.500917007</v>
      </c>
      <c r="C3500" s="18" t="n">
        <v>0</v>
      </c>
      <c r="D3500" s="0" t="n">
        <v>0</v>
      </c>
      <c r="E3500" s="19" t="n">
        <v>35.6666666666667</v>
      </c>
    </row>
    <row r="3501" customFormat="false" ht="15" hidden="false" customHeight="false" outlineLevel="0" collapsed="false">
      <c r="A3501" s="0" t="n">
        <v>3500</v>
      </c>
      <c r="B3501" s="18" t="n">
        <v>1629052.82268307</v>
      </c>
      <c r="C3501" s="18" t="n">
        <v>1502470.07098291</v>
      </c>
      <c r="D3501" s="0" t="n">
        <v>1</v>
      </c>
    </row>
    <row r="3502" customFormat="false" ht="15" hidden="false" customHeight="false" outlineLevel="0" collapsed="false">
      <c r="A3502" s="0" t="n">
        <v>3501</v>
      </c>
      <c r="B3502" s="18" t="n">
        <v>1478941.27216306</v>
      </c>
      <c r="C3502" s="18" t="n">
        <v>4408272.57270417</v>
      </c>
      <c r="D3502" s="0" t="n">
        <v>1</v>
      </c>
    </row>
    <row r="3503" customFormat="false" ht="15" hidden="false" customHeight="false" outlineLevel="0" collapsed="false">
      <c r="A3503" s="0" t="n">
        <v>3502</v>
      </c>
      <c r="B3503" s="18" t="n">
        <v>653179.90691394</v>
      </c>
      <c r="C3503" s="18" t="n">
        <v>0</v>
      </c>
      <c r="D3503" s="0" t="n">
        <v>0</v>
      </c>
      <c r="E3503" s="19" t="n">
        <v>35.0833333333333</v>
      </c>
    </row>
    <row r="3504" customFormat="false" ht="15" hidden="false" customHeight="false" outlineLevel="0" collapsed="false">
      <c r="A3504" s="0" t="n">
        <v>3503</v>
      </c>
      <c r="B3504" s="18" t="n">
        <v>1243348.76792653</v>
      </c>
      <c r="C3504" s="18" t="n">
        <v>0</v>
      </c>
      <c r="D3504" s="0" t="n">
        <v>0</v>
      </c>
      <c r="E3504" s="19" t="n">
        <v>48.5833333333333</v>
      </c>
    </row>
    <row r="3505" customFormat="false" ht="15" hidden="false" customHeight="false" outlineLevel="0" collapsed="false">
      <c r="A3505" s="0" t="n">
        <v>3504</v>
      </c>
      <c r="B3505" s="18" t="n">
        <v>1346133.61252483</v>
      </c>
      <c r="C3505" s="18" t="n">
        <v>3544176.357493</v>
      </c>
      <c r="D3505" s="0" t="n">
        <v>1</v>
      </c>
    </row>
    <row r="3506" customFormat="false" ht="15" hidden="false" customHeight="false" outlineLevel="0" collapsed="false">
      <c r="A3506" s="0" t="n">
        <v>3505</v>
      </c>
      <c r="B3506" s="18" t="n">
        <v>1022714.90297203</v>
      </c>
      <c r="C3506" s="18" t="n">
        <v>6797711.93036457</v>
      </c>
      <c r="D3506" s="0" t="n">
        <v>1</v>
      </c>
    </row>
    <row r="3507" customFormat="false" ht="15" hidden="false" customHeight="false" outlineLevel="0" collapsed="false">
      <c r="A3507" s="0" t="n">
        <v>3506</v>
      </c>
      <c r="B3507" s="18" t="n">
        <v>1360536.99830535</v>
      </c>
      <c r="C3507" s="18" t="n">
        <v>1025313.93209447</v>
      </c>
      <c r="D3507" s="0" t="n">
        <v>1</v>
      </c>
    </row>
    <row r="3508" customFormat="false" ht="15" hidden="false" customHeight="false" outlineLevel="0" collapsed="false">
      <c r="A3508" s="0" t="n">
        <v>3507</v>
      </c>
      <c r="B3508" s="18" t="n">
        <v>418358.373421822</v>
      </c>
      <c r="C3508" s="18" t="n">
        <v>0</v>
      </c>
      <c r="D3508" s="0" t="n">
        <v>0</v>
      </c>
      <c r="E3508" s="19" t="n">
        <v>32.5</v>
      </c>
    </row>
    <row r="3509" customFormat="false" ht="15" hidden="false" customHeight="false" outlineLevel="0" collapsed="false">
      <c r="A3509" s="0" t="n">
        <v>3508</v>
      </c>
      <c r="B3509" s="18" t="n">
        <v>2742139.43550794</v>
      </c>
      <c r="C3509" s="18" t="n">
        <v>10213334.2239513</v>
      </c>
      <c r="D3509" s="0" t="n">
        <v>1</v>
      </c>
    </row>
    <row r="3510" customFormat="false" ht="15" hidden="false" customHeight="false" outlineLevel="0" collapsed="false">
      <c r="A3510" s="0" t="n">
        <v>3509</v>
      </c>
      <c r="B3510" s="18" t="n">
        <v>570073.579265304</v>
      </c>
      <c r="C3510" s="18" t="n">
        <v>0</v>
      </c>
      <c r="D3510" s="0" t="n">
        <v>0</v>
      </c>
      <c r="E3510" s="19" t="n">
        <v>34.4166666666667</v>
      </c>
    </row>
    <row r="3511" customFormat="false" ht="15" hidden="false" customHeight="false" outlineLevel="0" collapsed="false">
      <c r="A3511" s="0" t="n">
        <v>3510</v>
      </c>
      <c r="B3511" s="18" t="n">
        <v>932843.592300952</v>
      </c>
      <c r="C3511" s="18" t="n">
        <v>5200574.93119135</v>
      </c>
      <c r="D3511" s="0" t="n">
        <v>1</v>
      </c>
    </row>
    <row r="3512" customFormat="false" ht="15" hidden="false" customHeight="false" outlineLevel="0" collapsed="false">
      <c r="A3512" s="0" t="n">
        <v>3511</v>
      </c>
      <c r="B3512" s="18" t="n">
        <v>860006.958522219</v>
      </c>
      <c r="C3512" s="18" t="n">
        <v>0</v>
      </c>
      <c r="D3512" s="0" t="n">
        <v>0</v>
      </c>
      <c r="E3512" s="19" t="n">
        <v>38.5833333333333</v>
      </c>
    </row>
    <row r="3513" customFormat="false" ht="15" hidden="false" customHeight="false" outlineLevel="0" collapsed="false">
      <c r="A3513" s="0" t="n">
        <v>3512</v>
      </c>
      <c r="B3513" s="18" t="n">
        <v>1107320.68842335</v>
      </c>
      <c r="C3513" s="18" t="n">
        <v>0</v>
      </c>
      <c r="D3513" s="0" t="n">
        <v>0</v>
      </c>
      <c r="E3513" s="19" t="n">
        <v>36.5833333333333</v>
      </c>
    </row>
    <row r="3514" customFormat="false" ht="15" hidden="false" customHeight="false" outlineLevel="0" collapsed="false">
      <c r="A3514" s="0" t="n">
        <v>3513</v>
      </c>
      <c r="B3514" s="18" t="n">
        <v>523113.691805026</v>
      </c>
      <c r="C3514" s="18" t="n">
        <v>0</v>
      </c>
      <c r="D3514" s="0" t="n">
        <v>0</v>
      </c>
      <c r="E3514" s="19" t="n">
        <v>32.9166666666667</v>
      </c>
    </row>
    <row r="3515" customFormat="false" ht="15" hidden="false" customHeight="false" outlineLevel="0" collapsed="false">
      <c r="A3515" s="0" t="n">
        <v>3514</v>
      </c>
      <c r="B3515" s="18" t="n">
        <v>943105.589384686</v>
      </c>
      <c r="C3515" s="18" t="n">
        <v>0</v>
      </c>
      <c r="D3515" s="0" t="n">
        <v>0</v>
      </c>
      <c r="E3515" s="19" t="n">
        <v>41.8333333333333</v>
      </c>
    </row>
    <row r="3516" customFormat="false" ht="15" hidden="false" customHeight="false" outlineLevel="0" collapsed="false">
      <c r="A3516" s="0" t="n">
        <v>3515</v>
      </c>
      <c r="B3516" s="18" t="n">
        <v>2055351.43560586</v>
      </c>
      <c r="C3516" s="18" t="n">
        <v>6826139.44085848</v>
      </c>
      <c r="D3516" s="0" t="n">
        <v>1</v>
      </c>
    </row>
    <row r="3517" customFormat="false" ht="15" hidden="false" customHeight="false" outlineLevel="0" collapsed="false">
      <c r="A3517" s="0" t="n">
        <v>3516</v>
      </c>
      <c r="B3517" s="18" t="n">
        <v>669507.424934295</v>
      </c>
      <c r="C3517" s="18" t="n">
        <v>0</v>
      </c>
      <c r="D3517" s="0" t="n">
        <v>0</v>
      </c>
      <c r="E3517" s="19" t="n">
        <v>45.0833333333333</v>
      </c>
    </row>
    <row r="3518" customFormat="false" ht="15" hidden="false" customHeight="false" outlineLevel="0" collapsed="false">
      <c r="A3518" s="0" t="n">
        <v>3517</v>
      </c>
      <c r="B3518" s="18" t="n">
        <v>1013126.86938576</v>
      </c>
      <c r="C3518" s="18" t="n">
        <v>408882.588265439</v>
      </c>
      <c r="D3518" s="0" t="n">
        <v>1</v>
      </c>
    </row>
    <row r="3519" customFormat="false" ht="15" hidden="false" customHeight="false" outlineLevel="0" collapsed="false">
      <c r="A3519" s="0" t="n">
        <v>3518</v>
      </c>
      <c r="B3519" s="18" t="n">
        <v>953048.429267379</v>
      </c>
      <c r="C3519" s="18" t="n">
        <v>0</v>
      </c>
      <c r="D3519" s="0" t="n">
        <v>0</v>
      </c>
      <c r="E3519" s="19" t="n">
        <v>39.9166666666667</v>
      </c>
    </row>
    <row r="3520" customFormat="false" ht="15" hidden="false" customHeight="false" outlineLevel="0" collapsed="false">
      <c r="A3520" s="0" t="n">
        <v>3519</v>
      </c>
      <c r="B3520" s="18" t="n">
        <v>892624.536421385</v>
      </c>
      <c r="C3520" s="18" t="n">
        <v>0</v>
      </c>
      <c r="D3520" s="0" t="n">
        <v>0</v>
      </c>
      <c r="E3520" s="19" t="n">
        <v>53.6666666666667</v>
      </c>
    </row>
    <row r="3521" customFormat="false" ht="15" hidden="false" customHeight="false" outlineLevel="0" collapsed="false">
      <c r="A3521" s="0" t="n">
        <v>3520</v>
      </c>
      <c r="B3521" s="18" t="n">
        <v>467415.903541677</v>
      </c>
      <c r="C3521" s="18" t="n">
        <v>0</v>
      </c>
      <c r="D3521" s="0" t="n">
        <v>0</v>
      </c>
      <c r="E3521" s="19" t="n">
        <v>32.4166666666667</v>
      </c>
    </row>
    <row r="3522" customFormat="false" ht="15" hidden="false" customHeight="false" outlineLevel="0" collapsed="false">
      <c r="A3522" s="0" t="n">
        <v>3521</v>
      </c>
      <c r="B3522" s="18" t="n">
        <v>1452008.73420776</v>
      </c>
      <c r="C3522" s="18" t="n">
        <v>0</v>
      </c>
      <c r="D3522" s="0" t="n">
        <v>0</v>
      </c>
      <c r="E3522" s="19" t="n">
        <v>47.8333333333333</v>
      </c>
    </row>
    <row r="3523" customFormat="false" ht="15" hidden="false" customHeight="false" outlineLevel="0" collapsed="false">
      <c r="A3523" s="0" t="n">
        <v>3522</v>
      </c>
      <c r="B3523" s="18" t="n">
        <v>1115486.77430282</v>
      </c>
      <c r="C3523" s="18" t="n">
        <v>0</v>
      </c>
      <c r="D3523" s="0" t="n">
        <v>0</v>
      </c>
      <c r="E3523" s="19" t="n">
        <v>53.3333333333333</v>
      </c>
    </row>
    <row r="3524" customFormat="false" ht="15" hidden="false" customHeight="false" outlineLevel="0" collapsed="false">
      <c r="A3524" s="0" t="n">
        <v>3523</v>
      </c>
      <c r="B3524" s="18" t="n">
        <v>830378.845093838</v>
      </c>
      <c r="C3524" s="18" t="n">
        <v>0</v>
      </c>
      <c r="D3524" s="0" t="n">
        <v>0</v>
      </c>
      <c r="E3524" s="19" t="n">
        <v>41.1666666666667</v>
      </c>
    </row>
    <row r="3525" customFormat="false" ht="15" hidden="false" customHeight="false" outlineLevel="0" collapsed="false">
      <c r="A3525" s="0" t="n">
        <v>3524</v>
      </c>
      <c r="B3525" s="18" t="n">
        <v>339991.349724296</v>
      </c>
      <c r="C3525" s="18" t="n">
        <v>0</v>
      </c>
      <c r="D3525" s="0" t="n">
        <v>0</v>
      </c>
      <c r="E3525" s="19" t="n">
        <v>32.0833333333333</v>
      </c>
    </row>
    <row r="3526" customFormat="false" ht="15" hidden="false" customHeight="false" outlineLevel="0" collapsed="false">
      <c r="A3526" s="0" t="n">
        <v>3525</v>
      </c>
      <c r="B3526" s="18" t="n">
        <v>590860.114444458</v>
      </c>
      <c r="C3526" s="18" t="n">
        <v>0</v>
      </c>
      <c r="D3526" s="0" t="n">
        <v>0</v>
      </c>
      <c r="E3526" s="19" t="n">
        <v>49.25</v>
      </c>
    </row>
    <row r="3527" customFormat="false" ht="15" hidden="false" customHeight="false" outlineLevel="0" collapsed="false">
      <c r="A3527" s="0" t="n">
        <v>3526</v>
      </c>
      <c r="B3527" s="18" t="n">
        <v>382701.281605352</v>
      </c>
      <c r="C3527" s="18" t="n">
        <v>0</v>
      </c>
      <c r="D3527" s="0" t="n">
        <v>0</v>
      </c>
      <c r="E3527" s="19" t="n">
        <v>30.5</v>
      </c>
    </row>
    <row r="3528" customFormat="false" ht="15" hidden="false" customHeight="false" outlineLevel="0" collapsed="false">
      <c r="A3528" s="0" t="n">
        <v>3527</v>
      </c>
      <c r="B3528" s="18" t="n">
        <v>985643.852803993</v>
      </c>
      <c r="C3528" s="18" t="n">
        <v>0</v>
      </c>
      <c r="D3528" s="0" t="n">
        <v>0</v>
      </c>
      <c r="E3528" s="19" t="n">
        <v>38.1666666666667</v>
      </c>
    </row>
    <row r="3529" customFormat="false" ht="15" hidden="false" customHeight="false" outlineLevel="0" collapsed="false">
      <c r="A3529" s="0" t="n">
        <v>3528</v>
      </c>
      <c r="B3529" s="18" t="n">
        <v>1198703.79806937</v>
      </c>
      <c r="C3529" s="18" t="n">
        <v>1604624.14313613</v>
      </c>
      <c r="D3529" s="0" t="n">
        <v>1</v>
      </c>
    </row>
    <row r="3530" customFormat="false" ht="15" hidden="false" customHeight="false" outlineLevel="0" collapsed="false">
      <c r="A3530" s="0" t="n">
        <v>3529</v>
      </c>
      <c r="B3530" s="18" t="n">
        <v>216487.281503386</v>
      </c>
      <c r="C3530" s="18" t="n">
        <v>0</v>
      </c>
      <c r="D3530" s="0" t="n">
        <v>0</v>
      </c>
      <c r="E3530" s="19" t="n">
        <v>28.4166666666667</v>
      </c>
    </row>
    <row r="3531" customFormat="false" ht="15" hidden="false" customHeight="false" outlineLevel="0" collapsed="false">
      <c r="A3531" s="0" t="n">
        <v>3530</v>
      </c>
      <c r="B3531" s="18" t="n">
        <v>1413432.43949814</v>
      </c>
      <c r="C3531" s="18" t="n">
        <v>3918936.89266543</v>
      </c>
      <c r="D3531" s="0" t="n">
        <v>1</v>
      </c>
    </row>
    <row r="3532" customFormat="false" ht="15" hidden="false" customHeight="false" outlineLevel="0" collapsed="false">
      <c r="A3532" s="0" t="n">
        <v>3531</v>
      </c>
      <c r="B3532" s="18" t="n">
        <v>2040448.6728816</v>
      </c>
      <c r="C3532" s="18" t="n">
        <v>0</v>
      </c>
      <c r="D3532" s="0" t="n">
        <v>0</v>
      </c>
      <c r="E3532" s="19" t="n">
        <v>46</v>
      </c>
    </row>
    <row r="3533" customFormat="false" ht="15" hidden="false" customHeight="false" outlineLevel="0" collapsed="false">
      <c r="A3533" s="0" t="n">
        <v>3532</v>
      </c>
      <c r="B3533" s="18" t="n">
        <v>830174.995388807</v>
      </c>
      <c r="C3533" s="18" t="n">
        <v>0</v>
      </c>
      <c r="D3533" s="0" t="n">
        <v>0</v>
      </c>
      <c r="E3533" s="19" t="n">
        <v>52.5833333333333</v>
      </c>
    </row>
    <row r="3534" customFormat="false" ht="15" hidden="false" customHeight="false" outlineLevel="0" collapsed="false">
      <c r="A3534" s="0" t="n">
        <v>3533</v>
      </c>
      <c r="B3534" s="18" t="n">
        <v>465698.25523063</v>
      </c>
      <c r="C3534" s="18" t="n">
        <v>0</v>
      </c>
      <c r="D3534" s="0" t="n">
        <v>0</v>
      </c>
      <c r="E3534" s="19" t="n">
        <v>34</v>
      </c>
    </row>
    <row r="3535" customFormat="false" ht="15" hidden="false" customHeight="false" outlineLevel="0" collapsed="false">
      <c r="A3535" s="0" t="n">
        <v>3534</v>
      </c>
      <c r="B3535" s="18" t="n">
        <v>1253629.37200677</v>
      </c>
      <c r="C3535" s="18" t="n">
        <v>1504009.87017645</v>
      </c>
      <c r="D3535" s="0" t="n">
        <v>1</v>
      </c>
    </row>
    <row r="3536" customFormat="false" ht="15" hidden="false" customHeight="false" outlineLevel="0" collapsed="false">
      <c r="A3536" s="0" t="n">
        <v>3535</v>
      </c>
      <c r="B3536" s="18" t="n">
        <v>435064.524470413</v>
      </c>
      <c r="C3536" s="18" t="n">
        <v>0</v>
      </c>
      <c r="D3536" s="0" t="n">
        <v>0</v>
      </c>
      <c r="E3536" s="19" t="n">
        <v>41.6666666666667</v>
      </c>
    </row>
    <row r="3537" customFormat="false" ht="15" hidden="false" customHeight="false" outlineLevel="0" collapsed="false">
      <c r="A3537" s="0" t="n">
        <v>3536</v>
      </c>
      <c r="B3537" s="18" t="n">
        <v>1235484.02748276</v>
      </c>
      <c r="C3537" s="18" t="n">
        <v>3331539.79748208</v>
      </c>
      <c r="D3537" s="0" t="n">
        <v>1</v>
      </c>
    </row>
    <row r="3538" customFormat="false" ht="15" hidden="false" customHeight="false" outlineLevel="0" collapsed="false">
      <c r="A3538" s="0" t="n">
        <v>3537</v>
      </c>
      <c r="B3538" s="18" t="n">
        <v>925611.158561329</v>
      </c>
      <c r="C3538" s="18" t="n">
        <v>0</v>
      </c>
      <c r="D3538" s="0" t="n">
        <v>0</v>
      </c>
      <c r="E3538" s="19" t="n">
        <v>47.5833333333333</v>
      </c>
    </row>
    <row r="3539" customFormat="false" ht="15" hidden="false" customHeight="false" outlineLevel="0" collapsed="false">
      <c r="A3539" s="0" t="n">
        <v>3538</v>
      </c>
      <c r="B3539" s="18" t="n">
        <v>810618.41338448</v>
      </c>
      <c r="C3539" s="18" t="n">
        <v>0</v>
      </c>
      <c r="D3539" s="0" t="n">
        <v>0</v>
      </c>
      <c r="E3539" s="19" t="n">
        <v>39.5</v>
      </c>
    </row>
    <row r="3540" customFormat="false" ht="15" hidden="false" customHeight="false" outlineLevel="0" collapsed="false">
      <c r="A3540" s="0" t="n">
        <v>3539</v>
      </c>
      <c r="B3540" s="18" t="n">
        <v>1346742.81665305</v>
      </c>
      <c r="C3540" s="18" t="n">
        <v>10776389.1034629</v>
      </c>
      <c r="D3540" s="0" t="n">
        <v>1</v>
      </c>
    </row>
    <row r="3541" customFormat="false" ht="15" hidden="false" customHeight="false" outlineLevel="0" collapsed="false">
      <c r="A3541" s="0" t="n">
        <v>3540</v>
      </c>
      <c r="B3541" s="18" t="n">
        <v>1542043.1085825</v>
      </c>
      <c r="C3541" s="18" t="n">
        <v>10498543.5423197</v>
      </c>
      <c r="D3541" s="0" t="n">
        <v>1</v>
      </c>
    </row>
    <row r="3542" customFormat="false" ht="15" hidden="false" customHeight="false" outlineLevel="0" collapsed="false">
      <c r="A3542" s="0" t="n">
        <v>3541</v>
      </c>
      <c r="B3542" s="18" t="n">
        <v>706296.273444681</v>
      </c>
      <c r="C3542" s="18" t="n">
        <v>0</v>
      </c>
      <c r="D3542" s="0" t="n">
        <v>0</v>
      </c>
      <c r="E3542" s="19" t="n">
        <v>36.4166666666667</v>
      </c>
    </row>
    <row r="3543" customFormat="false" ht="15" hidden="false" customHeight="false" outlineLevel="0" collapsed="false">
      <c r="A3543" s="0" t="n">
        <v>3542</v>
      </c>
      <c r="B3543" s="18" t="n">
        <v>1044542.0937952</v>
      </c>
      <c r="C3543" s="18" t="n">
        <v>0</v>
      </c>
      <c r="D3543" s="0" t="n">
        <v>0</v>
      </c>
      <c r="E3543" s="19" t="n">
        <v>47.4166666666667</v>
      </c>
    </row>
    <row r="3544" customFormat="false" ht="15" hidden="false" customHeight="false" outlineLevel="0" collapsed="false">
      <c r="A3544" s="0" t="n">
        <v>3543</v>
      </c>
      <c r="B3544" s="18" t="n">
        <v>2051353.9420593</v>
      </c>
      <c r="C3544" s="18" t="n">
        <v>1390447.9502992</v>
      </c>
      <c r="D3544" s="0" t="n">
        <v>1</v>
      </c>
    </row>
    <row r="3545" customFormat="false" ht="15" hidden="false" customHeight="false" outlineLevel="0" collapsed="false">
      <c r="A3545" s="0" t="n">
        <v>3544</v>
      </c>
      <c r="B3545" s="18" t="n">
        <v>2772927.42591742</v>
      </c>
      <c r="C3545" s="18" t="n">
        <v>20938790.1584756</v>
      </c>
      <c r="D3545" s="0" t="n">
        <v>1</v>
      </c>
    </row>
    <row r="3546" customFormat="false" ht="15" hidden="false" customHeight="false" outlineLevel="0" collapsed="false">
      <c r="A3546" s="0" t="n">
        <v>3545</v>
      </c>
      <c r="B3546" s="18" t="n">
        <v>568014.783023668</v>
      </c>
      <c r="C3546" s="18" t="n">
        <v>0</v>
      </c>
      <c r="D3546" s="0" t="n">
        <v>0</v>
      </c>
      <c r="E3546" s="19" t="n">
        <v>34.25</v>
      </c>
    </row>
    <row r="3547" customFormat="false" ht="15" hidden="false" customHeight="false" outlineLevel="0" collapsed="false">
      <c r="A3547" s="0" t="n">
        <v>3546</v>
      </c>
      <c r="B3547" s="18" t="n">
        <v>502867.464387793</v>
      </c>
      <c r="C3547" s="18" t="n">
        <v>0</v>
      </c>
      <c r="D3547" s="0" t="n">
        <v>0</v>
      </c>
      <c r="E3547" s="19" t="n">
        <v>31.5</v>
      </c>
    </row>
    <row r="3548" customFormat="false" ht="15" hidden="false" customHeight="false" outlineLevel="0" collapsed="false">
      <c r="A3548" s="0" t="n">
        <v>3547</v>
      </c>
      <c r="B3548" s="18" t="n">
        <v>1125138.02002622</v>
      </c>
      <c r="C3548" s="18" t="n">
        <v>0</v>
      </c>
      <c r="D3548" s="0" t="n">
        <v>0</v>
      </c>
      <c r="E3548" s="19" t="n">
        <v>40.5833333333333</v>
      </c>
    </row>
    <row r="3549" customFormat="false" ht="15" hidden="false" customHeight="false" outlineLevel="0" collapsed="false">
      <c r="A3549" s="0" t="n">
        <v>3548</v>
      </c>
      <c r="B3549" s="18" t="n">
        <v>1146116.32743535</v>
      </c>
      <c r="C3549" s="18" t="n">
        <v>1263958.47798336</v>
      </c>
      <c r="D3549" s="0" t="n">
        <v>1</v>
      </c>
    </row>
    <row r="3550" customFormat="false" ht="15" hidden="false" customHeight="false" outlineLevel="0" collapsed="false">
      <c r="A3550" s="0" t="n">
        <v>3549</v>
      </c>
      <c r="B3550" s="18" t="n">
        <v>1110080.00211004</v>
      </c>
      <c r="C3550" s="18" t="n">
        <v>0</v>
      </c>
      <c r="D3550" s="0" t="n">
        <v>0</v>
      </c>
      <c r="E3550" s="19" t="n">
        <v>43.4166666666667</v>
      </c>
    </row>
    <row r="3551" customFormat="false" ht="15" hidden="false" customHeight="false" outlineLevel="0" collapsed="false">
      <c r="A3551" s="0" t="n">
        <v>3550</v>
      </c>
      <c r="B3551" s="18" t="n">
        <v>1860287.65129937</v>
      </c>
      <c r="C3551" s="18" t="n">
        <v>5266514.94404903</v>
      </c>
      <c r="D3551" s="0" t="n">
        <v>1</v>
      </c>
    </row>
    <row r="3552" customFormat="false" ht="15" hidden="false" customHeight="false" outlineLevel="0" collapsed="false">
      <c r="A3552" s="0" t="n">
        <v>3551</v>
      </c>
      <c r="B3552" s="18" t="n">
        <v>503641.77310379</v>
      </c>
      <c r="C3552" s="18" t="n">
        <v>0</v>
      </c>
      <c r="D3552" s="0" t="n">
        <v>0</v>
      </c>
      <c r="E3552" s="19" t="n">
        <v>45.3333333333333</v>
      </c>
    </row>
    <row r="3553" customFormat="false" ht="15" hidden="false" customHeight="false" outlineLevel="0" collapsed="false">
      <c r="A3553" s="0" t="n">
        <v>3552</v>
      </c>
      <c r="B3553" s="18" t="n">
        <v>777968.966773586</v>
      </c>
      <c r="C3553" s="18" t="n">
        <v>0</v>
      </c>
      <c r="D3553" s="0" t="n">
        <v>0</v>
      </c>
      <c r="E3553" s="19" t="n">
        <v>45.4166666666667</v>
      </c>
    </row>
    <row r="3554" customFormat="false" ht="15" hidden="false" customHeight="false" outlineLevel="0" collapsed="false">
      <c r="A3554" s="0" t="n">
        <v>3553</v>
      </c>
      <c r="B3554" s="18" t="n">
        <v>1186291.03876498</v>
      </c>
      <c r="C3554" s="18" t="n">
        <v>2315095.16441626</v>
      </c>
      <c r="D3554" s="0" t="n">
        <v>1</v>
      </c>
    </row>
    <row r="3555" customFormat="false" ht="15" hidden="false" customHeight="false" outlineLevel="0" collapsed="false">
      <c r="A3555" s="0" t="n">
        <v>3554</v>
      </c>
      <c r="B3555" s="18" t="n">
        <v>1217502.57821074</v>
      </c>
      <c r="C3555" s="18" t="n">
        <v>0</v>
      </c>
      <c r="D3555" s="0" t="n">
        <v>0</v>
      </c>
      <c r="E3555" s="19" t="n">
        <v>50.75</v>
      </c>
    </row>
    <row r="3556" customFormat="false" ht="15" hidden="false" customHeight="false" outlineLevel="0" collapsed="false">
      <c r="A3556" s="0" t="n">
        <v>3555</v>
      </c>
      <c r="B3556" s="18" t="n">
        <v>575703.292273767</v>
      </c>
      <c r="C3556" s="18" t="n">
        <v>0</v>
      </c>
      <c r="D3556" s="0" t="n">
        <v>0</v>
      </c>
      <c r="E3556" s="19" t="n">
        <v>47.4166666666667</v>
      </c>
    </row>
    <row r="3557" customFormat="false" ht="15" hidden="false" customHeight="false" outlineLevel="0" collapsed="false">
      <c r="A3557" s="0" t="n">
        <v>3556</v>
      </c>
      <c r="B3557" s="18" t="n">
        <v>1069662.89014757</v>
      </c>
      <c r="C3557" s="18" t="n">
        <v>0</v>
      </c>
      <c r="D3557" s="0" t="n">
        <v>0</v>
      </c>
      <c r="E3557" s="19" t="n">
        <v>54.8333333333333</v>
      </c>
    </row>
    <row r="3558" customFormat="false" ht="15" hidden="false" customHeight="false" outlineLevel="0" collapsed="false">
      <c r="A3558" s="0" t="n">
        <v>3557</v>
      </c>
      <c r="B3558" s="18" t="n">
        <v>702317.056027688</v>
      </c>
      <c r="C3558" s="18" t="n">
        <v>0</v>
      </c>
      <c r="D3558" s="0" t="n">
        <v>0</v>
      </c>
      <c r="E3558" s="19" t="n">
        <v>37.75</v>
      </c>
    </row>
    <row r="3559" customFormat="false" ht="15" hidden="false" customHeight="false" outlineLevel="0" collapsed="false">
      <c r="A3559" s="0" t="n">
        <v>3558</v>
      </c>
      <c r="B3559" s="18" t="n">
        <v>956081.253752043</v>
      </c>
      <c r="C3559" s="18" t="n">
        <v>0</v>
      </c>
      <c r="D3559" s="0" t="n">
        <v>0</v>
      </c>
      <c r="E3559" s="19" t="n">
        <v>46.5</v>
      </c>
    </row>
    <row r="3560" customFormat="false" ht="15" hidden="false" customHeight="false" outlineLevel="0" collapsed="false">
      <c r="A3560" s="0" t="n">
        <v>3559</v>
      </c>
      <c r="B3560" s="18" t="n">
        <v>1796929.77564671</v>
      </c>
      <c r="C3560" s="18" t="n">
        <v>0</v>
      </c>
      <c r="D3560" s="0" t="n">
        <v>0</v>
      </c>
      <c r="E3560" s="19" t="n">
        <v>46.8333333333333</v>
      </c>
    </row>
    <row r="3561" customFormat="false" ht="15" hidden="false" customHeight="false" outlineLevel="0" collapsed="false">
      <c r="A3561" s="0" t="n">
        <v>3560</v>
      </c>
      <c r="B3561" s="18" t="n">
        <v>1161353.70869116</v>
      </c>
      <c r="C3561" s="18" t="n">
        <v>7346718.20046952</v>
      </c>
      <c r="D3561" s="0" t="n">
        <v>1</v>
      </c>
    </row>
    <row r="3562" customFormat="false" ht="15" hidden="false" customHeight="false" outlineLevel="0" collapsed="false">
      <c r="A3562" s="0" t="n">
        <v>3561</v>
      </c>
      <c r="B3562" s="18" t="n">
        <v>1355276.08301467</v>
      </c>
      <c r="C3562" s="18" t="n">
        <v>0</v>
      </c>
      <c r="D3562" s="0" t="n">
        <v>0</v>
      </c>
      <c r="E3562" s="19" t="n">
        <v>54.1666666666667</v>
      </c>
    </row>
    <row r="3563" customFormat="false" ht="15" hidden="false" customHeight="false" outlineLevel="0" collapsed="false">
      <c r="A3563" s="0" t="n">
        <v>3562</v>
      </c>
      <c r="B3563" s="18" t="n">
        <v>373466.426643701</v>
      </c>
      <c r="C3563" s="18" t="n">
        <v>0</v>
      </c>
      <c r="D3563" s="0" t="n">
        <v>0</v>
      </c>
      <c r="E3563" s="19" t="n">
        <v>30.1666666666667</v>
      </c>
    </row>
    <row r="3564" customFormat="false" ht="15" hidden="false" customHeight="false" outlineLevel="0" collapsed="false">
      <c r="A3564" s="0" t="n">
        <v>3563</v>
      </c>
      <c r="B3564" s="18" t="n">
        <v>1141817.98589702</v>
      </c>
      <c r="C3564" s="18" t="n">
        <v>0</v>
      </c>
      <c r="D3564" s="0" t="n">
        <v>0</v>
      </c>
      <c r="E3564" s="19" t="n">
        <v>37.5833333333333</v>
      </c>
    </row>
    <row r="3565" customFormat="false" ht="15" hidden="false" customHeight="false" outlineLevel="0" collapsed="false">
      <c r="A3565" s="0" t="n">
        <v>3564</v>
      </c>
      <c r="B3565" s="18" t="n">
        <v>482031.384914255</v>
      </c>
      <c r="C3565" s="18" t="n">
        <v>0</v>
      </c>
      <c r="D3565" s="0" t="n">
        <v>0</v>
      </c>
      <c r="E3565" s="19" t="n">
        <v>34.5833333333333</v>
      </c>
    </row>
    <row r="3566" customFormat="false" ht="15" hidden="false" customHeight="false" outlineLevel="0" collapsed="false">
      <c r="A3566" s="0" t="n">
        <v>3565</v>
      </c>
      <c r="B3566" s="18" t="n">
        <v>970265.021616405</v>
      </c>
      <c r="C3566" s="18" t="n">
        <v>0</v>
      </c>
      <c r="D3566" s="0" t="n">
        <v>0</v>
      </c>
      <c r="E3566" s="19" t="n">
        <v>39.25</v>
      </c>
    </row>
    <row r="3567" customFormat="false" ht="15" hidden="false" customHeight="false" outlineLevel="0" collapsed="false">
      <c r="A3567" s="0" t="n">
        <v>3566</v>
      </c>
      <c r="B3567" s="18" t="n">
        <v>676223.243744553</v>
      </c>
      <c r="C3567" s="18" t="n">
        <v>0</v>
      </c>
      <c r="D3567" s="0" t="n">
        <v>0</v>
      </c>
      <c r="E3567" s="19" t="n">
        <v>38.6666666666667</v>
      </c>
    </row>
    <row r="3568" customFormat="false" ht="15" hidden="false" customHeight="false" outlineLevel="0" collapsed="false">
      <c r="A3568" s="0" t="n">
        <v>3567</v>
      </c>
      <c r="B3568" s="18" t="n">
        <v>652139.964450983</v>
      </c>
      <c r="C3568" s="18" t="n">
        <v>0</v>
      </c>
      <c r="D3568" s="0" t="n">
        <v>0</v>
      </c>
      <c r="E3568" s="19" t="n">
        <v>39.6666666666667</v>
      </c>
    </row>
    <row r="3569" customFormat="false" ht="15" hidden="false" customHeight="false" outlineLevel="0" collapsed="false">
      <c r="A3569" s="0" t="n">
        <v>3568</v>
      </c>
      <c r="B3569" s="18" t="n">
        <v>884201.448039005</v>
      </c>
      <c r="C3569" s="18" t="n">
        <v>740759.748179201</v>
      </c>
      <c r="D3569" s="0" t="n">
        <v>1</v>
      </c>
    </row>
    <row r="3570" customFormat="false" ht="15" hidden="false" customHeight="false" outlineLevel="0" collapsed="false">
      <c r="A3570" s="0" t="n">
        <v>3569</v>
      </c>
      <c r="B3570" s="18" t="n">
        <v>635419.442691818</v>
      </c>
      <c r="C3570" s="18" t="n">
        <v>0</v>
      </c>
      <c r="D3570" s="0" t="n">
        <v>0</v>
      </c>
      <c r="E3570" s="19" t="n">
        <v>35.9166666666667</v>
      </c>
    </row>
    <row r="3571" customFormat="false" ht="15" hidden="false" customHeight="false" outlineLevel="0" collapsed="false">
      <c r="A3571" s="0" t="n">
        <v>3570</v>
      </c>
      <c r="B3571" s="18" t="n">
        <v>440530.553617685</v>
      </c>
      <c r="C3571" s="18" t="n">
        <v>0</v>
      </c>
      <c r="D3571" s="0" t="n">
        <v>0</v>
      </c>
      <c r="E3571" s="19" t="n">
        <v>34.3333333333333</v>
      </c>
    </row>
    <row r="3572" customFormat="false" ht="15" hidden="false" customHeight="false" outlineLevel="0" collapsed="false">
      <c r="A3572" s="0" t="n">
        <v>3571</v>
      </c>
      <c r="B3572" s="18" t="n">
        <v>335919.531250729</v>
      </c>
      <c r="C3572" s="18" t="n">
        <v>0</v>
      </c>
      <c r="D3572" s="0" t="n">
        <v>0</v>
      </c>
      <c r="E3572" s="19" t="n">
        <v>32.9166666666667</v>
      </c>
    </row>
    <row r="3573" customFormat="false" ht="15" hidden="false" customHeight="false" outlineLevel="0" collapsed="false">
      <c r="A3573" s="0" t="n">
        <v>3572</v>
      </c>
      <c r="B3573" s="18" t="n">
        <v>664213.292271571</v>
      </c>
      <c r="C3573" s="18" t="n">
        <v>0</v>
      </c>
      <c r="D3573" s="0" t="n">
        <v>0</v>
      </c>
      <c r="E3573" s="19" t="n">
        <v>43.8333333333333</v>
      </c>
    </row>
    <row r="3574" customFormat="false" ht="15" hidden="false" customHeight="false" outlineLevel="0" collapsed="false">
      <c r="A3574" s="0" t="n">
        <v>3573</v>
      </c>
      <c r="B3574" s="18" t="n">
        <v>783260.393946551</v>
      </c>
      <c r="C3574" s="18" t="n">
        <v>0</v>
      </c>
      <c r="D3574" s="0" t="n">
        <v>0</v>
      </c>
      <c r="E3574" s="19" t="n">
        <v>44.9166666666667</v>
      </c>
    </row>
    <row r="3575" customFormat="false" ht="15" hidden="false" customHeight="false" outlineLevel="0" collapsed="false">
      <c r="A3575" s="0" t="n">
        <v>3574</v>
      </c>
      <c r="B3575" s="18" t="n">
        <v>638774.035084818</v>
      </c>
      <c r="C3575" s="18" t="n">
        <v>0</v>
      </c>
      <c r="D3575" s="0" t="n">
        <v>0</v>
      </c>
      <c r="E3575" s="19" t="n">
        <v>36.5</v>
      </c>
    </row>
    <row r="3576" customFormat="false" ht="15" hidden="false" customHeight="false" outlineLevel="0" collapsed="false">
      <c r="A3576" s="0" t="n">
        <v>3575</v>
      </c>
      <c r="B3576" s="18" t="n">
        <v>2063900.34522786</v>
      </c>
      <c r="C3576" s="18" t="n">
        <v>6461818.10076462</v>
      </c>
      <c r="D3576" s="0" t="n">
        <v>1</v>
      </c>
    </row>
    <row r="3577" customFormat="false" ht="15" hidden="false" customHeight="false" outlineLevel="0" collapsed="false">
      <c r="A3577" s="0" t="n">
        <v>3576</v>
      </c>
      <c r="B3577" s="18" t="n">
        <v>1034643.84301618</v>
      </c>
      <c r="C3577" s="18" t="n">
        <v>2391116.2745968</v>
      </c>
      <c r="D3577" s="0" t="n">
        <v>1</v>
      </c>
    </row>
    <row r="3578" customFormat="false" ht="15" hidden="false" customHeight="false" outlineLevel="0" collapsed="false">
      <c r="A3578" s="0" t="n">
        <v>3577</v>
      </c>
      <c r="B3578" s="18" t="n">
        <v>870006.528256832</v>
      </c>
      <c r="C3578" s="18" t="n">
        <v>0</v>
      </c>
      <c r="D3578" s="0" t="n">
        <v>0</v>
      </c>
      <c r="E3578" s="19" t="n">
        <v>42.6666666666667</v>
      </c>
    </row>
    <row r="3579" customFormat="false" ht="15" hidden="false" customHeight="false" outlineLevel="0" collapsed="false">
      <c r="A3579" s="0" t="n">
        <v>3578</v>
      </c>
      <c r="B3579" s="18" t="n">
        <v>1395364.60715243</v>
      </c>
      <c r="C3579" s="18" t="n">
        <v>4371647.15187273</v>
      </c>
      <c r="D3579" s="0" t="n">
        <v>1</v>
      </c>
    </row>
    <row r="3580" customFormat="false" ht="15" hidden="false" customHeight="false" outlineLevel="0" collapsed="false">
      <c r="A3580" s="0" t="n">
        <v>3579</v>
      </c>
      <c r="B3580" s="18" t="n">
        <v>1154111.31443734</v>
      </c>
      <c r="C3580" s="18" t="n">
        <v>2070155.18294844</v>
      </c>
      <c r="D3580" s="0" t="n">
        <v>1</v>
      </c>
    </row>
    <row r="3581" customFormat="false" ht="15" hidden="false" customHeight="false" outlineLevel="0" collapsed="false">
      <c r="A3581" s="0" t="n">
        <v>3580</v>
      </c>
      <c r="B3581" s="18" t="n">
        <v>1517080.97128296</v>
      </c>
      <c r="C3581" s="18" t="n">
        <v>11102286.8434738</v>
      </c>
      <c r="D3581" s="0" t="n">
        <v>1</v>
      </c>
    </row>
    <row r="3582" customFormat="false" ht="15" hidden="false" customHeight="false" outlineLevel="0" collapsed="false">
      <c r="A3582" s="0" t="n">
        <v>3581</v>
      </c>
      <c r="B3582" s="18" t="n">
        <v>515042.764873348</v>
      </c>
      <c r="C3582" s="18" t="n">
        <v>0</v>
      </c>
      <c r="D3582" s="0" t="n">
        <v>0</v>
      </c>
      <c r="E3582" s="19" t="n">
        <v>36.5833333333333</v>
      </c>
    </row>
    <row r="3583" customFormat="false" ht="15" hidden="false" customHeight="false" outlineLevel="0" collapsed="false">
      <c r="A3583" s="0" t="n">
        <v>3582</v>
      </c>
      <c r="B3583" s="18" t="n">
        <v>1103139.48208758</v>
      </c>
      <c r="C3583" s="18" t="n">
        <v>0</v>
      </c>
      <c r="D3583" s="0" t="n">
        <v>0</v>
      </c>
      <c r="E3583" s="19" t="n">
        <v>44.25</v>
      </c>
    </row>
    <row r="3584" customFormat="false" ht="15" hidden="false" customHeight="false" outlineLevel="0" collapsed="false">
      <c r="A3584" s="0" t="n">
        <v>3583</v>
      </c>
      <c r="B3584" s="18" t="n">
        <v>1520902.44773891</v>
      </c>
      <c r="C3584" s="18" t="n">
        <v>0</v>
      </c>
      <c r="D3584" s="0" t="n">
        <v>0</v>
      </c>
      <c r="E3584" s="19" t="n">
        <v>51.3333333333333</v>
      </c>
    </row>
    <row r="3585" customFormat="false" ht="15" hidden="false" customHeight="false" outlineLevel="0" collapsed="false">
      <c r="A3585" s="0" t="n">
        <v>3584</v>
      </c>
      <c r="B3585" s="18" t="n">
        <v>440531.168434944</v>
      </c>
      <c r="C3585" s="18" t="n">
        <v>0</v>
      </c>
      <c r="D3585" s="0" t="n">
        <v>0</v>
      </c>
      <c r="E3585" s="19" t="n">
        <v>35.75</v>
      </c>
    </row>
    <row r="3586" customFormat="false" ht="15" hidden="false" customHeight="false" outlineLevel="0" collapsed="false">
      <c r="A3586" s="0" t="n">
        <v>3585</v>
      </c>
      <c r="B3586" s="18" t="n">
        <v>478783.242823922</v>
      </c>
      <c r="C3586" s="18" t="n">
        <v>0</v>
      </c>
      <c r="D3586" s="0" t="n">
        <v>0</v>
      </c>
      <c r="E3586" s="19" t="n">
        <v>34.1666666666667</v>
      </c>
    </row>
    <row r="3587" customFormat="false" ht="15" hidden="false" customHeight="false" outlineLevel="0" collapsed="false">
      <c r="A3587" s="0" t="n">
        <v>3586</v>
      </c>
      <c r="B3587" s="18" t="n">
        <v>2783333.82091749</v>
      </c>
      <c r="C3587" s="18" t="n">
        <v>13602049.5129792</v>
      </c>
      <c r="D3587" s="0" t="n">
        <v>1</v>
      </c>
    </row>
    <row r="3588" customFormat="false" ht="15" hidden="false" customHeight="false" outlineLevel="0" collapsed="false">
      <c r="A3588" s="0" t="n">
        <v>3587</v>
      </c>
      <c r="B3588" s="18" t="n">
        <v>1165876.89031325</v>
      </c>
      <c r="C3588" s="18" t="n">
        <v>0</v>
      </c>
      <c r="D3588" s="0" t="n">
        <v>0</v>
      </c>
      <c r="E3588" s="19" t="n">
        <v>35.75</v>
      </c>
    </row>
    <row r="3589" customFormat="false" ht="15" hidden="false" customHeight="false" outlineLevel="0" collapsed="false">
      <c r="A3589" s="0" t="n">
        <v>3588</v>
      </c>
      <c r="B3589" s="18" t="n">
        <v>2411152.15922274</v>
      </c>
      <c r="C3589" s="18" t="n">
        <v>2561604.04952761</v>
      </c>
      <c r="D3589" s="0" t="n">
        <v>1</v>
      </c>
    </row>
    <row r="3590" customFormat="false" ht="15" hidden="false" customHeight="false" outlineLevel="0" collapsed="false">
      <c r="A3590" s="0" t="n">
        <v>3589</v>
      </c>
      <c r="B3590" s="18" t="n">
        <v>488282.360100638</v>
      </c>
      <c r="C3590" s="18" t="n">
        <v>0</v>
      </c>
      <c r="D3590" s="0" t="n">
        <v>0</v>
      </c>
      <c r="E3590" s="19" t="n">
        <v>35.1666666666667</v>
      </c>
    </row>
    <row r="3591" customFormat="false" ht="15" hidden="false" customHeight="false" outlineLevel="0" collapsed="false">
      <c r="A3591" s="0" t="n">
        <v>3590</v>
      </c>
      <c r="B3591" s="18" t="n">
        <v>1101210.14973972</v>
      </c>
      <c r="C3591" s="18" t="n">
        <v>695425.602425457</v>
      </c>
      <c r="D3591" s="0" t="n">
        <v>1</v>
      </c>
    </row>
    <row r="3592" customFormat="false" ht="15" hidden="false" customHeight="false" outlineLevel="0" collapsed="false">
      <c r="A3592" s="0" t="n">
        <v>3591</v>
      </c>
      <c r="B3592" s="18" t="n">
        <v>867058.152247449</v>
      </c>
      <c r="C3592" s="18" t="n">
        <v>0</v>
      </c>
      <c r="D3592" s="0" t="n">
        <v>0</v>
      </c>
      <c r="E3592" s="19" t="n">
        <v>35.5</v>
      </c>
    </row>
    <row r="3593" customFormat="false" ht="15" hidden="false" customHeight="false" outlineLevel="0" collapsed="false">
      <c r="A3593" s="0" t="n">
        <v>3592</v>
      </c>
      <c r="B3593" s="18" t="n">
        <v>1006461.75285344</v>
      </c>
      <c r="C3593" s="18" t="n">
        <v>0</v>
      </c>
      <c r="D3593" s="0" t="n">
        <v>0</v>
      </c>
      <c r="E3593" s="19" t="n">
        <v>53.6666666666667</v>
      </c>
    </row>
    <row r="3594" customFormat="false" ht="15" hidden="false" customHeight="false" outlineLevel="0" collapsed="false">
      <c r="A3594" s="0" t="n">
        <v>3593</v>
      </c>
      <c r="B3594" s="18" t="n">
        <v>1058338.70077671</v>
      </c>
      <c r="C3594" s="18" t="n">
        <v>0</v>
      </c>
      <c r="D3594" s="0" t="n">
        <v>0</v>
      </c>
      <c r="E3594" s="19" t="n">
        <v>38.9166666666667</v>
      </c>
    </row>
    <row r="3595" customFormat="false" ht="15" hidden="false" customHeight="false" outlineLevel="0" collapsed="false">
      <c r="A3595" s="0" t="n">
        <v>3594</v>
      </c>
      <c r="B3595" s="18" t="n">
        <v>374669.290663668</v>
      </c>
      <c r="C3595" s="18" t="n">
        <v>0</v>
      </c>
      <c r="D3595" s="0" t="n">
        <v>0</v>
      </c>
      <c r="E3595" s="19" t="n">
        <v>31.75</v>
      </c>
    </row>
    <row r="3596" customFormat="false" ht="15" hidden="false" customHeight="false" outlineLevel="0" collapsed="false">
      <c r="A3596" s="0" t="n">
        <v>3595</v>
      </c>
      <c r="B3596" s="18" t="n">
        <v>667436.44204853</v>
      </c>
      <c r="C3596" s="18" t="n">
        <v>0</v>
      </c>
      <c r="D3596" s="0" t="n">
        <v>0</v>
      </c>
      <c r="E3596" s="19" t="n">
        <v>35.5833333333333</v>
      </c>
    </row>
    <row r="3597" customFormat="false" ht="15" hidden="false" customHeight="false" outlineLevel="0" collapsed="false">
      <c r="A3597" s="0" t="n">
        <v>3596</v>
      </c>
      <c r="B3597" s="18" t="n">
        <v>1540058.73929271</v>
      </c>
      <c r="C3597" s="18" t="n">
        <v>0</v>
      </c>
      <c r="D3597" s="0" t="n">
        <v>0</v>
      </c>
      <c r="E3597" s="19" t="n">
        <v>51.25</v>
      </c>
    </row>
    <row r="3598" customFormat="false" ht="15" hidden="false" customHeight="false" outlineLevel="0" collapsed="false">
      <c r="A3598" s="0" t="n">
        <v>3597</v>
      </c>
      <c r="B3598" s="18" t="n">
        <v>772622.652450908</v>
      </c>
      <c r="C3598" s="18" t="n">
        <v>0</v>
      </c>
      <c r="D3598" s="0" t="n">
        <v>0</v>
      </c>
      <c r="E3598" s="19" t="n">
        <v>36.5</v>
      </c>
    </row>
    <row r="3599" customFormat="false" ht="15" hidden="false" customHeight="false" outlineLevel="0" collapsed="false">
      <c r="A3599" s="0" t="n">
        <v>3598</v>
      </c>
      <c r="B3599" s="18" t="n">
        <v>579029.551225713</v>
      </c>
      <c r="C3599" s="18" t="n">
        <v>0</v>
      </c>
      <c r="D3599" s="0" t="n">
        <v>0</v>
      </c>
      <c r="E3599" s="19" t="n">
        <v>35.25</v>
      </c>
    </row>
    <row r="3600" customFormat="false" ht="15" hidden="false" customHeight="false" outlineLevel="0" collapsed="false">
      <c r="A3600" s="0" t="n">
        <v>3599</v>
      </c>
      <c r="B3600" s="18" t="n">
        <v>618465.636032567</v>
      </c>
      <c r="C3600" s="18" t="n">
        <v>0</v>
      </c>
      <c r="D3600" s="0" t="n">
        <v>0</v>
      </c>
      <c r="E3600" s="19" t="n">
        <v>33</v>
      </c>
    </row>
    <row r="3601" customFormat="false" ht="15" hidden="false" customHeight="false" outlineLevel="0" collapsed="false">
      <c r="A3601" s="0" t="n">
        <v>3600</v>
      </c>
      <c r="B3601" s="18" t="n">
        <v>998363.205016317</v>
      </c>
      <c r="C3601" s="18" t="n">
        <v>0</v>
      </c>
      <c r="D3601" s="0" t="n">
        <v>0</v>
      </c>
      <c r="E3601" s="19" t="n">
        <v>43.25</v>
      </c>
    </row>
    <row r="3602" customFormat="false" ht="15" hidden="false" customHeight="false" outlineLevel="0" collapsed="false">
      <c r="A3602" s="0" t="n">
        <v>3601</v>
      </c>
      <c r="B3602" s="18" t="n">
        <v>381370.042410928</v>
      </c>
      <c r="C3602" s="18" t="n">
        <v>0</v>
      </c>
      <c r="D3602" s="0" t="n">
        <v>0</v>
      </c>
      <c r="E3602" s="19" t="n">
        <v>35.1666666666667</v>
      </c>
    </row>
    <row r="3603" customFormat="false" ht="15" hidden="false" customHeight="false" outlineLevel="0" collapsed="false">
      <c r="A3603" s="0" t="n">
        <v>3602</v>
      </c>
      <c r="B3603" s="18" t="n">
        <v>809571.407392082</v>
      </c>
      <c r="C3603" s="18" t="n">
        <v>38151.067612787</v>
      </c>
      <c r="D3603" s="0" t="n">
        <v>1</v>
      </c>
    </row>
    <row r="3604" customFormat="false" ht="15" hidden="false" customHeight="false" outlineLevel="0" collapsed="false">
      <c r="A3604" s="0" t="n">
        <v>3603</v>
      </c>
      <c r="B3604" s="18" t="n">
        <v>447558.945407548</v>
      </c>
      <c r="C3604" s="18" t="n">
        <v>0</v>
      </c>
      <c r="D3604" s="0" t="n">
        <v>0</v>
      </c>
      <c r="E3604" s="19" t="n">
        <v>34.3333333333333</v>
      </c>
    </row>
    <row r="3605" customFormat="false" ht="15" hidden="false" customHeight="false" outlineLevel="0" collapsed="false">
      <c r="A3605" s="0" t="n">
        <v>3604</v>
      </c>
      <c r="B3605" s="18" t="n">
        <v>624330.638688947</v>
      </c>
      <c r="C3605" s="18" t="n">
        <v>0</v>
      </c>
      <c r="D3605" s="0" t="n">
        <v>0</v>
      </c>
      <c r="E3605" s="19" t="n">
        <v>37.0833333333333</v>
      </c>
    </row>
    <row r="3606" customFormat="false" ht="15" hidden="false" customHeight="false" outlineLevel="0" collapsed="false">
      <c r="A3606" s="0" t="n">
        <v>3605</v>
      </c>
      <c r="B3606" s="18" t="n">
        <v>428543.307501274</v>
      </c>
      <c r="C3606" s="18" t="n">
        <v>0</v>
      </c>
      <c r="D3606" s="0" t="n">
        <v>0</v>
      </c>
      <c r="E3606" s="19" t="n">
        <v>38.8333333333333</v>
      </c>
    </row>
    <row r="3607" customFormat="false" ht="15" hidden="false" customHeight="false" outlineLevel="0" collapsed="false">
      <c r="A3607" s="0" t="n">
        <v>3606</v>
      </c>
      <c r="B3607" s="18" t="n">
        <v>892165.212931397</v>
      </c>
      <c r="C3607" s="18" t="n">
        <v>0</v>
      </c>
      <c r="D3607" s="0" t="n">
        <v>0</v>
      </c>
      <c r="E3607" s="19" t="n">
        <v>40.25</v>
      </c>
    </row>
    <row r="3608" customFormat="false" ht="15" hidden="false" customHeight="false" outlineLevel="0" collapsed="false">
      <c r="A3608" s="0" t="n">
        <v>3607</v>
      </c>
      <c r="B3608" s="18" t="n">
        <v>1533070.01990831</v>
      </c>
      <c r="C3608" s="18" t="n">
        <v>10661262.0347597</v>
      </c>
      <c r="D3608" s="0" t="n">
        <v>1</v>
      </c>
    </row>
    <row r="3609" customFormat="false" ht="15" hidden="false" customHeight="false" outlineLevel="0" collapsed="false">
      <c r="A3609" s="0" t="n">
        <v>3608</v>
      </c>
      <c r="B3609" s="18" t="n">
        <v>1480607.10297524</v>
      </c>
      <c r="C3609" s="18" t="n">
        <v>2650768.55380758</v>
      </c>
      <c r="D3609" s="0" t="n">
        <v>1</v>
      </c>
    </row>
    <row r="3610" customFormat="false" ht="15" hidden="false" customHeight="false" outlineLevel="0" collapsed="false">
      <c r="A3610" s="0" t="n">
        <v>3609</v>
      </c>
      <c r="B3610" s="18" t="n">
        <v>722660.898310757</v>
      </c>
      <c r="C3610" s="18" t="n">
        <v>0</v>
      </c>
      <c r="D3610" s="0" t="n">
        <v>0</v>
      </c>
      <c r="E3610" s="19" t="n">
        <v>38.9166666666667</v>
      </c>
    </row>
    <row r="3611" customFormat="false" ht="15" hidden="false" customHeight="false" outlineLevel="0" collapsed="false">
      <c r="A3611" s="0" t="n">
        <v>3610</v>
      </c>
      <c r="B3611" s="18" t="n">
        <v>871001.596091304</v>
      </c>
      <c r="C3611" s="18" t="n">
        <v>0</v>
      </c>
      <c r="D3611" s="0" t="n">
        <v>0</v>
      </c>
      <c r="E3611" s="19" t="n">
        <v>44</v>
      </c>
    </row>
    <row r="3612" customFormat="false" ht="15" hidden="false" customHeight="false" outlineLevel="0" collapsed="false">
      <c r="A3612" s="0" t="n">
        <v>3611</v>
      </c>
      <c r="B3612" s="18" t="n">
        <v>400431.779227322</v>
      </c>
      <c r="C3612" s="18" t="n">
        <v>0</v>
      </c>
      <c r="D3612" s="0" t="n">
        <v>0</v>
      </c>
      <c r="E3612" s="19" t="n">
        <v>36.75</v>
      </c>
    </row>
    <row r="3613" customFormat="false" ht="15" hidden="false" customHeight="false" outlineLevel="0" collapsed="false">
      <c r="A3613" s="0" t="n">
        <v>3612</v>
      </c>
      <c r="B3613" s="18" t="n">
        <v>1204241.00319685</v>
      </c>
      <c r="C3613" s="18" t="n">
        <v>0</v>
      </c>
      <c r="D3613" s="0" t="n">
        <v>0</v>
      </c>
      <c r="E3613" s="19" t="n">
        <v>51.0833333333333</v>
      </c>
    </row>
    <row r="3614" customFormat="false" ht="15" hidden="false" customHeight="false" outlineLevel="0" collapsed="false">
      <c r="A3614" s="0" t="n">
        <v>3613</v>
      </c>
      <c r="B3614" s="18" t="n">
        <v>418347.164916432</v>
      </c>
      <c r="C3614" s="18" t="n">
        <v>0</v>
      </c>
      <c r="D3614" s="0" t="n">
        <v>0</v>
      </c>
      <c r="E3614" s="19" t="n">
        <v>33.0833333333333</v>
      </c>
    </row>
    <row r="3615" customFormat="false" ht="15" hidden="false" customHeight="false" outlineLevel="0" collapsed="false">
      <c r="A3615" s="0" t="n">
        <v>3614</v>
      </c>
      <c r="B3615" s="18" t="n">
        <v>399707.351971135</v>
      </c>
      <c r="C3615" s="18" t="n">
        <v>0</v>
      </c>
      <c r="D3615" s="0" t="n">
        <v>0</v>
      </c>
      <c r="E3615" s="19" t="n">
        <v>41.25</v>
      </c>
    </row>
    <row r="3616" customFormat="false" ht="15" hidden="false" customHeight="false" outlineLevel="0" collapsed="false">
      <c r="A3616" s="0" t="n">
        <v>3615</v>
      </c>
      <c r="B3616" s="18" t="n">
        <v>804425.254979624</v>
      </c>
      <c r="C3616" s="18" t="n">
        <v>1037412.97656192</v>
      </c>
      <c r="D3616" s="0" t="n">
        <v>1</v>
      </c>
    </row>
    <row r="3617" customFormat="false" ht="15" hidden="false" customHeight="false" outlineLevel="0" collapsed="false">
      <c r="A3617" s="0" t="n">
        <v>3616</v>
      </c>
      <c r="B3617" s="18" t="n">
        <v>555081.351302335</v>
      </c>
      <c r="C3617" s="18" t="n">
        <v>0</v>
      </c>
      <c r="D3617" s="0" t="n">
        <v>0</v>
      </c>
      <c r="E3617" s="19" t="n">
        <v>32.3333333333333</v>
      </c>
    </row>
    <row r="3618" customFormat="false" ht="15" hidden="false" customHeight="false" outlineLevel="0" collapsed="false">
      <c r="A3618" s="0" t="n">
        <v>3617</v>
      </c>
      <c r="B3618" s="18" t="n">
        <v>1949627.3967843</v>
      </c>
      <c r="C3618" s="18" t="n">
        <v>0</v>
      </c>
      <c r="D3618" s="0" t="n">
        <v>0</v>
      </c>
      <c r="E3618" s="19" t="n">
        <v>44.75</v>
      </c>
    </row>
    <row r="3619" customFormat="false" ht="15" hidden="false" customHeight="false" outlineLevel="0" collapsed="false">
      <c r="A3619" s="0" t="n">
        <v>3618</v>
      </c>
      <c r="B3619" s="18" t="n">
        <v>1034950.49800234</v>
      </c>
      <c r="C3619" s="18" t="n">
        <v>0</v>
      </c>
      <c r="D3619" s="0" t="n">
        <v>0</v>
      </c>
      <c r="E3619" s="19" t="n">
        <v>47.5833333333333</v>
      </c>
    </row>
    <row r="3620" customFormat="false" ht="15" hidden="false" customHeight="false" outlineLevel="0" collapsed="false">
      <c r="A3620" s="0" t="n">
        <v>3619</v>
      </c>
      <c r="B3620" s="18" t="n">
        <v>1250761.86027505</v>
      </c>
      <c r="C3620" s="18" t="n">
        <v>11479716.3021855</v>
      </c>
      <c r="D3620" s="0" t="n">
        <v>1</v>
      </c>
    </row>
    <row r="3621" customFormat="false" ht="15" hidden="false" customHeight="false" outlineLevel="0" collapsed="false">
      <c r="A3621" s="0" t="n">
        <v>3620</v>
      </c>
      <c r="B3621" s="18" t="n">
        <v>979419.573577242</v>
      </c>
      <c r="C3621" s="18" t="n">
        <v>304341.382967403</v>
      </c>
      <c r="D3621" s="0" t="n">
        <v>1</v>
      </c>
    </row>
    <row r="3622" customFormat="false" ht="15" hidden="false" customHeight="false" outlineLevel="0" collapsed="false">
      <c r="A3622" s="0" t="n">
        <v>3621</v>
      </c>
      <c r="B3622" s="18" t="n">
        <v>1073064.9982812</v>
      </c>
      <c r="C3622" s="18" t="n">
        <v>0</v>
      </c>
      <c r="D3622" s="0" t="n">
        <v>0</v>
      </c>
      <c r="E3622" s="19" t="n">
        <v>46.75</v>
      </c>
    </row>
    <row r="3623" customFormat="false" ht="15" hidden="false" customHeight="false" outlineLevel="0" collapsed="false">
      <c r="A3623" s="0" t="n">
        <v>3622</v>
      </c>
      <c r="B3623" s="18" t="n">
        <v>1400950.4472356</v>
      </c>
      <c r="C3623" s="18" t="n">
        <v>0</v>
      </c>
      <c r="D3623" s="0" t="n">
        <v>0</v>
      </c>
      <c r="E3623" s="19" t="n">
        <v>54.5833333333333</v>
      </c>
    </row>
    <row r="3624" customFormat="false" ht="15" hidden="false" customHeight="false" outlineLevel="0" collapsed="false">
      <c r="A3624" s="0" t="n">
        <v>3623</v>
      </c>
      <c r="B3624" s="18" t="n">
        <v>2473791.8930494</v>
      </c>
      <c r="C3624" s="18" t="n">
        <v>25318633.7713098</v>
      </c>
      <c r="D3624" s="0" t="n">
        <v>1</v>
      </c>
    </row>
    <row r="3625" customFormat="false" ht="15" hidden="false" customHeight="false" outlineLevel="0" collapsed="false">
      <c r="A3625" s="0" t="n">
        <v>3624</v>
      </c>
      <c r="B3625" s="18" t="n">
        <v>703606.199393641</v>
      </c>
      <c r="C3625" s="18" t="n">
        <v>0</v>
      </c>
      <c r="D3625" s="0" t="n">
        <v>0</v>
      </c>
      <c r="E3625" s="19" t="n">
        <v>46.25</v>
      </c>
    </row>
    <row r="3626" customFormat="false" ht="15" hidden="false" customHeight="false" outlineLevel="0" collapsed="false">
      <c r="A3626" s="0" t="n">
        <v>3625</v>
      </c>
      <c r="B3626" s="18" t="n">
        <v>1742637.8537633</v>
      </c>
      <c r="C3626" s="18" t="n">
        <v>0</v>
      </c>
      <c r="D3626" s="0" t="n">
        <v>0</v>
      </c>
      <c r="E3626" s="19" t="n">
        <v>47.3333333333333</v>
      </c>
    </row>
    <row r="3627" customFormat="false" ht="15" hidden="false" customHeight="false" outlineLevel="0" collapsed="false">
      <c r="A3627" s="0" t="n">
        <v>3626</v>
      </c>
      <c r="B3627" s="18" t="n">
        <v>654942.843615434</v>
      </c>
      <c r="C3627" s="18" t="n">
        <v>0</v>
      </c>
      <c r="D3627" s="0" t="n">
        <v>0</v>
      </c>
      <c r="E3627" s="19" t="n">
        <v>34.0833333333333</v>
      </c>
    </row>
    <row r="3628" customFormat="false" ht="15" hidden="false" customHeight="false" outlineLevel="0" collapsed="false">
      <c r="A3628" s="0" t="n">
        <v>3627</v>
      </c>
      <c r="B3628" s="18" t="n">
        <v>632613.525862708</v>
      </c>
      <c r="C3628" s="18" t="n">
        <v>0</v>
      </c>
      <c r="D3628" s="0" t="n">
        <v>0</v>
      </c>
      <c r="E3628" s="19" t="n">
        <v>34.75</v>
      </c>
    </row>
    <row r="3629" customFormat="false" ht="15" hidden="false" customHeight="false" outlineLevel="0" collapsed="false">
      <c r="A3629" s="0" t="n">
        <v>3628</v>
      </c>
      <c r="B3629" s="18" t="n">
        <v>430102.46193135</v>
      </c>
      <c r="C3629" s="18" t="n">
        <v>0</v>
      </c>
      <c r="D3629" s="0" t="n">
        <v>0</v>
      </c>
      <c r="E3629" s="19" t="n">
        <v>32</v>
      </c>
    </row>
    <row r="3630" customFormat="false" ht="15" hidden="false" customHeight="false" outlineLevel="0" collapsed="false">
      <c r="A3630" s="0" t="n">
        <v>3629</v>
      </c>
      <c r="B3630" s="18" t="n">
        <v>949571.173540858</v>
      </c>
      <c r="C3630" s="18" t="n">
        <v>1241189.17798778</v>
      </c>
      <c r="D3630" s="0" t="n">
        <v>1</v>
      </c>
    </row>
    <row r="3631" customFormat="false" ht="15" hidden="false" customHeight="false" outlineLevel="0" collapsed="false">
      <c r="A3631" s="0" t="n">
        <v>3630</v>
      </c>
      <c r="B3631" s="18" t="n">
        <v>1070382.24256247</v>
      </c>
      <c r="C3631" s="18" t="n">
        <v>3173926.91303139</v>
      </c>
      <c r="D3631" s="0" t="n">
        <v>1</v>
      </c>
    </row>
    <row r="3632" customFormat="false" ht="15" hidden="false" customHeight="false" outlineLevel="0" collapsed="false">
      <c r="A3632" s="0" t="n">
        <v>3631</v>
      </c>
      <c r="B3632" s="18" t="n">
        <v>863813.800734046</v>
      </c>
      <c r="C3632" s="18" t="n">
        <v>0</v>
      </c>
      <c r="D3632" s="0" t="n">
        <v>0</v>
      </c>
      <c r="E3632" s="19" t="n">
        <v>39.1666666666667</v>
      </c>
    </row>
    <row r="3633" customFormat="false" ht="15" hidden="false" customHeight="false" outlineLevel="0" collapsed="false">
      <c r="A3633" s="0" t="n">
        <v>3632</v>
      </c>
      <c r="B3633" s="18" t="n">
        <v>3163366.12716771</v>
      </c>
      <c r="C3633" s="18" t="n">
        <v>28242260.5355274</v>
      </c>
      <c r="D3633" s="0" t="n">
        <v>1</v>
      </c>
    </row>
    <row r="3634" customFormat="false" ht="15" hidden="false" customHeight="false" outlineLevel="0" collapsed="false">
      <c r="A3634" s="0" t="n">
        <v>3633</v>
      </c>
      <c r="B3634" s="18" t="n">
        <v>1243484.89052118</v>
      </c>
      <c r="C3634" s="18" t="n">
        <v>1003711.89615142</v>
      </c>
      <c r="D3634" s="0" t="n">
        <v>1</v>
      </c>
    </row>
    <row r="3635" customFormat="false" ht="15" hidden="false" customHeight="false" outlineLevel="0" collapsed="false">
      <c r="A3635" s="0" t="n">
        <v>3634</v>
      </c>
      <c r="B3635" s="18" t="n">
        <v>1078323.76151269</v>
      </c>
      <c r="C3635" s="18" t="n">
        <v>0</v>
      </c>
      <c r="D3635" s="0" t="n">
        <v>0</v>
      </c>
      <c r="E3635" s="19" t="n">
        <v>46.3333333333333</v>
      </c>
    </row>
    <row r="3636" customFormat="false" ht="15" hidden="false" customHeight="false" outlineLevel="0" collapsed="false">
      <c r="A3636" s="0" t="n">
        <v>3635</v>
      </c>
      <c r="B3636" s="18" t="n">
        <v>1501839.55946048</v>
      </c>
      <c r="C3636" s="18" t="n">
        <v>718421.58263796</v>
      </c>
      <c r="D3636" s="0" t="n">
        <v>1</v>
      </c>
    </row>
    <row r="3637" customFormat="false" ht="15" hidden="false" customHeight="false" outlineLevel="0" collapsed="false">
      <c r="A3637" s="0" t="n">
        <v>3636</v>
      </c>
      <c r="B3637" s="18" t="n">
        <v>1652460.06320281</v>
      </c>
      <c r="C3637" s="18" t="n">
        <v>10713826.0509142</v>
      </c>
      <c r="D3637" s="0" t="n">
        <v>1</v>
      </c>
    </row>
    <row r="3638" customFormat="false" ht="15" hidden="false" customHeight="false" outlineLevel="0" collapsed="false">
      <c r="A3638" s="0" t="n">
        <v>3637</v>
      </c>
      <c r="B3638" s="18" t="n">
        <v>870437.785739727</v>
      </c>
      <c r="C3638" s="18" t="n">
        <v>0</v>
      </c>
      <c r="D3638" s="0" t="n">
        <v>0</v>
      </c>
      <c r="E3638" s="19" t="n">
        <v>38</v>
      </c>
    </row>
    <row r="3639" customFormat="false" ht="15" hidden="false" customHeight="false" outlineLevel="0" collapsed="false">
      <c r="A3639" s="0" t="n">
        <v>3638</v>
      </c>
      <c r="B3639" s="18" t="n">
        <v>2055230.79367435</v>
      </c>
      <c r="C3639" s="18" t="n">
        <v>0</v>
      </c>
      <c r="D3639" s="0" t="n">
        <v>0</v>
      </c>
      <c r="E3639" s="19" t="n">
        <v>54.9166666666667</v>
      </c>
    </row>
    <row r="3640" customFormat="false" ht="15" hidden="false" customHeight="false" outlineLevel="0" collapsed="false">
      <c r="A3640" s="0" t="n">
        <v>3639</v>
      </c>
      <c r="B3640" s="18" t="n">
        <v>694504.939202362</v>
      </c>
      <c r="C3640" s="18" t="n">
        <v>0</v>
      </c>
      <c r="D3640" s="0" t="n">
        <v>0</v>
      </c>
      <c r="E3640" s="19" t="n">
        <v>40.8333333333333</v>
      </c>
    </row>
    <row r="3641" customFormat="false" ht="15" hidden="false" customHeight="false" outlineLevel="0" collapsed="false">
      <c r="A3641" s="0" t="n">
        <v>3640</v>
      </c>
      <c r="B3641" s="18" t="n">
        <v>1521111.55074107</v>
      </c>
      <c r="C3641" s="18" t="n">
        <v>945334.621194719</v>
      </c>
      <c r="D3641" s="0" t="n">
        <v>1</v>
      </c>
    </row>
    <row r="3642" customFormat="false" ht="15" hidden="false" customHeight="false" outlineLevel="0" collapsed="false">
      <c r="A3642" s="0" t="n">
        <v>3641</v>
      </c>
      <c r="B3642" s="18" t="n">
        <v>850559.545613885</v>
      </c>
      <c r="C3642" s="18" t="n">
        <v>0</v>
      </c>
      <c r="D3642" s="0" t="n">
        <v>0</v>
      </c>
      <c r="E3642" s="19" t="n">
        <v>37.25</v>
      </c>
    </row>
    <row r="3643" customFormat="false" ht="15" hidden="false" customHeight="false" outlineLevel="0" collapsed="false">
      <c r="A3643" s="0" t="n">
        <v>3642</v>
      </c>
      <c r="B3643" s="18" t="n">
        <v>1301703.99577301</v>
      </c>
      <c r="C3643" s="18" t="n">
        <v>3599329.82327722</v>
      </c>
      <c r="D3643" s="0" t="n">
        <v>1</v>
      </c>
    </row>
    <row r="3644" customFormat="false" ht="15" hidden="false" customHeight="false" outlineLevel="0" collapsed="false">
      <c r="A3644" s="0" t="n">
        <v>3643</v>
      </c>
      <c r="B3644" s="18" t="n">
        <v>925762.383783724</v>
      </c>
      <c r="C3644" s="18" t="n">
        <v>0</v>
      </c>
      <c r="D3644" s="0" t="n">
        <v>0</v>
      </c>
      <c r="E3644" s="19" t="n">
        <v>51.3333333333333</v>
      </c>
    </row>
    <row r="3645" customFormat="false" ht="15" hidden="false" customHeight="false" outlineLevel="0" collapsed="false">
      <c r="A3645" s="0" t="n">
        <v>3644</v>
      </c>
      <c r="B3645" s="18" t="n">
        <v>1033829.49999194</v>
      </c>
      <c r="C3645" s="18" t="n">
        <v>0</v>
      </c>
      <c r="D3645" s="0" t="n">
        <v>0</v>
      </c>
      <c r="E3645" s="19" t="n">
        <v>40.4166666666667</v>
      </c>
    </row>
    <row r="3646" customFormat="false" ht="15" hidden="false" customHeight="false" outlineLevel="0" collapsed="false">
      <c r="A3646" s="0" t="n">
        <v>3645</v>
      </c>
      <c r="B3646" s="18" t="n">
        <v>321596.460922392</v>
      </c>
      <c r="C3646" s="18" t="n">
        <v>0</v>
      </c>
      <c r="D3646" s="0" t="n">
        <v>0</v>
      </c>
      <c r="E3646" s="19" t="n">
        <v>34.5</v>
      </c>
    </row>
    <row r="3647" customFormat="false" ht="15" hidden="false" customHeight="false" outlineLevel="0" collapsed="false">
      <c r="A3647" s="0" t="n">
        <v>3646</v>
      </c>
      <c r="B3647" s="18" t="n">
        <v>2066566.58493656</v>
      </c>
      <c r="C3647" s="18" t="n">
        <v>2646133.61167946</v>
      </c>
      <c r="D3647" s="0" t="n">
        <v>1</v>
      </c>
    </row>
    <row r="3648" customFormat="false" ht="15" hidden="false" customHeight="false" outlineLevel="0" collapsed="false">
      <c r="A3648" s="0" t="n">
        <v>3647</v>
      </c>
      <c r="B3648" s="18" t="n">
        <v>1442933.18793413</v>
      </c>
      <c r="C3648" s="18" t="n">
        <v>0</v>
      </c>
      <c r="D3648" s="0" t="n">
        <v>0</v>
      </c>
      <c r="E3648" s="19" t="n">
        <v>41</v>
      </c>
    </row>
    <row r="3649" customFormat="false" ht="15" hidden="false" customHeight="false" outlineLevel="0" collapsed="false">
      <c r="A3649" s="0" t="n">
        <v>3648</v>
      </c>
      <c r="B3649" s="18" t="n">
        <v>790999.738645947</v>
      </c>
      <c r="C3649" s="18" t="n">
        <v>714101.886408884</v>
      </c>
      <c r="D3649" s="0" t="n">
        <v>1</v>
      </c>
    </row>
    <row r="3650" customFormat="false" ht="15" hidden="false" customHeight="false" outlineLevel="0" collapsed="false">
      <c r="A3650" s="0" t="n">
        <v>3649</v>
      </c>
      <c r="B3650" s="18" t="n">
        <v>941315.37116636</v>
      </c>
      <c r="C3650" s="18" t="n">
        <v>0</v>
      </c>
      <c r="D3650" s="0" t="n">
        <v>0</v>
      </c>
      <c r="E3650" s="19" t="n">
        <v>38.6666666666667</v>
      </c>
    </row>
    <row r="3651" customFormat="false" ht="15" hidden="false" customHeight="false" outlineLevel="0" collapsed="false">
      <c r="A3651" s="0" t="n">
        <v>3650</v>
      </c>
      <c r="B3651" s="18" t="n">
        <v>786830.627783411</v>
      </c>
      <c r="C3651" s="18" t="n">
        <v>0</v>
      </c>
      <c r="D3651" s="0" t="n">
        <v>0</v>
      </c>
      <c r="E3651" s="19" t="n">
        <v>34.4166666666667</v>
      </c>
    </row>
    <row r="3652" customFormat="false" ht="15" hidden="false" customHeight="false" outlineLevel="0" collapsed="false">
      <c r="A3652" s="0" t="n">
        <v>3651</v>
      </c>
      <c r="B3652" s="18" t="n">
        <v>1934204.05402289</v>
      </c>
      <c r="C3652" s="18" t="n">
        <v>3674397.45112641</v>
      </c>
      <c r="D3652" s="0" t="n">
        <v>1</v>
      </c>
    </row>
    <row r="3653" customFormat="false" ht="15" hidden="false" customHeight="false" outlineLevel="0" collapsed="false">
      <c r="A3653" s="0" t="n">
        <v>3652</v>
      </c>
      <c r="B3653" s="18" t="n">
        <v>750259.773796927</v>
      </c>
      <c r="C3653" s="18" t="n">
        <v>0</v>
      </c>
      <c r="D3653" s="0" t="n">
        <v>0</v>
      </c>
      <c r="E3653" s="19" t="n">
        <v>37.5</v>
      </c>
    </row>
    <row r="3654" customFormat="false" ht="15" hidden="false" customHeight="false" outlineLevel="0" collapsed="false">
      <c r="A3654" s="0" t="n">
        <v>3653</v>
      </c>
      <c r="B3654" s="18" t="n">
        <v>1616268.06703608</v>
      </c>
      <c r="C3654" s="18" t="n">
        <v>2227082.68826901</v>
      </c>
      <c r="D3654" s="0" t="n">
        <v>1</v>
      </c>
    </row>
    <row r="3655" customFormat="false" ht="15" hidden="false" customHeight="false" outlineLevel="0" collapsed="false">
      <c r="A3655" s="0" t="n">
        <v>3654</v>
      </c>
      <c r="B3655" s="18" t="n">
        <v>602919.020667084</v>
      </c>
      <c r="C3655" s="18" t="n">
        <v>0</v>
      </c>
      <c r="D3655" s="0" t="n">
        <v>0</v>
      </c>
      <c r="E3655" s="19" t="n">
        <v>33.5</v>
      </c>
    </row>
    <row r="3656" customFormat="false" ht="15" hidden="false" customHeight="false" outlineLevel="0" collapsed="false">
      <c r="A3656" s="0" t="n">
        <v>3655</v>
      </c>
      <c r="B3656" s="18" t="n">
        <v>1783453.90613479</v>
      </c>
      <c r="C3656" s="18" t="n">
        <v>49609519.1300203</v>
      </c>
      <c r="D3656" s="0" t="n">
        <v>1</v>
      </c>
    </row>
    <row r="3657" customFormat="false" ht="15" hidden="false" customHeight="false" outlineLevel="0" collapsed="false">
      <c r="A3657" s="0" t="n">
        <v>3656</v>
      </c>
      <c r="B3657" s="18" t="n">
        <v>741272.224757281</v>
      </c>
      <c r="C3657" s="18" t="n">
        <v>0</v>
      </c>
      <c r="D3657" s="0" t="n">
        <v>0</v>
      </c>
      <c r="E3657" s="19" t="n">
        <v>47.4166666666667</v>
      </c>
    </row>
    <row r="3658" customFormat="false" ht="15" hidden="false" customHeight="false" outlineLevel="0" collapsed="false">
      <c r="A3658" s="0" t="n">
        <v>3657</v>
      </c>
      <c r="B3658" s="18" t="n">
        <v>1898855.03476051</v>
      </c>
      <c r="C3658" s="18" t="n">
        <v>6559216.56689271</v>
      </c>
      <c r="D3658" s="0" t="n">
        <v>1</v>
      </c>
    </row>
    <row r="3659" customFormat="false" ht="15" hidden="false" customHeight="false" outlineLevel="0" collapsed="false">
      <c r="A3659" s="0" t="n">
        <v>3658</v>
      </c>
      <c r="B3659" s="18" t="n">
        <v>777525.168027692</v>
      </c>
      <c r="C3659" s="18" t="n">
        <v>0</v>
      </c>
      <c r="D3659" s="0" t="n">
        <v>0</v>
      </c>
      <c r="E3659" s="19" t="n">
        <v>34.1666666666667</v>
      </c>
    </row>
    <row r="3660" customFormat="false" ht="15" hidden="false" customHeight="false" outlineLevel="0" collapsed="false">
      <c r="A3660" s="0" t="n">
        <v>3659</v>
      </c>
      <c r="B3660" s="18" t="n">
        <v>780285.700364016</v>
      </c>
      <c r="C3660" s="18" t="n">
        <v>0</v>
      </c>
      <c r="D3660" s="0" t="n">
        <v>0</v>
      </c>
      <c r="E3660" s="19" t="n">
        <v>43.3333333333333</v>
      </c>
    </row>
    <row r="3661" customFormat="false" ht="15" hidden="false" customHeight="false" outlineLevel="0" collapsed="false">
      <c r="A3661" s="0" t="n">
        <v>3660</v>
      </c>
      <c r="B3661" s="18" t="n">
        <v>1032055.85199999</v>
      </c>
      <c r="C3661" s="18" t="n">
        <v>0</v>
      </c>
      <c r="D3661" s="0" t="n">
        <v>0</v>
      </c>
      <c r="E3661" s="19" t="n">
        <v>37.5833333333333</v>
      </c>
    </row>
    <row r="3662" customFormat="false" ht="15" hidden="false" customHeight="false" outlineLevel="0" collapsed="false">
      <c r="A3662" s="0" t="n">
        <v>3661</v>
      </c>
      <c r="B3662" s="18" t="n">
        <v>837430.063129427</v>
      </c>
      <c r="C3662" s="18" t="n">
        <v>0</v>
      </c>
      <c r="D3662" s="0" t="n">
        <v>0</v>
      </c>
      <c r="E3662" s="19" t="n">
        <v>44.9166666666667</v>
      </c>
    </row>
    <row r="3663" customFormat="false" ht="15" hidden="false" customHeight="false" outlineLevel="0" collapsed="false">
      <c r="A3663" s="0" t="n">
        <v>3662</v>
      </c>
      <c r="B3663" s="18" t="n">
        <v>938752.889668979</v>
      </c>
      <c r="C3663" s="18" t="n">
        <v>0</v>
      </c>
      <c r="D3663" s="0" t="n">
        <v>0</v>
      </c>
      <c r="E3663" s="19" t="n">
        <v>39.8333333333333</v>
      </c>
    </row>
    <row r="3664" customFormat="false" ht="15" hidden="false" customHeight="false" outlineLevel="0" collapsed="false">
      <c r="A3664" s="0" t="n">
        <v>3663</v>
      </c>
      <c r="B3664" s="18" t="n">
        <v>466877.765670051</v>
      </c>
      <c r="C3664" s="18" t="n">
        <v>0</v>
      </c>
      <c r="D3664" s="0" t="n">
        <v>0</v>
      </c>
      <c r="E3664" s="19" t="n">
        <v>33.6666666666667</v>
      </c>
    </row>
    <row r="3665" customFormat="false" ht="15" hidden="false" customHeight="false" outlineLevel="0" collapsed="false">
      <c r="A3665" s="0" t="n">
        <v>3664</v>
      </c>
      <c r="B3665" s="18" t="n">
        <v>569623.350821166</v>
      </c>
      <c r="C3665" s="18" t="n">
        <v>1450994.98383901</v>
      </c>
      <c r="D3665" s="0" t="n">
        <v>1</v>
      </c>
    </row>
    <row r="3666" customFormat="false" ht="15" hidden="false" customHeight="false" outlineLevel="0" collapsed="false">
      <c r="A3666" s="0" t="n">
        <v>3665</v>
      </c>
      <c r="B3666" s="18" t="n">
        <v>1446720.06759868</v>
      </c>
      <c r="C3666" s="18" t="n">
        <v>1109417.469094</v>
      </c>
      <c r="D3666" s="0" t="n">
        <v>1</v>
      </c>
    </row>
    <row r="3667" customFormat="false" ht="15" hidden="false" customHeight="false" outlineLevel="0" collapsed="false">
      <c r="A3667" s="0" t="n">
        <v>3666</v>
      </c>
      <c r="B3667" s="18" t="n">
        <v>3363177.98298241</v>
      </c>
      <c r="C3667" s="18" t="n">
        <v>19707640.626115</v>
      </c>
      <c r="D3667" s="0" t="n">
        <v>1</v>
      </c>
    </row>
    <row r="3668" customFormat="false" ht="15" hidden="false" customHeight="false" outlineLevel="0" collapsed="false">
      <c r="A3668" s="0" t="n">
        <v>3667</v>
      </c>
      <c r="B3668" s="18" t="n">
        <v>810015.583657973</v>
      </c>
      <c r="C3668" s="18" t="n">
        <v>0</v>
      </c>
      <c r="D3668" s="0" t="n">
        <v>0</v>
      </c>
      <c r="E3668" s="19" t="n">
        <v>38.1666666666667</v>
      </c>
    </row>
    <row r="3669" customFormat="false" ht="15" hidden="false" customHeight="false" outlineLevel="0" collapsed="false">
      <c r="A3669" s="0" t="n">
        <v>3668</v>
      </c>
      <c r="B3669" s="18" t="n">
        <v>1686403.18399164</v>
      </c>
      <c r="C3669" s="18" t="n">
        <v>4033931.98894286</v>
      </c>
      <c r="D3669" s="0" t="n">
        <v>1</v>
      </c>
    </row>
    <row r="3670" customFormat="false" ht="15" hidden="false" customHeight="false" outlineLevel="0" collapsed="false">
      <c r="A3670" s="0" t="n">
        <v>3669</v>
      </c>
      <c r="B3670" s="18" t="n">
        <v>527429.528042882</v>
      </c>
      <c r="C3670" s="18" t="n">
        <v>0</v>
      </c>
      <c r="D3670" s="0" t="n">
        <v>0</v>
      </c>
      <c r="E3670" s="19" t="n">
        <v>35.1666666666667</v>
      </c>
    </row>
    <row r="3671" customFormat="false" ht="15" hidden="false" customHeight="false" outlineLevel="0" collapsed="false">
      <c r="A3671" s="0" t="n">
        <v>3670</v>
      </c>
      <c r="B3671" s="18" t="n">
        <v>1075216.2237123</v>
      </c>
      <c r="C3671" s="18" t="n">
        <v>0</v>
      </c>
      <c r="D3671" s="0" t="n">
        <v>0</v>
      </c>
      <c r="E3671" s="19" t="n">
        <v>46.8333333333333</v>
      </c>
    </row>
    <row r="3672" customFormat="false" ht="15" hidden="false" customHeight="false" outlineLevel="0" collapsed="false">
      <c r="A3672" s="0" t="n">
        <v>3671</v>
      </c>
      <c r="B3672" s="18" t="n">
        <v>1781258.394476</v>
      </c>
      <c r="C3672" s="18" t="n">
        <v>6420975.52465177</v>
      </c>
      <c r="D3672" s="0" t="n">
        <v>1</v>
      </c>
    </row>
    <row r="3673" customFormat="false" ht="15" hidden="false" customHeight="false" outlineLevel="0" collapsed="false">
      <c r="A3673" s="0" t="n">
        <v>3672</v>
      </c>
      <c r="B3673" s="18" t="n">
        <v>2645554.81173736</v>
      </c>
      <c r="C3673" s="18" t="n">
        <v>22668776.0099295</v>
      </c>
      <c r="D3673" s="0" t="n">
        <v>1</v>
      </c>
    </row>
    <row r="3674" customFormat="false" ht="15" hidden="false" customHeight="false" outlineLevel="0" collapsed="false">
      <c r="A3674" s="0" t="n">
        <v>3673</v>
      </c>
      <c r="B3674" s="18" t="n">
        <v>1331319.45956057</v>
      </c>
      <c r="C3674" s="18" t="n">
        <v>1438885.67402705</v>
      </c>
      <c r="D3674" s="0" t="n">
        <v>1</v>
      </c>
    </row>
    <row r="3675" customFormat="false" ht="15" hidden="false" customHeight="false" outlineLevel="0" collapsed="false">
      <c r="A3675" s="0" t="n">
        <v>3674</v>
      </c>
      <c r="B3675" s="18" t="n">
        <v>1026656.56085839</v>
      </c>
      <c r="C3675" s="18" t="n">
        <v>0</v>
      </c>
      <c r="D3675" s="0" t="n">
        <v>0</v>
      </c>
      <c r="E3675" s="19" t="n">
        <v>39.3333333333333</v>
      </c>
    </row>
    <row r="3676" customFormat="false" ht="15" hidden="false" customHeight="false" outlineLevel="0" collapsed="false">
      <c r="A3676" s="0" t="n">
        <v>3675</v>
      </c>
      <c r="B3676" s="18" t="n">
        <v>460124.070914127</v>
      </c>
      <c r="C3676" s="18" t="n">
        <v>0</v>
      </c>
      <c r="D3676" s="0" t="n">
        <v>0</v>
      </c>
      <c r="E3676" s="19" t="n">
        <v>37</v>
      </c>
    </row>
    <row r="3677" customFormat="false" ht="15" hidden="false" customHeight="false" outlineLevel="0" collapsed="false">
      <c r="A3677" s="0" t="n">
        <v>3676</v>
      </c>
      <c r="B3677" s="18" t="n">
        <v>457229.059917898</v>
      </c>
      <c r="C3677" s="18" t="n">
        <v>0</v>
      </c>
      <c r="D3677" s="0" t="n">
        <v>0</v>
      </c>
      <c r="E3677" s="19" t="n">
        <v>34.8333333333333</v>
      </c>
    </row>
    <row r="3678" customFormat="false" ht="15" hidden="false" customHeight="false" outlineLevel="0" collapsed="false">
      <c r="A3678" s="0" t="n">
        <v>3677</v>
      </c>
      <c r="B3678" s="18" t="n">
        <v>608326.890286163</v>
      </c>
      <c r="C3678" s="18" t="n">
        <v>0</v>
      </c>
      <c r="D3678" s="0" t="n">
        <v>0</v>
      </c>
      <c r="E3678" s="19" t="n">
        <v>36.75</v>
      </c>
    </row>
    <row r="3679" customFormat="false" ht="15" hidden="false" customHeight="false" outlineLevel="0" collapsed="false">
      <c r="A3679" s="0" t="n">
        <v>3678</v>
      </c>
      <c r="B3679" s="18" t="n">
        <v>464552.32446023</v>
      </c>
      <c r="C3679" s="18" t="n">
        <v>0</v>
      </c>
      <c r="D3679" s="0" t="n">
        <v>0</v>
      </c>
      <c r="E3679" s="19" t="n">
        <v>31.0833333333333</v>
      </c>
    </row>
    <row r="3680" customFormat="false" ht="15" hidden="false" customHeight="false" outlineLevel="0" collapsed="false">
      <c r="A3680" s="0" t="n">
        <v>3679</v>
      </c>
      <c r="B3680" s="18" t="n">
        <v>494642.975111031</v>
      </c>
      <c r="C3680" s="18" t="n">
        <v>0</v>
      </c>
      <c r="D3680" s="0" t="n">
        <v>0</v>
      </c>
      <c r="E3680" s="19" t="n">
        <v>34.3333333333333</v>
      </c>
    </row>
    <row r="3681" customFormat="false" ht="15" hidden="false" customHeight="false" outlineLevel="0" collapsed="false">
      <c r="A3681" s="0" t="n">
        <v>3680</v>
      </c>
      <c r="B3681" s="18" t="n">
        <v>1196123.79910359</v>
      </c>
      <c r="C3681" s="18" t="n">
        <v>0</v>
      </c>
      <c r="D3681" s="0" t="n">
        <v>0</v>
      </c>
      <c r="E3681" s="19" t="n">
        <v>38.5</v>
      </c>
    </row>
    <row r="3682" customFormat="false" ht="15" hidden="false" customHeight="false" outlineLevel="0" collapsed="false">
      <c r="A3682" s="0" t="n">
        <v>3681</v>
      </c>
      <c r="B3682" s="18" t="n">
        <v>3990663.15714751</v>
      </c>
      <c r="C3682" s="18" t="n">
        <v>31332489.5363511</v>
      </c>
      <c r="D3682" s="0" t="n">
        <v>1</v>
      </c>
    </row>
    <row r="3683" customFormat="false" ht="15" hidden="false" customHeight="false" outlineLevel="0" collapsed="false">
      <c r="A3683" s="0" t="n">
        <v>3682</v>
      </c>
      <c r="B3683" s="18" t="n">
        <v>1421688.57838248</v>
      </c>
      <c r="C3683" s="18" t="n">
        <v>0</v>
      </c>
      <c r="D3683" s="0" t="n">
        <v>0</v>
      </c>
      <c r="E3683" s="19" t="n">
        <v>49.5833333333333</v>
      </c>
    </row>
    <row r="3684" customFormat="false" ht="15" hidden="false" customHeight="false" outlineLevel="0" collapsed="false">
      <c r="A3684" s="0" t="n">
        <v>3683</v>
      </c>
      <c r="B3684" s="18" t="n">
        <v>724670.357048974</v>
      </c>
      <c r="C3684" s="18" t="n">
        <v>0</v>
      </c>
      <c r="D3684" s="0" t="n">
        <v>0</v>
      </c>
      <c r="E3684" s="19" t="n">
        <v>44.6666666666667</v>
      </c>
    </row>
    <row r="3685" customFormat="false" ht="15" hidden="false" customHeight="false" outlineLevel="0" collapsed="false">
      <c r="A3685" s="0" t="n">
        <v>3684</v>
      </c>
      <c r="B3685" s="18" t="n">
        <v>494920.474278255</v>
      </c>
      <c r="C3685" s="18" t="n">
        <v>0</v>
      </c>
      <c r="D3685" s="0" t="n">
        <v>0</v>
      </c>
      <c r="E3685" s="19" t="n">
        <v>31.6666666666667</v>
      </c>
    </row>
    <row r="3686" customFormat="false" ht="15" hidden="false" customHeight="false" outlineLevel="0" collapsed="false">
      <c r="A3686" s="0" t="n">
        <v>3685</v>
      </c>
      <c r="B3686" s="18" t="n">
        <v>1584991.85059736</v>
      </c>
      <c r="C3686" s="18" t="n">
        <v>10405808.4663606</v>
      </c>
      <c r="D3686" s="0" t="n">
        <v>1</v>
      </c>
    </row>
    <row r="3687" customFormat="false" ht="15" hidden="false" customHeight="false" outlineLevel="0" collapsed="false">
      <c r="A3687" s="0" t="n">
        <v>3686</v>
      </c>
      <c r="B3687" s="18" t="n">
        <v>477635.743906479</v>
      </c>
      <c r="C3687" s="18" t="n">
        <v>0</v>
      </c>
      <c r="D3687" s="0" t="n">
        <v>0</v>
      </c>
      <c r="E3687" s="19" t="n">
        <v>34.6666666666667</v>
      </c>
    </row>
    <row r="3688" customFormat="false" ht="15" hidden="false" customHeight="false" outlineLevel="0" collapsed="false">
      <c r="A3688" s="0" t="n">
        <v>3687</v>
      </c>
      <c r="B3688" s="18" t="n">
        <v>577510.896523056</v>
      </c>
      <c r="C3688" s="18" t="n">
        <v>0</v>
      </c>
      <c r="D3688" s="0" t="n">
        <v>0</v>
      </c>
      <c r="E3688" s="19" t="n">
        <v>34.4166666666667</v>
      </c>
    </row>
    <row r="3689" customFormat="false" ht="15" hidden="false" customHeight="false" outlineLevel="0" collapsed="false">
      <c r="A3689" s="0" t="n">
        <v>3688</v>
      </c>
      <c r="B3689" s="18" t="n">
        <v>958239.456918914</v>
      </c>
      <c r="C3689" s="18" t="n">
        <v>0</v>
      </c>
      <c r="D3689" s="0" t="n">
        <v>0</v>
      </c>
      <c r="E3689" s="19" t="n">
        <v>39.75</v>
      </c>
    </row>
    <row r="3690" customFormat="false" ht="15" hidden="false" customHeight="false" outlineLevel="0" collapsed="false">
      <c r="A3690" s="0" t="n">
        <v>3689</v>
      </c>
      <c r="B3690" s="18" t="n">
        <v>1277689.04120412</v>
      </c>
      <c r="C3690" s="18" t="n">
        <v>0</v>
      </c>
      <c r="D3690" s="0" t="n">
        <v>0</v>
      </c>
      <c r="E3690" s="19" t="n">
        <v>49.75</v>
      </c>
    </row>
    <row r="3691" customFormat="false" ht="15" hidden="false" customHeight="false" outlineLevel="0" collapsed="false">
      <c r="A3691" s="0" t="n">
        <v>3690</v>
      </c>
      <c r="B3691" s="18" t="n">
        <v>693880.150275024</v>
      </c>
      <c r="C3691" s="18" t="n">
        <v>0</v>
      </c>
      <c r="D3691" s="0" t="n">
        <v>0</v>
      </c>
      <c r="E3691" s="19" t="n">
        <v>40.8333333333333</v>
      </c>
    </row>
    <row r="3692" customFormat="false" ht="15" hidden="false" customHeight="false" outlineLevel="0" collapsed="false">
      <c r="A3692" s="0" t="n">
        <v>3691</v>
      </c>
      <c r="B3692" s="18" t="n">
        <v>660930.309915045</v>
      </c>
      <c r="C3692" s="18" t="n">
        <v>0</v>
      </c>
      <c r="D3692" s="0" t="n">
        <v>0</v>
      </c>
      <c r="E3692" s="19" t="n">
        <v>38.5833333333333</v>
      </c>
    </row>
    <row r="3693" customFormat="false" ht="15" hidden="false" customHeight="false" outlineLevel="0" collapsed="false">
      <c r="A3693" s="0" t="n">
        <v>3692</v>
      </c>
      <c r="B3693" s="18" t="n">
        <v>611433.487289688</v>
      </c>
      <c r="C3693" s="18" t="n">
        <v>0</v>
      </c>
      <c r="D3693" s="0" t="n">
        <v>0</v>
      </c>
      <c r="E3693" s="19" t="n">
        <v>34.5</v>
      </c>
    </row>
    <row r="3694" customFormat="false" ht="15" hidden="false" customHeight="false" outlineLevel="0" collapsed="false">
      <c r="A3694" s="0" t="n">
        <v>3693</v>
      </c>
      <c r="B3694" s="18" t="n">
        <v>1343434.76638254</v>
      </c>
      <c r="C3694" s="18" t="n">
        <v>1899423.53004396</v>
      </c>
      <c r="D3694" s="0" t="n">
        <v>1</v>
      </c>
    </row>
    <row r="3695" customFormat="false" ht="15" hidden="false" customHeight="false" outlineLevel="0" collapsed="false">
      <c r="A3695" s="0" t="n">
        <v>3694</v>
      </c>
      <c r="B3695" s="18" t="n">
        <v>592005.566364991</v>
      </c>
      <c r="C3695" s="18" t="n">
        <v>0</v>
      </c>
      <c r="D3695" s="0" t="n">
        <v>0</v>
      </c>
      <c r="E3695" s="19" t="n">
        <v>30.9166666666667</v>
      </c>
    </row>
    <row r="3696" customFormat="false" ht="15" hidden="false" customHeight="false" outlineLevel="0" collapsed="false">
      <c r="A3696" s="0" t="n">
        <v>3695</v>
      </c>
      <c r="B3696" s="18" t="n">
        <v>724873.486191734</v>
      </c>
      <c r="C3696" s="18" t="n">
        <v>0</v>
      </c>
      <c r="D3696" s="0" t="n">
        <v>0</v>
      </c>
      <c r="E3696" s="19" t="n">
        <v>38.0833333333333</v>
      </c>
    </row>
    <row r="3697" customFormat="false" ht="15" hidden="false" customHeight="false" outlineLevel="0" collapsed="false">
      <c r="A3697" s="0" t="n">
        <v>3696</v>
      </c>
      <c r="B3697" s="18" t="n">
        <v>433446.805322169</v>
      </c>
      <c r="C3697" s="18" t="n">
        <v>0</v>
      </c>
      <c r="D3697" s="0" t="n">
        <v>0</v>
      </c>
      <c r="E3697" s="19" t="n">
        <v>36.5</v>
      </c>
    </row>
    <row r="3698" customFormat="false" ht="15" hidden="false" customHeight="false" outlineLevel="0" collapsed="false">
      <c r="A3698" s="0" t="n">
        <v>3697</v>
      </c>
      <c r="B3698" s="18" t="n">
        <v>714049.762016729</v>
      </c>
      <c r="C3698" s="18" t="n">
        <v>0</v>
      </c>
      <c r="D3698" s="0" t="n">
        <v>0</v>
      </c>
      <c r="E3698" s="19" t="n">
        <v>39.8333333333333</v>
      </c>
    </row>
    <row r="3699" customFormat="false" ht="15" hidden="false" customHeight="false" outlineLevel="0" collapsed="false">
      <c r="A3699" s="0" t="n">
        <v>3698</v>
      </c>
      <c r="B3699" s="18" t="n">
        <v>1028112.35728541</v>
      </c>
      <c r="C3699" s="18" t="n">
        <v>0</v>
      </c>
      <c r="D3699" s="0" t="n">
        <v>0</v>
      </c>
      <c r="E3699" s="19" t="n">
        <v>53.4166666666667</v>
      </c>
    </row>
    <row r="3700" customFormat="false" ht="15" hidden="false" customHeight="false" outlineLevel="0" collapsed="false">
      <c r="A3700" s="0" t="n">
        <v>3699</v>
      </c>
      <c r="B3700" s="18" t="n">
        <v>1221243.70551647</v>
      </c>
      <c r="C3700" s="18" t="n">
        <v>0</v>
      </c>
      <c r="D3700" s="0" t="n">
        <v>0</v>
      </c>
      <c r="E3700" s="19" t="n">
        <v>40.8333333333333</v>
      </c>
    </row>
    <row r="3701" customFormat="false" ht="15" hidden="false" customHeight="false" outlineLevel="0" collapsed="false">
      <c r="A3701" s="0" t="n">
        <v>3700</v>
      </c>
      <c r="B3701" s="18" t="n">
        <v>846170.893423773</v>
      </c>
      <c r="C3701" s="18" t="n">
        <v>0</v>
      </c>
      <c r="D3701" s="0" t="n">
        <v>0</v>
      </c>
      <c r="E3701" s="19" t="n">
        <v>35.4166666666667</v>
      </c>
    </row>
    <row r="3702" customFormat="false" ht="15" hidden="false" customHeight="false" outlineLevel="0" collapsed="false">
      <c r="A3702" s="0" t="n">
        <v>3701</v>
      </c>
      <c r="B3702" s="18" t="n">
        <v>498898.194152062</v>
      </c>
      <c r="C3702" s="18" t="n">
        <v>0</v>
      </c>
      <c r="D3702" s="0" t="n">
        <v>0</v>
      </c>
      <c r="E3702" s="19" t="n">
        <v>35.4166666666667</v>
      </c>
    </row>
    <row r="3703" customFormat="false" ht="15" hidden="false" customHeight="false" outlineLevel="0" collapsed="false">
      <c r="A3703" s="0" t="n">
        <v>3702</v>
      </c>
      <c r="B3703" s="18" t="n">
        <v>559435.690959849</v>
      </c>
      <c r="C3703" s="18" t="n">
        <v>0</v>
      </c>
      <c r="D3703" s="0" t="n">
        <v>0</v>
      </c>
      <c r="E3703" s="19" t="n">
        <v>35.75</v>
      </c>
    </row>
    <row r="3704" customFormat="false" ht="15" hidden="false" customHeight="false" outlineLevel="0" collapsed="false">
      <c r="A3704" s="0" t="n">
        <v>3703</v>
      </c>
      <c r="B3704" s="18" t="n">
        <v>696848.745887585</v>
      </c>
      <c r="C3704" s="18" t="n">
        <v>0</v>
      </c>
      <c r="D3704" s="0" t="n">
        <v>0</v>
      </c>
      <c r="E3704" s="19" t="n">
        <v>38.8333333333333</v>
      </c>
    </row>
    <row r="3705" customFormat="false" ht="15" hidden="false" customHeight="false" outlineLevel="0" collapsed="false">
      <c r="A3705" s="0" t="n">
        <v>3704</v>
      </c>
      <c r="B3705" s="18" t="n">
        <v>1996276.42305608</v>
      </c>
      <c r="C3705" s="18" t="n">
        <v>4960814.44280316</v>
      </c>
      <c r="D3705" s="0" t="n">
        <v>1</v>
      </c>
    </row>
    <row r="3706" customFormat="false" ht="15" hidden="false" customHeight="false" outlineLevel="0" collapsed="false">
      <c r="A3706" s="0" t="n">
        <v>3705</v>
      </c>
      <c r="B3706" s="18" t="n">
        <v>1263787.33033767</v>
      </c>
      <c r="C3706" s="18" t="n">
        <v>440783.728016553</v>
      </c>
      <c r="D3706" s="0" t="n">
        <v>1</v>
      </c>
    </row>
    <row r="3707" customFormat="false" ht="15" hidden="false" customHeight="false" outlineLevel="0" collapsed="false">
      <c r="A3707" s="0" t="n">
        <v>3706</v>
      </c>
      <c r="B3707" s="18" t="n">
        <v>494875.598692632</v>
      </c>
      <c r="C3707" s="18" t="n">
        <v>0</v>
      </c>
      <c r="D3707" s="0" t="n">
        <v>0</v>
      </c>
      <c r="E3707" s="19" t="n">
        <v>36.8333333333333</v>
      </c>
    </row>
    <row r="3708" customFormat="false" ht="15" hidden="false" customHeight="false" outlineLevel="0" collapsed="false">
      <c r="A3708" s="0" t="n">
        <v>3707</v>
      </c>
      <c r="B3708" s="18" t="n">
        <v>870098.024751267</v>
      </c>
      <c r="C3708" s="18" t="n">
        <v>0</v>
      </c>
      <c r="D3708" s="0" t="n">
        <v>0</v>
      </c>
      <c r="E3708" s="19" t="n">
        <v>42.0833333333333</v>
      </c>
    </row>
    <row r="3709" customFormat="false" ht="15" hidden="false" customHeight="false" outlineLevel="0" collapsed="false">
      <c r="A3709" s="0" t="n">
        <v>3708</v>
      </c>
      <c r="B3709" s="18" t="n">
        <v>2235190.0484574</v>
      </c>
      <c r="C3709" s="18" t="n">
        <v>37671227.5939119</v>
      </c>
      <c r="D3709" s="0" t="n">
        <v>1</v>
      </c>
    </row>
    <row r="3710" customFormat="false" ht="15" hidden="false" customHeight="false" outlineLevel="0" collapsed="false">
      <c r="A3710" s="0" t="n">
        <v>3709</v>
      </c>
      <c r="B3710" s="18" t="n">
        <v>530433.440034046</v>
      </c>
      <c r="C3710" s="18" t="n">
        <v>0</v>
      </c>
      <c r="D3710" s="0" t="n">
        <v>0</v>
      </c>
      <c r="E3710" s="19" t="n">
        <v>37.9166666666667</v>
      </c>
    </row>
    <row r="3711" customFormat="false" ht="15" hidden="false" customHeight="false" outlineLevel="0" collapsed="false">
      <c r="A3711" s="0" t="n">
        <v>3710</v>
      </c>
      <c r="B3711" s="18" t="n">
        <v>2455650.87183665</v>
      </c>
      <c r="C3711" s="18" t="n">
        <v>2058754.62279902</v>
      </c>
      <c r="D3711" s="0" t="n">
        <v>1</v>
      </c>
    </row>
    <row r="3712" customFormat="false" ht="15" hidden="false" customHeight="false" outlineLevel="0" collapsed="false">
      <c r="A3712" s="0" t="n">
        <v>3711</v>
      </c>
      <c r="B3712" s="18" t="n">
        <v>685117.146204437</v>
      </c>
      <c r="C3712" s="18" t="n">
        <v>0</v>
      </c>
      <c r="D3712" s="0" t="n">
        <v>0</v>
      </c>
      <c r="E3712" s="19" t="n">
        <v>36.9166666666667</v>
      </c>
    </row>
    <row r="3713" customFormat="false" ht="15" hidden="false" customHeight="false" outlineLevel="0" collapsed="false">
      <c r="A3713" s="0" t="n">
        <v>3712</v>
      </c>
      <c r="B3713" s="18" t="n">
        <v>954370.15632465</v>
      </c>
      <c r="C3713" s="18" t="n">
        <v>0</v>
      </c>
      <c r="D3713" s="0" t="n">
        <v>0</v>
      </c>
      <c r="E3713" s="19" t="n">
        <v>34.5833333333333</v>
      </c>
    </row>
    <row r="3714" customFormat="false" ht="15" hidden="false" customHeight="false" outlineLevel="0" collapsed="false">
      <c r="A3714" s="0" t="n">
        <v>3713</v>
      </c>
      <c r="B3714" s="18" t="n">
        <v>1348305.52144151</v>
      </c>
      <c r="C3714" s="18" t="n">
        <v>36195085.0749426</v>
      </c>
      <c r="D3714" s="0" t="n">
        <v>1</v>
      </c>
    </row>
    <row r="3715" customFormat="false" ht="15" hidden="false" customHeight="false" outlineLevel="0" collapsed="false">
      <c r="A3715" s="0" t="n">
        <v>3714</v>
      </c>
      <c r="B3715" s="18" t="n">
        <v>1224876.53281614</v>
      </c>
      <c r="C3715" s="18" t="n">
        <v>632221.079176481</v>
      </c>
      <c r="D3715" s="0" t="n">
        <v>1</v>
      </c>
    </row>
    <row r="3716" customFormat="false" ht="15" hidden="false" customHeight="false" outlineLevel="0" collapsed="false">
      <c r="A3716" s="0" t="n">
        <v>3715</v>
      </c>
      <c r="B3716" s="18" t="n">
        <v>722704.957910648</v>
      </c>
      <c r="C3716" s="18" t="n">
        <v>0</v>
      </c>
      <c r="D3716" s="0" t="n">
        <v>0</v>
      </c>
      <c r="E3716" s="19" t="n">
        <v>45.25</v>
      </c>
    </row>
    <row r="3717" customFormat="false" ht="15" hidden="false" customHeight="false" outlineLevel="0" collapsed="false">
      <c r="A3717" s="0" t="n">
        <v>3716</v>
      </c>
      <c r="B3717" s="18" t="n">
        <v>797163.230403728</v>
      </c>
      <c r="C3717" s="18" t="n">
        <v>0</v>
      </c>
      <c r="D3717" s="0" t="n">
        <v>0</v>
      </c>
      <c r="E3717" s="19" t="n">
        <v>41.0833333333333</v>
      </c>
    </row>
    <row r="3718" customFormat="false" ht="15" hidden="false" customHeight="false" outlineLevel="0" collapsed="false">
      <c r="A3718" s="0" t="n">
        <v>3717</v>
      </c>
      <c r="B3718" s="18" t="n">
        <v>1372101.40606625</v>
      </c>
      <c r="C3718" s="18" t="n">
        <v>30143681.3211013</v>
      </c>
      <c r="D3718" s="0" t="n">
        <v>1</v>
      </c>
    </row>
    <row r="3719" customFormat="false" ht="15" hidden="false" customHeight="false" outlineLevel="0" collapsed="false">
      <c r="A3719" s="0" t="n">
        <v>3718</v>
      </c>
      <c r="B3719" s="18" t="n">
        <v>1104500.85834577</v>
      </c>
      <c r="C3719" s="18" t="n">
        <v>0</v>
      </c>
      <c r="D3719" s="0" t="n">
        <v>0</v>
      </c>
      <c r="E3719" s="19" t="n">
        <v>47.4166666666667</v>
      </c>
    </row>
    <row r="3720" customFormat="false" ht="15" hidden="false" customHeight="false" outlineLevel="0" collapsed="false">
      <c r="A3720" s="0" t="n">
        <v>3719</v>
      </c>
      <c r="B3720" s="18" t="n">
        <v>1172553.17998905</v>
      </c>
      <c r="C3720" s="18" t="n">
        <v>600297.800901496</v>
      </c>
      <c r="D3720" s="0" t="n">
        <v>1</v>
      </c>
    </row>
    <row r="3721" customFormat="false" ht="15" hidden="false" customHeight="false" outlineLevel="0" collapsed="false">
      <c r="A3721" s="0" t="n">
        <v>3720</v>
      </c>
      <c r="B3721" s="18" t="n">
        <v>1844790.83691509</v>
      </c>
      <c r="C3721" s="18" t="n">
        <v>4939043.62035596</v>
      </c>
      <c r="D3721" s="0" t="n">
        <v>1</v>
      </c>
    </row>
    <row r="3722" customFormat="false" ht="15" hidden="false" customHeight="false" outlineLevel="0" collapsed="false">
      <c r="A3722" s="0" t="n">
        <v>3721</v>
      </c>
      <c r="B3722" s="18" t="n">
        <v>1305485.55335772</v>
      </c>
      <c r="C3722" s="18" t="n">
        <v>1785680.51322865</v>
      </c>
      <c r="D3722" s="0" t="n">
        <v>1</v>
      </c>
    </row>
    <row r="3723" customFormat="false" ht="15" hidden="false" customHeight="false" outlineLevel="0" collapsed="false">
      <c r="A3723" s="0" t="n">
        <v>3722</v>
      </c>
      <c r="B3723" s="18" t="n">
        <v>1796612.67427552</v>
      </c>
      <c r="C3723" s="18" t="n">
        <v>3779167.54297145</v>
      </c>
      <c r="D3723" s="0" t="n">
        <v>1</v>
      </c>
    </row>
    <row r="3724" customFormat="false" ht="15" hidden="false" customHeight="false" outlineLevel="0" collapsed="false">
      <c r="A3724" s="0" t="n">
        <v>3723</v>
      </c>
      <c r="B3724" s="18" t="n">
        <v>970399.471228703</v>
      </c>
      <c r="C3724" s="18" t="n">
        <v>178346.034921245</v>
      </c>
      <c r="D3724" s="0" t="n">
        <v>1</v>
      </c>
    </row>
    <row r="3725" customFormat="false" ht="15" hidden="false" customHeight="false" outlineLevel="0" collapsed="false">
      <c r="A3725" s="0" t="n">
        <v>3724</v>
      </c>
      <c r="B3725" s="18" t="n">
        <v>1131522.81743781</v>
      </c>
      <c r="C3725" s="18" t="n">
        <v>0</v>
      </c>
      <c r="D3725" s="0" t="n">
        <v>0</v>
      </c>
      <c r="E3725" s="19" t="n">
        <v>46.6666666666667</v>
      </c>
    </row>
    <row r="3726" customFormat="false" ht="15" hidden="false" customHeight="false" outlineLevel="0" collapsed="false">
      <c r="A3726" s="0" t="n">
        <v>3725</v>
      </c>
      <c r="B3726" s="18" t="n">
        <v>262381.307640971</v>
      </c>
      <c r="C3726" s="18" t="n">
        <v>0</v>
      </c>
      <c r="D3726" s="0" t="n">
        <v>0</v>
      </c>
      <c r="E3726" s="19" t="n">
        <v>30.5833333333333</v>
      </c>
    </row>
    <row r="3727" customFormat="false" ht="15" hidden="false" customHeight="false" outlineLevel="0" collapsed="false">
      <c r="A3727" s="0" t="n">
        <v>3726</v>
      </c>
      <c r="B3727" s="18" t="n">
        <v>3583898.5275731</v>
      </c>
      <c r="C3727" s="18" t="n">
        <v>10079053.2973949</v>
      </c>
      <c r="D3727" s="0" t="n">
        <v>1</v>
      </c>
    </row>
    <row r="3728" customFormat="false" ht="15" hidden="false" customHeight="false" outlineLevel="0" collapsed="false">
      <c r="A3728" s="0" t="n">
        <v>3727</v>
      </c>
      <c r="B3728" s="18" t="n">
        <v>723606.64951309</v>
      </c>
      <c r="C3728" s="18" t="n">
        <v>0</v>
      </c>
      <c r="D3728" s="0" t="n">
        <v>0</v>
      </c>
      <c r="E3728" s="19" t="n">
        <v>36.4166666666667</v>
      </c>
    </row>
    <row r="3729" customFormat="false" ht="15" hidden="false" customHeight="false" outlineLevel="0" collapsed="false">
      <c r="A3729" s="0" t="n">
        <v>3728</v>
      </c>
      <c r="B3729" s="18" t="n">
        <v>3396007.12519438</v>
      </c>
      <c r="C3729" s="18" t="n">
        <v>4514900.3234376</v>
      </c>
      <c r="D3729" s="0" t="n">
        <v>1</v>
      </c>
    </row>
    <row r="3730" customFormat="false" ht="15" hidden="false" customHeight="false" outlineLevel="0" collapsed="false">
      <c r="A3730" s="0" t="n">
        <v>3729</v>
      </c>
      <c r="B3730" s="18" t="n">
        <v>598325.198235772</v>
      </c>
      <c r="C3730" s="18" t="n">
        <v>0</v>
      </c>
      <c r="D3730" s="0" t="n">
        <v>0</v>
      </c>
      <c r="E3730" s="19" t="n">
        <v>33.3333333333333</v>
      </c>
    </row>
    <row r="3731" customFormat="false" ht="15" hidden="false" customHeight="false" outlineLevel="0" collapsed="false">
      <c r="A3731" s="0" t="n">
        <v>3730</v>
      </c>
      <c r="B3731" s="18" t="n">
        <v>519779.668277636</v>
      </c>
      <c r="C3731" s="18" t="n">
        <v>0</v>
      </c>
      <c r="D3731" s="0" t="n">
        <v>0</v>
      </c>
      <c r="E3731" s="19" t="n">
        <v>35.8333333333333</v>
      </c>
    </row>
    <row r="3732" customFormat="false" ht="15" hidden="false" customHeight="false" outlineLevel="0" collapsed="false">
      <c r="A3732" s="0" t="n">
        <v>3731</v>
      </c>
      <c r="B3732" s="18" t="n">
        <v>426827.289881339</v>
      </c>
      <c r="C3732" s="18" t="n">
        <v>0</v>
      </c>
      <c r="D3732" s="0" t="n">
        <v>0</v>
      </c>
      <c r="E3732" s="19" t="n">
        <v>36.6666666666667</v>
      </c>
    </row>
    <row r="3733" customFormat="false" ht="15" hidden="false" customHeight="false" outlineLevel="0" collapsed="false">
      <c r="A3733" s="0" t="n">
        <v>3732</v>
      </c>
      <c r="B3733" s="18" t="n">
        <v>440430.440812868</v>
      </c>
      <c r="C3733" s="18" t="n">
        <v>0</v>
      </c>
      <c r="D3733" s="0" t="n">
        <v>0</v>
      </c>
      <c r="E3733" s="19" t="n">
        <v>33.3333333333333</v>
      </c>
    </row>
    <row r="3734" customFormat="false" ht="15" hidden="false" customHeight="false" outlineLevel="0" collapsed="false">
      <c r="A3734" s="0" t="n">
        <v>3733</v>
      </c>
      <c r="B3734" s="18" t="n">
        <v>634825.816450651</v>
      </c>
      <c r="C3734" s="18" t="n">
        <v>0</v>
      </c>
      <c r="D3734" s="0" t="n">
        <v>0</v>
      </c>
      <c r="E3734" s="19" t="n">
        <v>40.9166666666667</v>
      </c>
    </row>
    <row r="3735" customFormat="false" ht="15" hidden="false" customHeight="false" outlineLevel="0" collapsed="false">
      <c r="A3735" s="0" t="n">
        <v>3734</v>
      </c>
      <c r="B3735" s="18" t="n">
        <v>707586.790656386</v>
      </c>
      <c r="C3735" s="18" t="n">
        <v>0</v>
      </c>
      <c r="D3735" s="0" t="n">
        <v>0</v>
      </c>
      <c r="E3735" s="19" t="n">
        <v>35</v>
      </c>
    </row>
    <row r="3736" customFormat="false" ht="15" hidden="false" customHeight="false" outlineLevel="0" collapsed="false">
      <c r="A3736" s="0" t="n">
        <v>3735</v>
      </c>
      <c r="B3736" s="18" t="n">
        <v>1959447.47385866</v>
      </c>
      <c r="C3736" s="18" t="n">
        <v>1809488.35741632</v>
      </c>
      <c r="D3736" s="0" t="n">
        <v>1</v>
      </c>
    </row>
    <row r="3737" customFormat="false" ht="15" hidden="false" customHeight="false" outlineLevel="0" collapsed="false">
      <c r="A3737" s="0" t="n">
        <v>3736</v>
      </c>
      <c r="B3737" s="18" t="n">
        <v>2482898.73192548</v>
      </c>
      <c r="C3737" s="18" t="n">
        <v>23679661.8586324</v>
      </c>
      <c r="D3737" s="0" t="n">
        <v>1</v>
      </c>
    </row>
    <row r="3738" customFormat="false" ht="15" hidden="false" customHeight="false" outlineLevel="0" collapsed="false">
      <c r="A3738" s="0" t="n">
        <v>3737</v>
      </c>
      <c r="B3738" s="18" t="n">
        <v>1004461.57946848</v>
      </c>
      <c r="C3738" s="18" t="n">
        <v>1519471.26454649</v>
      </c>
      <c r="D3738" s="0" t="n">
        <v>1</v>
      </c>
    </row>
    <row r="3739" customFormat="false" ht="15" hidden="false" customHeight="false" outlineLevel="0" collapsed="false">
      <c r="A3739" s="0" t="n">
        <v>3738</v>
      </c>
      <c r="B3739" s="18" t="n">
        <v>328378.407442977</v>
      </c>
      <c r="C3739" s="18" t="n">
        <v>0</v>
      </c>
      <c r="D3739" s="0" t="n">
        <v>0</v>
      </c>
      <c r="E3739" s="19" t="n">
        <v>32.3333333333333</v>
      </c>
    </row>
    <row r="3740" customFormat="false" ht="15" hidden="false" customHeight="false" outlineLevel="0" collapsed="false">
      <c r="A3740" s="0" t="n">
        <v>3739</v>
      </c>
      <c r="B3740" s="18" t="n">
        <v>889102.562628915</v>
      </c>
      <c r="C3740" s="18" t="n">
        <v>0</v>
      </c>
      <c r="D3740" s="0" t="n">
        <v>0</v>
      </c>
      <c r="E3740" s="19" t="n">
        <v>46.6666666666667</v>
      </c>
    </row>
    <row r="3741" customFormat="false" ht="15" hidden="false" customHeight="false" outlineLevel="0" collapsed="false">
      <c r="A3741" s="0" t="n">
        <v>3740</v>
      </c>
      <c r="B3741" s="18" t="n">
        <v>691078.53095164</v>
      </c>
      <c r="C3741" s="18" t="n">
        <v>2723757.68342758</v>
      </c>
      <c r="D3741" s="0" t="n">
        <v>1</v>
      </c>
    </row>
    <row r="3742" customFormat="false" ht="15" hidden="false" customHeight="false" outlineLevel="0" collapsed="false">
      <c r="A3742" s="0" t="n">
        <v>3741</v>
      </c>
      <c r="B3742" s="18" t="n">
        <v>814861.237771728</v>
      </c>
      <c r="C3742" s="18" t="n">
        <v>0</v>
      </c>
      <c r="D3742" s="0" t="n">
        <v>0</v>
      </c>
      <c r="E3742" s="19" t="n">
        <v>38.0833333333333</v>
      </c>
    </row>
    <row r="3743" customFormat="false" ht="15" hidden="false" customHeight="false" outlineLevel="0" collapsed="false">
      <c r="A3743" s="0" t="n">
        <v>3742</v>
      </c>
      <c r="B3743" s="18" t="n">
        <v>922622.866365505</v>
      </c>
      <c r="C3743" s="18" t="n">
        <v>0</v>
      </c>
      <c r="D3743" s="0" t="n">
        <v>0</v>
      </c>
      <c r="E3743" s="19" t="n">
        <v>42.5833333333333</v>
      </c>
    </row>
    <row r="3744" customFormat="false" ht="15" hidden="false" customHeight="false" outlineLevel="0" collapsed="false">
      <c r="A3744" s="0" t="n">
        <v>3743</v>
      </c>
      <c r="B3744" s="18" t="n">
        <v>295546.752589798</v>
      </c>
      <c r="C3744" s="18" t="n">
        <v>0</v>
      </c>
      <c r="D3744" s="0" t="n">
        <v>0</v>
      </c>
      <c r="E3744" s="19" t="n">
        <v>29.6666666666667</v>
      </c>
    </row>
    <row r="3745" customFormat="false" ht="15" hidden="false" customHeight="false" outlineLevel="0" collapsed="false">
      <c r="A3745" s="0" t="n">
        <v>3744</v>
      </c>
      <c r="B3745" s="18" t="n">
        <v>716378.983281182</v>
      </c>
      <c r="C3745" s="18" t="n">
        <v>0</v>
      </c>
      <c r="D3745" s="0" t="n">
        <v>0</v>
      </c>
      <c r="E3745" s="19" t="n">
        <v>37.25</v>
      </c>
    </row>
    <row r="3746" customFormat="false" ht="15" hidden="false" customHeight="false" outlineLevel="0" collapsed="false">
      <c r="A3746" s="0" t="n">
        <v>3745</v>
      </c>
      <c r="B3746" s="18" t="n">
        <v>858854.363363352</v>
      </c>
      <c r="C3746" s="18" t="n">
        <v>0</v>
      </c>
      <c r="D3746" s="0" t="n">
        <v>0</v>
      </c>
      <c r="E3746" s="19" t="n">
        <v>39.5833333333333</v>
      </c>
    </row>
    <row r="3747" customFormat="false" ht="15" hidden="false" customHeight="false" outlineLevel="0" collapsed="false">
      <c r="A3747" s="0" t="n">
        <v>3746</v>
      </c>
      <c r="B3747" s="18" t="n">
        <v>468561.642490988</v>
      </c>
      <c r="C3747" s="18" t="n">
        <v>0</v>
      </c>
      <c r="D3747" s="0" t="n">
        <v>0</v>
      </c>
      <c r="E3747" s="19" t="n">
        <v>34.1666666666667</v>
      </c>
    </row>
    <row r="3748" customFormat="false" ht="15" hidden="false" customHeight="false" outlineLevel="0" collapsed="false">
      <c r="A3748" s="0" t="n">
        <v>3747</v>
      </c>
      <c r="B3748" s="18" t="n">
        <v>734403.980818718</v>
      </c>
      <c r="C3748" s="18" t="n">
        <v>0</v>
      </c>
      <c r="D3748" s="0" t="n">
        <v>0</v>
      </c>
      <c r="E3748" s="19" t="n">
        <v>33.4166666666667</v>
      </c>
    </row>
    <row r="3749" customFormat="false" ht="15" hidden="false" customHeight="false" outlineLevel="0" collapsed="false">
      <c r="A3749" s="0" t="n">
        <v>3748</v>
      </c>
      <c r="B3749" s="18" t="n">
        <v>1425316.91667569</v>
      </c>
      <c r="C3749" s="18" t="n">
        <v>6608696.59297436</v>
      </c>
      <c r="D3749" s="0" t="n">
        <v>1</v>
      </c>
    </row>
    <row r="3750" customFormat="false" ht="15" hidden="false" customHeight="false" outlineLevel="0" collapsed="false">
      <c r="A3750" s="0" t="n">
        <v>3749</v>
      </c>
      <c r="B3750" s="18" t="n">
        <v>1382764.28829345</v>
      </c>
      <c r="C3750" s="18" t="n">
        <v>618512.935694182</v>
      </c>
      <c r="D3750" s="0" t="n">
        <v>1</v>
      </c>
    </row>
    <row r="3751" customFormat="false" ht="15" hidden="false" customHeight="false" outlineLevel="0" collapsed="false">
      <c r="A3751" s="0" t="n">
        <v>3750</v>
      </c>
      <c r="B3751" s="18" t="n">
        <v>2625420.37746443</v>
      </c>
      <c r="C3751" s="18" t="n">
        <v>15643393.9455776</v>
      </c>
      <c r="D3751" s="0" t="n">
        <v>1</v>
      </c>
    </row>
    <row r="3752" customFormat="false" ht="15" hidden="false" customHeight="false" outlineLevel="0" collapsed="false">
      <c r="A3752" s="0" t="n">
        <v>3751</v>
      </c>
      <c r="B3752" s="18" t="n">
        <v>412086.635426466</v>
      </c>
      <c r="C3752" s="18" t="n">
        <v>0</v>
      </c>
      <c r="D3752" s="0" t="n">
        <v>0</v>
      </c>
      <c r="E3752" s="19" t="n">
        <v>33.3333333333333</v>
      </c>
    </row>
    <row r="3753" customFormat="false" ht="15" hidden="false" customHeight="false" outlineLevel="0" collapsed="false">
      <c r="A3753" s="0" t="n">
        <v>3752</v>
      </c>
      <c r="B3753" s="18" t="n">
        <v>764748.091332285</v>
      </c>
      <c r="C3753" s="18" t="n">
        <v>0</v>
      </c>
      <c r="D3753" s="0" t="n">
        <v>0</v>
      </c>
      <c r="E3753" s="19" t="n">
        <v>41.25</v>
      </c>
    </row>
    <row r="3754" customFormat="false" ht="15" hidden="false" customHeight="false" outlineLevel="0" collapsed="false">
      <c r="A3754" s="0" t="n">
        <v>3753</v>
      </c>
      <c r="B3754" s="18" t="n">
        <v>2000974.80973793</v>
      </c>
      <c r="C3754" s="18" t="n">
        <v>5603153.73632262</v>
      </c>
      <c r="D3754" s="0" t="n">
        <v>1</v>
      </c>
    </row>
    <row r="3755" customFormat="false" ht="15" hidden="false" customHeight="false" outlineLevel="0" collapsed="false">
      <c r="A3755" s="0" t="n">
        <v>3754</v>
      </c>
      <c r="B3755" s="18" t="n">
        <v>1053023.73376672</v>
      </c>
      <c r="C3755" s="18" t="n">
        <v>601725.877627433</v>
      </c>
      <c r="D3755" s="0" t="n">
        <v>1</v>
      </c>
    </row>
    <row r="3756" customFormat="false" ht="15" hidden="false" customHeight="false" outlineLevel="0" collapsed="false">
      <c r="A3756" s="0" t="n">
        <v>3755</v>
      </c>
      <c r="B3756" s="18" t="n">
        <v>358252.761554104</v>
      </c>
      <c r="C3756" s="18" t="n">
        <v>0</v>
      </c>
      <c r="D3756" s="0" t="n">
        <v>0</v>
      </c>
      <c r="E3756" s="19" t="n">
        <v>28.9166666666667</v>
      </c>
    </row>
    <row r="3757" customFormat="false" ht="15" hidden="false" customHeight="false" outlineLevel="0" collapsed="false">
      <c r="A3757" s="0" t="n">
        <v>3756</v>
      </c>
      <c r="B3757" s="18" t="n">
        <v>452368.558086778</v>
      </c>
      <c r="C3757" s="18" t="n">
        <v>0</v>
      </c>
      <c r="D3757" s="0" t="n">
        <v>0</v>
      </c>
      <c r="E3757" s="19" t="n">
        <v>35.9166666666667</v>
      </c>
    </row>
    <row r="3758" customFormat="false" ht="15" hidden="false" customHeight="false" outlineLevel="0" collapsed="false">
      <c r="A3758" s="0" t="n">
        <v>3757</v>
      </c>
      <c r="B3758" s="18" t="n">
        <v>703067.776183807</v>
      </c>
      <c r="C3758" s="18" t="n">
        <v>0</v>
      </c>
      <c r="D3758" s="0" t="n">
        <v>0</v>
      </c>
      <c r="E3758" s="19" t="n">
        <v>37.3333333333333</v>
      </c>
    </row>
    <row r="3759" customFormat="false" ht="15" hidden="false" customHeight="false" outlineLevel="0" collapsed="false">
      <c r="A3759" s="0" t="n">
        <v>3758</v>
      </c>
      <c r="B3759" s="18" t="n">
        <v>1361463.16684063</v>
      </c>
      <c r="C3759" s="18" t="n">
        <v>4805505.18453223</v>
      </c>
      <c r="D3759" s="0" t="n">
        <v>1</v>
      </c>
    </row>
    <row r="3760" customFormat="false" ht="15" hidden="false" customHeight="false" outlineLevel="0" collapsed="false">
      <c r="A3760" s="0" t="n">
        <v>3759</v>
      </c>
      <c r="B3760" s="18" t="n">
        <v>731370.305472585</v>
      </c>
      <c r="C3760" s="18" t="n">
        <v>0</v>
      </c>
      <c r="D3760" s="0" t="n">
        <v>0</v>
      </c>
      <c r="E3760" s="19" t="n">
        <v>37.25</v>
      </c>
    </row>
    <row r="3761" customFormat="false" ht="15" hidden="false" customHeight="false" outlineLevel="0" collapsed="false">
      <c r="A3761" s="0" t="n">
        <v>3760</v>
      </c>
      <c r="B3761" s="18" t="n">
        <v>468713.200646928</v>
      </c>
      <c r="C3761" s="18" t="n">
        <v>0</v>
      </c>
      <c r="D3761" s="0" t="n">
        <v>0</v>
      </c>
      <c r="E3761" s="19" t="n">
        <v>42.4166666666667</v>
      </c>
    </row>
    <row r="3762" customFormat="false" ht="15" hidden="false" customHeight="false" outlineLevel="0" collapsed="false">
      <c r="A3762" s="0" t="n">
        <v>3761</v>
      </c>
      <c r="B3762" s="18" t="n">
        <v>1434272.73599309</v>
      </c>
      <c r="C3762" s="18" t="n">
        <v>2032369.11634606</v>
      </c>
      <c r="D3762" s="0" t="n">
        <v>1</v>
      </c>
    </row>
    <row r="3763" customFormat="false" ht="15" hidden="false" customHeight="false" outlineLevel="0" collapsed="false">
      <c r="A3763" s="0" t="n">
        <v>3762</v>
      </c>
      <c r="B3763" s="18" t="n">
        <v>813330.20268274</v>
      </c>
      <c r="C3763" s="18" t="n">
        <v>0</v>
      </c>
      <c r="D3763" s="0" t="n">
        <v>0</v>
      </c>
      <c r="E3763" s="19" t="n">
        <v>37.3333333333333</v>
      </c>
    </row>
    <row r="3764" customFormat="false" ht="15" hidden="false" customHeight="false" outlineLevel="0" collapsed="false">
      <c r="A3764" s="0" t="n">
        <v>3763</v>
      </c>
      <c r="B3764" s="18" t="n">
        <v>1138514.20167016</v>
      </c>
      <c r="C3764" s="18" t="n">
        <v>0</v>
      </c>
      <c r="D3764" s="0" t="n">
        <v>0</v>
      </c>
      <c r="E3764" s="19" t="n">
        <v>43</v>
      </c>
    </row>
    <row r="3765" customFormat="false" ht="15" hidden="false" customHeight="false" outlineLevel="0" collapsed="false">
      <c r="A3765" s="0" t="n">
        <v>3764</v>
      </c>
      <c r="B3765" s="18" t="n">
        <v>1484428.22251997</v>
      </c>
      <c r="C3765" s="18" t="n">
        <v>0</v>
      </c>
      <c r="D3765" s="0" t="n">
        <v>0</v>
      </c>
      <c r="E3765" s="19" t="n">
        <v>39</v>
      </c>
    </row>
    <row r="3766" customFormat="false" ht="15" hidden="false" customHeight="false" outlineLevel="0" collapsed="false">
      <c r="A3766" s="0" t="n">
        <v>3765</v>
      </c>
      <c r="B3766" s="18" t="n">
        <v>411876.039974975</v>
      </c>
      <c r="C3766" s="18" t="n">
        <v>0</v>
      </c>
      <c r="D3766" s="0" t="n">
        <v>0</v>
      </c>
      <c r="E3766" s="19" t="n">
        <v>31.3333333333333</v>
      </c>
    </row>
    <row r="3767" customFormat="false" ht="15" hidden="false" customHeight="false" outlineLevel="0" collapsed="false">
      <c r="A3767" s="0" t="n">
        <v>3766</v>
      </c>
      <c r="B3767" s="18" t="n">
        <v>1088371.89587944</v>
      </c>
      <c r="C3767" s="18" t="n">
        <v>0</v>
      </c>
      <c r="D3767" s="0" t="n">
        <v>0</v>
      </c>
      <c r="E3767" s="19" t="n">
        <v>46.3333333333333</v>
      </c>
    </row>
    <row r="3768" customFormat="false" ht="15" hidden="false" customHeight="false" outlineLevel="0" collapsed="false">
      <c r="A3768" s="0" t="n">
        <v>3767</v>
      </c>
      <c r="B3768" s="18" t="n">
        <v>2755955.51586683</v>
      </c>
      <c r="C3768" s="18" t="n">
        <v>29280047.4213772</v>
      </c>
      <c r="D3768" s="0" t="n">
        <v>1</v>
      </c>
    </row>
    <row r="3769" customFormat="false" ht="15" hidden="false" customHeight="false" outlineLevel="0" collapsed="false">
      <c r="A3769" s="0" t="n">
        <v>3768</v>
      </c>
      <c r="B3769" s="18" t="n">
        <v>864223.640830701</v>
      </c>
      <c r="C3769" s="18" t="n">
        <v>0</v>
      </c>
      <c r="D3769" s="0" t="n">
        <v>0</v>
      </c>
      <c r="E3769" s="19" t="n">
        <v>52.1666666666667</v>
      </c>
    </row>
    <row r="3770" customFormat="false" ht="15" hidden="false" customHeight="false" outlineLevel="0" collapsed="false">
      <c r="A3770" s="0" t="n">
        <v>3769</v>
      </c>
      <c r="B3770" s="18" t="n">
        <v>1014150.64977735</v>
      </c>
      <c r="C3770" s="18" t="n">
        <v>0</v>
      </c>
      <c r="D3770" s="0" t="n">
        <v>0</v>
      </c>
      <c r="E3770" s="19" t="n">
        <v>43.9166666666667</v>
      </c>
    </row>
    <row r="3771" customFormat="false" ht="15" hidden="false" customHeight="false" outlineLevel="0" collapsed="false">
      <c r="A3771" s="0" t="n">
        <v>3770</v>
      </c>
      <c r="B3771" s="18" t="n">
        <v>1403909.61407843</v>
      </c>
      <c r="C3771" s="18" t="n">
        <v>103175.792604422</v>
      </c>
      <c r="D3771" s="0" t="n">
        <v>1</v>
      </c>
    </row>
    <row r="3772" customFormat="false" ht="15" hidden="false" customHeight="false" outlineLevel="0" collapsed="false">
      <c r="A3772" s="0" t="n">
        <v>3771</v>
      </c>
      <c r="B3772" s="18" t="n">
        <v>266395.476955384</v>
      </c>
      <c r="C3772" s="18" t="n">
        <v>0</v>
      </c>
      <c r="D3772" s="0" t="n">
        <v>0</v>
      </c>
      <c r="E3772" s="19" t="n">
        <v>29.5833333333333</v>
      </c>
    </row>
    <row r="3773" customFormat="false" ht="15" hidden="false" customHeight="false" outlineLevel="0" collapsed="false">
      <c r="A3773" s="0" t="n">
        <v>3772</v>
      </c>
      <c r="B3773" s="18" t="n">
        <v>465777.453811369</v>
      </c>
      <c r="C3773" s="18" t="n">
        <v>0</v>
      </c>
      <c r="D3773" s="0" t="n">
        <v>0</v>
      </c>
      <c r="E3773" s="19" t="n">
        <v>30.75</v>
      </c>
    </row>
    <row r="3774" customFormat="false" ht="15" hidden="false" customHeight="false" outlineLevel="0" collapsed="false">
      <c r="A3774" s="0" t="n">
        <v>3773</v>
      </c>
      <c r="B3774" s="18" t="n">
        <v>601396.728400275</v>
      </c>
      <c r="C3774" s="18" t="n">
        <v>1239028.37867985</v>
      </c>
      <c r="D3774" s="0" t="n">
        <v>1</v>
      </c>
    </row>
    <row r="3775" customFormat="false" ht="15" hidden="false" customHeight="false" outlineLevel="0" collapsed="false">
      <c r="A3775" s="0" t="n">
        <v>3774</v>
      </c>
      <c r="B3775" s="18" t="n">
        <v>2094086.09444439</v>
      </c>
      <c r="C3775" s="18" t="n">
        <v>12010423.2216721</v>
      </c>
      <c r="D3775" s="0" t="n">
        <v>1</v>
      </c>
    </row>
    <row r="3776" customFormat="false" ht="15" hidden="false" customHeight="false" outlineLevel="0" collapsed="false">
      <c r="A3776" s="0" t="n">
        <v>3775</v>
      </c>
      <c r="B3776" s="18" t="n">
        <v>750555.392930594</v>
      </c>
      <c r="C3776" s="18" t="n">
        <v>0</v>
      </c>
      <c r="D3776" s="0" t="n">
        <v>0</v>
      </c>
      <c r="E3776" s="19" t="n">
        <v>37.3333333333333</v>
      </c>
    </row>
    <row r="3777" customFormat="false" ht="15" hidden="false" customHeight="false" outlineLevel="0" collapsed="false">
      <c r="A3777" s="0" t="n">
        <v>3776</v>
      </c>
      <c r="B3777" s="18" t="n">
        <v>425974.600943223</v>
      </c>
      <c r="C3777" s="18" t="n">
        <v>0</v>
      </c>
      <c r="D3777" s="0" t="n">
        <v>0</v>
      </c>
      <c r="E3777" s="19" t="n">
        <v>31.5833333333333</v>
      </c>
    </row>
    <row r="3778" customFormat="false" ht="15" hidden="false" customHeight="false" outlineLevel="0" collapsed="false">
      <c r="A3778" s="0" t="n">
        <v>3777</v>
      </c>
      <c r="B3778" s="18" t="n">
        <v>946029.022346766</v>
      </c>
      <c r="C3778" s="18" t="n">
        <v>377033.93509031</v>
      </c>
      <c r="D3778" s="0" t="n">
        <v>1</v>
      </c>
    </row>
    <row r="3779" customFormat="false" ht="15" hidden="false" customHeight="false" outlineLevel="0" collapsed="false">
      <c r="A3779" s="0" t="n">
        <v>3778</v>
      </c>
      <c r="B3779" s="18" t="n">
        <v>1281127.13014192</v>
      </c>
      <c r="C3779" s="18" t="n">
        <v>0</v>
      </c>
      <c r="D3779" s="0" t="n">
        <v>0</v>
      </c>
      <c r="E3779" s="19" t="n">
        <v>45.3333333333333</v>
      </c>
    </row>
    <row r="3780" customFormat="false" ht="15" hidden="false" customHeight="false" outlineLevel="0" collapsed="false">
      <c r="A3780" s="0" t="n">
        <v>3779</v>
      </c>
      <c r="B3780" s="18" t="n">
        <v>713873.147176703</v>
      </c>
      <c r="C3780" s="18" t="n">
        <v>0</v>
      </c>
      <c r="D3780" s="0" t="n">
        <v>0</v>
      </c>
      <c r="E3780" s="19" t="n">
        <v>39</v>
      </c>
    </row>
    <row r="3781" customFormat="false" ht="15" hidden="false" customHeight="false" outlineLevel="0" collapsed="false">
      <c r="A3781" s="0" t="n">
        <v>3780</v>
      </c>
      <c r="B3781" s="18" t="n">
        <v>786082.900946252</v>
      </c>
      <c r="C3781" s="18" t="n">
        <v>625289.574791629</v>
      </c>
      <c r="D3781" s="0" t="n">
        <v>1</v>
      </c>
    </row>
    <row r="3782" customFormat="false" ht="15" hidden="false" customHeight="false" outlineLevel="0" collapsed="false">
      <c r="A3782" s="0" t="n">
        <v>3781</v>
      </c>
      <c r="B3782" s="18" t="n">
        <v>764406.678305355</v>
      </c>
      <c r="C3782" s="18" t="n">
        <v>0</v>
      </c>
      <c r="D3782" s="0" t="n">
        <v>0</v>
      </c>
      <c r="E3782" s="19" t="n">
        <v>41.3333333333333</v>
      </c>
    </row>
    <row r="3783" customFormat="false" ht="15" hidden="false" customHeight="false" outlineLevel="0" collapsed="false">
      <c r="A3783" s="0" t="n">
        <v>3782</v>
      </c>
      <c r="B3783" s="18" t="n">
        <v>1079122.80241303</v>
      </c>
      <c r="C3783" s="18" t="n">
        <v>329602.331977025</v>
      </c>
      <c r="D3783" s="0" t="n">
        <v>1</v>
      </c>
    </row>
    <row r="3784" customFormat="false" ht="15" hidden="false" customHeight="false" outlineLevel="0" collapsed="false">
      <c r="A3784" s="0" t="n">
        <v>3783</v>
      </c>
      <c r="B3784" s="18" t="n">
        <v>591761.888411699</v>
      </c>
      <c r="C3784" s="18" t="n">
        <v>0</v>
      </c>
      <c r="D3784" s="0" t="n">
        <v>0</v>
      </c>
      <c r="E3784" s="19" t="n">
        <v>36.75</v>
      </c>
    </row>
    <row r="3785" customFormat="false" ht="15" hidden="false" customHeight="false" outlineLevel="0" collapsed="false">
      <c r="A3785" s="0" t="n">
        <v>3784</v>
      </c>
      <c r="B3785" s="18" t="n">
        <v>2389743.78756677</v>
      </c>
      <c r="C3785" s="18" t="n">
        <v>2514603.3510056</v>
      </c>
      <c r="D3785" s="0" t="n">
        <v>1</v>
      </c>
    </row>
    <row r="3786" customFormat="false" ht="15" hidden="false" customHeight="false" outlineLevel="0" collapsed="false">
      <c r="A3786" s="0" t="n">
        <v>3785</v>
      </c>
      <c r="B3786" s="18" t="n">
        <v>863698.175906972</v>
      </c>
      <c r="C3786" s="18" t="n">
        <v>0</v>
      </c>
      <c r="D3786" s="0" t="n">
        <v>0</v>
      </c>
      <c r="E3786" s="19" t="n">
        <v>40.1666666666667</v>
      </c>
    </row>
    <row r="3787" customFormat="false" ht="15" hidden="false" customHeight="false" outlineLevel="0" collapsed="false">
      <c r="A3787" s="0" t="n">
        <v>3786</v>
      </c>
      <c r="B3787" s="18" t="n">
        <v>419417.4340377</v>
      </c>
      <c r="C3787" s="18" t="n">
        <v>0</v>
      </c>
      <c r="D3787" s="0" t="n">
        <v>0</v>
      </c>
      <c r="E3787" s="19" t="n">
        <v>34.75</v>
      </c>
    </row>
    <row r="3788" customFormat="false" ht="15" hidden="false" customHeight="false" outlineLevel="0" collapsed="false">
      <c r="A3788" s="0" t="n">
        <v>3787</v>
      </c>
      <c r="B3788" s="18" t="n">
        <v>805976.893705563</v>
      </c>
      <c r="C3788" s="18" t="n">
        <v>2348953.03127158</v>
      </c>
      <c r="D3788" s="0" t="n">
        <v>1</v>
      </c>
    </row>
    <row r="3789" customFormat="false" ht="15" hidden="false" customHeight="false" outlineLevel="0" collapsed="false">
      <c r="A3789" s="0" t="n">
        <v>3788</v>
      </c>
      <c r="B3789" s="18" t="n">
        <v>1185540.29166689</v>
      </c>
      <c r="C3789" s="18" t="n">
        <v>1763244.29124072</v>
      </c>
      <c r="D3789" s="0" t="n">
        <v>1</v>
      </c>
    </row>
    <row r="3790" customFormat="false" ht="15" hidden="false" customHeight="false" outlineLevel="0" collapsed="false">
      <c r="A3790" s="0" t="n">
        <v>3789</v>
      </c>
      <c r="B3790" s="18" t="n">
        <v>811994.965578005</v>
      </c>
      <c r="C3790" s="18" t="n">
        <v>0</v>
      </c>
      <c r="D3790" s="0" t="n">
        <v>0</v>
      </c>
      <c r="E3790" s="19" t="n">
        <v>41.1666666666667</v>
      </c>
    </row>
    <row r="3791" customFormat="false" ht="15" hidden="false" customHeight="false" outlineLevel="0" collapsed="false">
      <c r="A3791" s="0" t="n">
        <v>3790</v>
      </c>
      <c r="B3791" s="18" t="n">
        <v>851782.18066141</v>
      </c>
      <c r="C3791" s="18" t="n">
        <v>198059.773316382</v>
      </c>
      <c r="D3791" s="0" t="n">
        <v>1</v>
      </c>
    </row>
    <row r="3792" customFormat="false" ht="15" hidden="false" customHeight="false" outlineLevel="0" collapsed="false">
      <c r="A3792" s="0" t="n">
        <v>3791</v>
      </c>
      <c r="B3792" s="18" t="n">
        <v>910023.713279845</v>
      </c>
      <c r="C3792" s="18" t="n">
        <v>0</v>
      </c>
      <c r="D3792" s="0" t="n">
        <v>0</v>
      </c>
      <c r="E3792" s="19" t="n">
        <v>45.25</v>
      </c>
    </row>
    <row r="3793" customFormat="false" ht="15" hidden="false" customHeight="false" outlineLevel="0" collapsed="false">
      <c r="A3793" s="0" t="n">
        <v>3792</v>
      </c>
      <c r="B3793" s="18" t="n">
        <v>642726.327356489</v>
      </c>
      <c r="C3793" s="18" t="n">
        <v>0</v>
      </c>
      <c r="D3793" s="0" t="n">
        <v>0</v>
      </c>
      <c r="E3793" s="19" t="n">
        <v>35.75</v>
      </c>
    </row>
    <row r="3794" customFormat="false" ht="15" hidden="false" customHeight="false" outlineLevel="0" collapsed="false">
      <c r="A3794" s="0" t="n">
        <v>3793</v>
      </c>
      <c r="B3794" s="18" t="n">
        <v>610151.47322552</v>
      </c>
      <c r="C3794" s="18" t="n">
        <v>0</v>
      </c>
      <c r="D3794" s="0" t="n">
        <v>0</v>
      </c>
      <c r="E3794" s="19" t="n">
        <v>37.0833333333333</v>
      </c>
    </row>
    <row r="3795" customFormat="false" ht="15" hidden="false" customHeight="false" outlineLevel="0" collapsed="false">
      <c r="A3795" s="0" t="n">
        <v>3794</v>
      </c>
      <c r="B3795" s="18" t="n">
        <v>896409.162076544</v>
      </c>
      <c r="C3795" s="18" t="n">
        <v>0</v>
      </c>
      <c r="D3795" s="0" t="n">
        <v>0</v>
      </c>
      <c r="E3795" s="19" t="n">
        <v>39.5</v>
      </c>
    </row>
    <row r="3796" customFormat="false" ht="15" hidden="false" customHeight="false" outlineLevel="0" collapsed="false">
      <c r="A3796" s="0" t="n">
        <v>3795</v>
      </c>
      <c r="B3796" s="18" t="n">
        <v>1281764.53916342</v>
      </c>
      <c r="C3796" s="18" t="n">
        <v>0</v>
      </c>
      <c r="D3796" s="0" t="n">
        <v>0</v>
      </c>
      <c r="E3796" s="19" t="n">
        <v>52.1666666666667</v>
      </c>
    </row>
    <row r="3797" customFormat="false" ht="15" hidden="false" customHeight="false" outlineLevel="0" collapsed="false">
      <c r="A3797" s="0" t="n">
        <v>3796</v>
      </c>
      <c r="B3797" s="18" t="n">
        <v>657669.20163947</v>
      </c>
      <c r="C3797" s="18" t="n">
        <v>0</v>
      </c>
      <c r="D3797" s="0" t="n">
        <v>0</v>
      </c>
      <c r="E3797" s="19" t="n">
        <v>47.5</v>
      </c>
    </row>
    <row r="3798" customFormat="false" ht="15" hidden="false" customHeight="false" outlineLevel="0" collapsed="false">
      <c r="A3798" s="0" t="n">
        <v>3797</v>
      </c>
      <c r="B3798" s="18" t="n">
        <v>870149.293079204</v>
      </c>
      <c r="C3798" s="18" t="n">
        <v>0</v>
      </c>
      <c r="D3798" s="0" t="n">
        <v>0</v>
      </c>
      <c r="E3798" s="19" t="n">
        <v>41.9166666666667</v>
      </c>
    </row>
    <row r="3799" customFormat="false" ht="15" hidden="false" customHeight="false" outlineLevel="0" collapsed="false">
      <c r="A3799" s="0" t="n">
        <v>3798</v>
      </c>
      <c r="B3799" s="18" t="n">
        <v>2106636.15467055</v>
      </c>
      <c r="C3799" s="18" t="n">
        <v>21729405.3806461</v>
      </c>
      <c r="D3799" s="0" t="n">
        <v>1</v>
      </c>
    </row>
    <row r="3800" customFormat="false" ht="15" hidden="false" customHeight="false" outlineLevel="0" collapsed="false">
      <c r="A3800" s="0" t="n">
        <v>3799</v>
      </c>
      <c r="B3800" s="18" t="n">
        <v>763045.461232664</v>
      </c>
      <c r="C3800" s="18" t="n">
        <v>0</v>
      </c>
      <c r="D3800" s="0" t="n">
        <v>0</v>
      </c>
      <c r="E3800" s="19" t="n">
        <v>52.6666666666667</v>
      </c>
    </row>
    <row r="3801" customFormat="false" ht="15" hidden="false" customHeight="false" outlineLevel="0" collapsed="false">
      <c r="A3801" s="0" t="n">
        <v>3800</v>
      </c>
      <c r="B3801" s="18" t="n">
        <v>1078866.25354874</v>
      </c>
      <c r="C3801" s="18" t="n">
        <v>17847718.0141792</v>
      </c>
      <c r="D3801" s="0" t="n">
        <v>1</v>
      </c>
    </row>
    <row r="3802" customFormat="false" ht="15" hidden="false" customHeight="false" outlineLevel="0" collapsed="false">
      <c r="A3802" s="0" t="n">
        <v>3801</v>
      </c>
      <c r="B3802" s="18" t="n">
        <v>1354212.75628623</v>
      </c>
      <c r="C3802" s="18" t="n">
        <v>0</v>
      </c>
      <c r="D3802" s="0" t="n">
        <v>0</v>
      </c>
      <c r="E3802" s="19" t="n">
        <v>47.5</v>
      </c>
    </row>
    <row r="3803" customFormat="false" ht="15" hidden="false" customHeight="false" outlineLevel="0" collapsed="false">
      <c r="A3803" s="0" t="n">
        <v>3802</v>
      </c>
      <c r="B3803" s="18" t="n">
        <v>3528949.89113013</v>
      </c>
      <c r="C3803" s="18" t="n">
        <v>19804888.3005418</v>
      </c>
      <c r="D3803" s="0" t="n">
        <v>1</v>
      </c>
    </row>
    <row r="3804" customFormat="false" ht="15" hidden="false" customHeight="false" outlineLevel="0" collapsed="false">
      <c r="A3804" s="0" t="n">
        <v>3803</v>
      </c>
      <c r="B3804" s="18" t="n">
        <v>367227.942881994</v>
      </c>
      <c r="C3804" s="18" t="n">
        <v>0</v>
      </c>
      <c r="D3804" s="0" t="n">
        <v>0</v>
      </c>
      <c r="E3804" s="19" t="n">
        <v>33.9166666666667</v>
      </c>
    </row>
    <row r="3805" customFormat="false" ht="15" hidden="false" customHeight="false" outlineLevel="0" collapsed="false">
      <c r="A3805" s="0" t="n">
        <v>3804</v>
      </c>
      <c r="B3805" s="18" t="n">
        <v>1184157.97282859</v>
      </c>
      <c r="C3805" s="18" t="n">
        <v>1112431.95880025</v>
      </c>
      <c r="D3805" s="0" t="n">
        <v>1</v>
      </c>
    </row>
    <row r="3806" customFormat="false" ht="15" hidden="false" customHeight="false" outlineLevel="0" collapsed="false">
      <c r="A3806" s="0" t="n">
        <v>3805</v>
      </c>
      <c r="B3806" s="18" t="n">
        <v>633291.408534354</v>
      </c>
      <c r="C3806" s="18" t="n">
        <v>0</v>
      </c>
      <c r="D3806" s="0" t="n">
        <v>0</v>
      </c>
      <c r="E3806" s="19" t="n">
        <v>37.8333333333333</v>
      </c>
    </row>
    <row r="3807" customFormat="false" ht="15" hidden="false" customHeight="false" outlineLevel="0" collapsed="false">
      <c r="A3807" s="0" t="n">
        <v>3806</v>
      </c>
      <c r="B3807" s="18" t="n">
        <v>811330.601259096</v>
      </c>
      <c r="C3807" s="18" t="n">
        <v>0</v>
      </c>
      <c r="D3807" s="0" t="n">
        <v>0</v>
      </c>
      <c r="E3807" s="19" t="n">
        <v>43.5833333333333</v>
      </c>
    </row>
    <row r="3808" customFormat="false" ht="15" hidden="false" customHeight="false" outlineLevel="0" collapsed="false">
      <c r="A3808" s="0" t="n">
        <v>3807</v>
      </c>
      <c r="B3808" s="18" t="n">
        <v>891297.649925629</v>
      </c>
      <c r="C3808" s="18" t="n">
        <v>0</v>
      </c>
      <c r="D3808" s="0" t="n">
        <v>0</v>
      </c>
      <c r="E3808" s="19" t="n">
        <v>51.3333333333333</v>
      </c>
    </row>
    <row r="3809" customFormat="false" ht="15" hidden="false" customHeight="false" outlineLevel="0" collapsed="false">
      <c r="A3809" s="0" t="n">
        <v>3808</v>
      </c>
      <c r="B3809" s="18" t="n">
        <v>1005230.59024969</v>
      </c>
      <c r="C3809" s="18" t="n">
        <v>10264222.8250503</v>
      </c>
      <c r="D3809" s="0" t="n">
        <v>1</v>
      </c>
    </row>
    <row r="3810" customFormat="false" ht="15" hidden="false" customHeight="false" outlineLevel="0" collapsed="false">
      <c r="A3810" s="0" t="n">
        <v>3809</v>
      </c>
      <c r="B3810" s="18" t="n">
        <v>546417.684419662</v>
      </c>
      <c r="C3810" s="18" t="n">
        <v>0</v>
      </c>
      <c r="D3810" s="0" t="n">
        <v>0</v>
      </c>
      <c r="E3810" s="19" t="n">
        <v>32.5</v>
      </c>
    </row>
    <row r="3811" customFormat="false" ht="15" hidden="false" customHeight="false" outlineLevel="0" collapsed="false">
      <c r="A3811" s="0" t="n">
        <v>3810</v>
      </c>
      <c r="B3811" s="18" t="n">
        <v>1967933.63642826</v>
      </c>
      <c r="C3811" s="18" t="n">
        <v>16881909.8353768</v>
      </c>
      <c r="D3811" s="0" t="n">
        <v>1</v>
      </c>
    </row>
    <row r="3812" customFormat="false" ht="15" hidden="false" customHeight="false" outlineLevel="0" collapsed="false">
      <c r="A3812" s="0" t="n">
        <v>3811</v>
      </c>
      <c r="B3812" s="18" t="n">
        <v>700197.111919377</v>
      </c>
      <c r="C3812" s="18" t="n">
        <v>1405089.75056627</v>
      </c>
      <c r="D3812" s="0" t="n">
        <v>1</v>
      </c>
    </row>
    <row r="3813" customFormat="false" ht="15" hidden="false" customHeight="false" outlineLevel="0" collapsed="false">
      <c r="A3813" s="0" t="n">
        <v>3812</v>
      </c>
      <c r="B3813" s="18" t="n">
        <v>932360.372537285</v>
      </c>
      <c r="C3813" s="18" t="n">
        <v>0</v>
      </c>
      <c r="D3813" s="0" t="n">
        <v>0</v>
      </c>
      <c r="E3813" s="19" t="n">
        <v>42.9166666666667</v>
      </c>
    </row>
    <row r="3814" customFormat="false" ht="15" hidden="false" customHeight="false" outlineLevel="0" collapsed="false">
      <c r="A3814" s="0" t="n">
        <v>3813</v>
      </c>
      <c r="B3814" s="18" t="n">
        <v>810944.480856727</v>
      </c>
      <c r="C3814" s="18" t="n">
        <v>0</v>
      </c>
      <c r="D3814" s="0" t="n">
        <v>0</v>
      </c>
      <c r="E3814" s="19" t="n">
        <v>38.9166666666667</v>
      </c>
    </row>
    <row r="3815" customFormat="false" ht="15" hidden="false" customHeight="false" outlineLevel="0" collapsed="false">
      <c r="A3815" s="0" t="n">
        <v>3814</v>
      </c>
      <c r="B3815" s="18" t="n">
        <v>1624403.65005309</v>
      </c>
      <c r="C3815" s="18" t="n">
        <v>698975.477656383</v>
      </c>
      <c r="D3815" s="0" t="n">
        <v>1</v>
      </c>
    </row>
    <row r="3816" customFormat="false" ht="15" hidden="false" customHeight="false" outlineLevel="0" collapsed="false">
      <c r="A3816" s="0" t="n">
        <v>3815</v>
      </c>
      <c r="B3816" s="18" t="n">
        <v>955420.359345838</v>
      </c>
      <c r="C3816" s="18" t="n">
        <v>0</v>
      </c>
      <c r="D3816" s="0" t="n">
        <v>0</v>
      </c>
      <c r="E3816" s="19" t="n">
        <v>45</v>
      </c>
    </row>
    <row r="3817" customFormat="false" ht="15" hidden="false" customHeight="false" outlineLevel="0" collapsed="false">
      <c r="A3817" s="0" t="n">
        <v>3816</v>
      </c>
      <c r="B3817" s="18" t="n">
        <v>1390151.17164779</v>
      </c>
      <c r="C3817" s="18" t="n">
        <v>0</v>
      </c>
      <c r="D3817" s="0" t="n">
        <v>0</v>
      </c>
      <c r="E3817" s="19" t="n">
        <v>45.5</v>
      </c>
    </row>
    <row r="3818" customFormat="false" ht="15" hidden="false" customHeight="false" outlineLevel="0" collapsed="false">
      <c r="A3818" s="0" t="n">
        <v>3817</v>
      </c>
      <c r="B3818" s="18" t="n">
        <v>686507.62837939</v>
      </c>
      <c r="C3818" s="18" t="n">
        <v>0</v>
      </c>
      <c r="D3818" s="0" t="n">
        <v>0</v>
      </c>
      <c r="E3818" s="19" t="n">
        <v>44.25</v>
      </c>
    </row>
    <row r="3819" customFormat="false" ht="15" hidden="false" customHeight="false" outlineLevel="0" collapsed="false">
      <c r="A3819" s="0" t="n">
        <v>3818</v>
      </c>
      <c r="B3819" s="18" t="n">
        <v>1243170.76887346</v>
      </c>
      <c r="C3819" s="18" t="n">
        <v>276456.911509221</v>
      </c>
      <c r="D3819" s="0" t="n">
        <v>1</v>
      </c>
    </row>
    <row r="3820" customFormat="false" ht="15" hidden="false" customHeight="false" outlineLevel="0" collapsed="false">
      <c r="A3820" s="0" t="n">
        <v>3819</v>
      </c>
      <c r="B3820" s="18" t="n">
        <v>733707.39117143</v>
      </c>
      <c r="C3820" s="18" t="n">
        <v>0</v>
      </c>
      <c r="D3820" s="0" t="n">
        <v>0</v>
      </c>
      <c r="E3820" s="19" t="n">
        <v>43.3333333333333</v>
      </c>
    </row>
    <row r="3821" customFormat="false" ht="15" hidden="false" customHeight="false" outlineLevel="0" collapsed="false">
      <c r="A3821" s="0" t="n">
        <v>3820</v>
      </c>
      <c r="B3821" s="18" t="n">
        <v>1277018.88180497</v>
      </c>
      <c r="C3821" s="18" t="n">
        <v>1779952.6252921</v>
      </c>
      <c r="D3821" s="0" t="n">
        <v>1</v>
      </c>
    </row>
    <row r="3822" customFormat="false" ht="15" hidden="false" customHeight="false" outlineLevel="0" collapsed="false">
      <c r="A3822" s="0" t="n">
        <v>3821</v>
      </c>
      <c r="B3822" s="18" t="n">
        <v>1433131.33798137</v>
      </c>
      <c r="C3822" s="18" t="n">
        <v>0</v>
      </c>
      <c r="D3822" s="0" t="n">
        <v>0</v>
      </c>
      <c r="E3822" s="19" t="n">
        <v>40</v>
      </c>
    </row>
    <row r="3823" customFormat="false" ht="15" hidden="false" customHeight="false" outlineLevel="0" collapsed="false">
      <c r="A3823" s="0" t="n">
        <v>3822</v>
      </c>
      <c r="B3823" s="18" t="n">
        <v>669229.318098077</v>
      </c>
      <c r="C3823" s="18" t="n">
        <v>0</v>
      </c>
      <c r="D3823" s="0" t="n">
        <v>0</v>
      </c>
      <c r="E3823" s="19" t="n">
        <v>43.9166666666667</v>
      </c>
    </row>
    <row r="3824" customFormat="false" ht="15" hidden="false" customHeight="false" outlineLevel="0" collapsed="false">
      <c r="A3824" s="0" t="n">
        <v>3823</v>
      </c>
      <c r="B3824" s="18" t="n">
        <v>545684.472371914</v>
      </c>
      <c r="C3824" s="18" t="n">
        <v>0</v>
      </c>
      <c r="D3824" s="0" t="n">
        <v>0</v>
      </c>
      <c r="E3824" s="19" t="n">
        <v>31.5833333333333</v>
      </c>
    </row>
    <row r="3825" customFormat="false" ht="15" hidden="false" customHeight="false" outlineLevel="0" collapsed="false">
      <c r="A3825" s="0" t="n">
        <v>3824</v>
      </c>
      <c r="B3825" s="18" t="n">
        <v>458482.929437142</v>
      </c>
      <c r="C3825" s="18" t="n">
        <v>0</v>
      </c>
      <c r="D3825" s="0" t="n">
        <v>0</v>
      </c>
      <c r="E3825" s="19" t="n">
        <v>32.6666666666667</v>
      </c>
    </row>
    <row r="3826" customFormat="false" ht="15" hidden="false" customHeight="false" outlineLevel="0" collapsed="false">
      <c r="A3826" s="0" t="n">
        <v>3825</v>
      </c>
      <c r="B3826" s="18" t="n">
        <v>331833.277574961</v>
      </c>
      <c r="C3826" s="18" t="n">
        <v>0</v>
      </c>
      <c r="D3826" s="0" t="n">
        <v>0</v>
      </c>
      <c r="E3826" s="19" t="n">
        <v>29.8333333333333</v>
      </c>
    </row>
    <row r="3827" customFormat="false" ht="15" hidden="false" customHeight="false" outlineLevel="0" collapsed="false">
      <c r="A3827" s="0" t="n">
        <v>3826</v>
      </c>
      <c r="B3827" s="18" t="n">
        <v>1154721.28367624</v>
      </c>
      <c r="C3827" s="18" t="n">
        <v>0</v>
      </c>
      <c r="D3827" s="0" t="n">
        <v>0</v>
      </c>
      <c r="E3827" s="19" t="n">
        <v>47.75</v>
      </c>
    </row>
    <row r="3828" customFormat="false" ht="15" hidden="false" customHeight="false" outlineLevel="0" collapsed="false">
      <c r="A3828" s="0" t="n">
        <v>3827</v>
      </c>
      <c r="B3828" s="18" t="n">
        <v>3267117.46636374</v>
      </c>
      <c r="C3828" s="18" t="n">
        <v>19641429.0251126</v>
      </c>
      <c r="D3828" s="0" t="n">
        <v>1</v>
      </c>
    </row>
    <row r="3829" customFormat="false" ht="15" hidden="false" customHeight="false" outlineLevel="0" collapsed="false">
      <c r="A3829" s="0" t="n">
        <v>3828</v>
      </c>
      <c r="B3829" s="18" t="n">
        <v>861832.562567174</v>
      </c>
      <c r="C3829" s="18" t="n">
        <v>0</v>
      </c>
      <c r="D3829" s="0" t="n">
        <v>0</v>
      </c>
      <c r="E3829" s="19" t="n">
        <v>35.5833333333333</v>
      </c>
    </row>
    <row r="3830" customFormat="false" ht="15" hidden="false" customHeight="false" outlineLevel="0" collapsed="false">
      <c r="A3830" s="0" t="n">
        <v>3829</v>
      </c>
      <c r="B3830" s="18" t="n">
        <v>1701852.79107565</v>
      </c>
      <c r="C3830" s="18" t="n">
        <v>10123336.2141083</v>
      </c>
      <c r="D3830" s="0" t="n">
        <v>1</v>
      </c>
    </row>
    <row r="3831" customFormat="false" ht="15" hidden="false" customHeight="false" outlineLevel="0" collapsed="false">
      <c r="A3831" s="0" t="n">
        <v>3830</v>
      </c>
      <c r="B3831" s="18" t="n">
        <v>3568872.56655417</v>
      </c>
      <c r="C3831" s="18" t="n">
        <v>29239478.0441659</v>
      </c>
      <c r="D3831" s="0" t="n">
        <v>1</v>
      </c>
    </row>
    <row r="3832" customFormat="false" ht="15" hidden="false" customHeight="false" outlineLevel="0" collapsed="false">
      <c r="A3832" s="0" t="n">
        <v>3831</v>
      </c>
      <c r="B3832" s="18" t="n">
        <v>1721747.51267485</v>
      </c>
      <c r="C3832" s="18" t="n">
        <v>0</v>
      </c>
      <c r="D3832" s="0" t="n">
        <v>0</v>
      </c>
      <c r="E3832" s="19" t="n">
        <v>53.0833333333333</v>
      </c>
    </row>
    <row r="3833" customFormat="false" ht="15" hidden="false" customHeight="false" outlineLevel="0" collapsed="false">
      <c r="A3833" s="0" t="n">
        <v>3832</v>
      </c>
      <c r="B3833" s="18" t="n">
        <v>803444.80819546</v>
      </c>
      <c r="C3833" s="18" t="n">
        <v>0</v>
      </c>
      <c r="D3833" s="0" t="n">
        <v>0</v>
      </c>
      <c r="E3833" s="19" t="n">
        <v>37.4166666666667</v>
      </c>
    </row>
    <row r="3834" customFormat="false" ht="15" hidden="false" customHeight="false" outlineLevel="0" collapsed="false">
      <c r="A3834" s="0" t="n">
        <v>3833</v>
      </c>
      <c r="B3834" s="18" t="n">
        <v>1133401.16082846</v>
      </c>
      <c r="C3834" s="18" t="n">
        <v>0</v>
      </c>
      <c r="D3834" s="0" t="n">
        <v>0</v>
      </c>
      <c r="E3834" s="19" t="n">
        <v>51.5833333333333</v>
      </c>
    </row>
    <row r="3835" customFormat="false" ht="15" hidden="false" customHeight="false" outlineLevel="0" collapsed="false">
      <c r="A3835" s="0" t="n">
        <v>3834</v>
      </c>
      <c r="B3835" s="18" t="n">
        <v>1562731.89671606</v>
      </c>
      <c r="C3835" s="18" t="n">
        <v>2057270.05467854</v>
      </c>
      <c r="D3835" s="0" t="n">
        <v>1</v>
      </c>
    </row>
    <row r="3836" customFormat="false" ht="15" hidden="false" customHeight="false" outlineLevel="0" collapsed="false">
      <c r="A3836" s="0" t="n">
        <v>3835</v>
      </c>
      <c r="B3836" s="18" t="n">
        <v>965979.509454945</v>
      </c>
      <c r="C3836" s="18" t="n">
        <v>0</v>
      </c>
      <c r="D3836" s="0" t="n">
        <v>0</v>
      </c>
      <c r="E3836" s="19" t="n">
        <v>41.3333333333333</v>
      </c>
    </row>
    <row r="3837" customFormat="false" ht="15" hidden="false" customHeight="false" outlineLevel="0" collapsed="false">
      <c r="A3837" s="0" t="n">
        <v>3836</v>
      </c>
      <c r="B3837" s="18" t="n">
        <v>711706.941300726</v>
      </c>
      <c r="C3837" s="18" t="n">
        <v>3692761.76010063</v>
      </c>
      <c r="D3837" s="0" t="n">
        <v>1</v>
      </c>
    </row>
    <row r="3838" customFormat="false" ht="15" hidden="false" customHeight="false" outlineLevel="0" collapsed="false">
      <c r="A3838" s="0" t="n">
        <v>3837</v>
      </c>
      <c r="B3838" s="18" t="n">
        <v>582100.13717579</v>
      </c>
      <c r="C3838" s="18" t="n">
        <v>0</v>
      </c>
      <c r="D3838" s="0" t="n">
        <v>0</v>
      </c>
      <c r="E3838" s="19" t="n">
        <v>34.6666666666667</v>
      </c>
    </row>
    <row r="3839" customFormat="false" ht="15" hidden="false" customHeight="false" outlineLevel="0" collapsed="false">
      <c r="A3839" s="0" t="n">
        <v>3838</v>
      </c>
      <c r="B3839" s="18" t="n">
        <v>2003143.60990178</v>
      </c>
      <c r="C3839" s="18" t="n">
        <v>0</v>
      </c>
      <c r="D3839" s="0" t="n">
        <v>0</v>
      </c>
      <c r="E3839" s="19" t="n">
        <v>54</v>
      </c>
    </row>
    <row r="3840" customFormat="false" ht="15" hidden="false" customHeight="false" outlineLevel="0" collapsed="false">
      <c r="A3840" s="0" t="n">
        <v>3839</v>
      </c>
      <c r="B3840" s="18" t="n">
        <v>383239.199624991</v>
      </c>
      <c r="C3840" s="18" t="n">
        <v>0</v>
      </c>
      <c r="D3840" s="0" t="n">
        <v>0</v>
      </c>
      <c r="E3840" s="19" t="n">
        <v>31.3333333333333</v>
      </c>
    </row>
    <row r="3841" customFormat="false" ht="15" hidden="false" customHeight="false" outlineLevel="0" collapsed="false">
      <c r="A3841" s="0" t="n">
        <v>3840</v>
      </c>
      <c r="B3841" s="18" t="n">
        <v>442397.060937152</v>
      </c>
      <c r="C3841" s="18" t="n">
        <v>0</v>
      </c>
      <c r="D3841" s="0" t="n">
        <v>0</v>
      </c>
      <c r="E3841" s="19" t="n">
        <v>32.5</v>
      </c>
    </row>
    <row r="3842" customFormat="false" ht="15" hidden="false" customHeight="false" outlineLevel="0" collapsed="false">
      <c r="A3842" s="0" t="n">
        <v>3841</v>
      </c>
      <c r="B3842" s="18" t="n">
        <v>445657.175380244</v>
      </c>
      <c r="C3842" s="18" t="n">
        <v>0</v>
      </c>
      <c r="D3842" s="0" t="n">
        <v>0</v>
      </c>
      <c r="E3842" s="19" t="n">
        <v>35.0833333333333</v>
      </c>
    </row>
    <row r="3843" customFormat="false" ht="15" hidden="false" customHeight="false" outlineLevel="0" collapsed="false">
      <c r="A3843" s="0" t="n">
        <v>3842</v>
      </c>
      <c r="B3843" s="18" t="n">
        <v>3251200.121871</v>
      </c>
      <c r="C3843" s="18" t="n">
        <v>11884993.9484206</v>
      </c>
      <c r="D3843" s="0" t="n">
        <v>1</v>
      </c>
    </row>
    <row r="3844" customFormat="false" ht="15" hidden="false" customHeight="false" outlineLevel="0" collapsed="false">
      <c r="A3844" s="0" t="n">
        <v>3843</v>
      </c>
      <c r="B3844" s="18" t="n">
        <v>1203285.82886997</v>
      </c>
      <c r="C3844" s="18" t="n">
        <v>3067781.62828581</v>
      </c>
      <c r="D3844" s="0" t="n">
        <v>1</v>
      </c>
    </row>
    <row r="3845" customFormat="false" ht="15" hidden="false" customHeight="false" outlineLevel="0" collapsed="false">
      <c r="A3845" s="0" t="n">
        <v>3844</v>
      </c>
      <c r="B3845" s="18" t="n">
        <v>366198.25004418</v>
      </c>
      <c r="C3845" s="18" t="n">
        <v>0</v>
      </c>
      <c r="D3845" s="0" t="n">
        <v>0</v>
      </c>
      <c r="E3845" s="19" t="n">
        <v>32.25</v>
      </c>
    </row>
    <row r="3846" customFormat="false" ht="15" hidden="false" customHeight="false" outlineLevel="0" collapsed="false">
      <c r="A3846" s="0" t="n">
        <v>3845</v>
      </c>
      <c r="B3846" s="18" t="n">
        <v>1311449.95482242</v>
      </c>
      <c r="C3846" s="18" t="n">
        <v>64738.0587868088</v>
      </c>
      <c r="D3846" s="0" t="n">
        <v>1</v>
      </c>
    </row>
    <row r="3847" customFormat="false" ht="15" hidden="false" customHeight="false" outlineLevel="0" collapsed="false">
      <c r="A3847" s="0" t="n">
        <v>3846</v>
      </c>
      <c r="B3847" s="18" t="n">
        <v>262093.30230231</v>
      </c>
      <c r="C3847" s="18" t="n">
        <v>0</v>
      </c>
      <c r="D3847" s="0" t="n">
        <v>0</v>
      </c>
      <c r="E3847" s="19" t="n">
        <v>28.8333333333333</v>
      </c>
    </row>
    <row r="3848" customFormat="false" ht="15" hidden="false" customHeight="false" outlineLevel="0" collapsed="false">
      <c r="A3848" s="0" t="n">
        <v>3847</v>
      </c>
      <c r="B3848" s="18" t="n">
        <v>743441.153873354</v>
      </c>
      <c r="C3848" s="18" t="n">
        <v>0</v>
      </c>
      <c r="D3848" s="0" t="n">
        <v>0</v>
      </c>
      <c r="E3848" s="19" t="n">
        <v>40.4166666666667</v>
      </c>
    </row>
    <row r="3849" customFormat="false" ht="15" hidden="false" customHeight="false" outlineLevel="0" collapsed="false">
      <c r="A3849" s="0" t="n">
        <v>3848</v>
      </c>
      <c r="B3849" s="18" t="n">
        <v>512166.58726317</v>
      </c>
      <c r="C3849" s="18" t="n">
        <v>0</v>
      </c>
      <c r="D3849" s="0" t="n">
        <v>0</v>
      </c>
      <c r="E3849" s="19" t="n">
        <v>38.6666666666667</v>
      </c>
    </row>
    <row r="3850" customFormat="false" ht="15" hidden="false" customHeight="false" outlineLevel="0" collapsed="false">
      <c r="A3850" s="0" t="n">
        <v>3849</v>
      </c>
      <c r="B3850" s="18" t="n">
        <v>1259871.01625215</v>
      </c>
      <c r="C3850" s="18" t="n">
        <v>0</v>
      </c>
      <c r="D3850" s="0" t="n">
        <v>0</v>
      </c>
      <c r="E3850" s="19" t="n">
        <v>39.75</v>
      </c>
    </row>
    <row r="3851" customFormat="false" ht="15" hidden="false" customHeight="false" outlineLevel="0" collapsed="false">
      <c r="A3851" s="0" t="n">
        <v>3850</v>
      </c>
      <c r="B3851" s="18" t="n">
        <v>379728.657169831</v>
      </c>
      <c r="C3851" s="18" t="n">
        <v>0</v>
      </c>
      <c r="D3851" s="0" t="n">
        <v>0</v>
      </c>
      <c r="E3851" s="19" t="n">
        <v>33.3333333333333</v>
      </c>
    </row>
    <row r="3852" customFormat="false" ht="15" hidden="false" customHeight="false" outlineLevel="0" collapsed="false">
      <c r="A3852" s="0" t="n">
        <v>3851</v>
      </c>
      <c r="B3852" s="18" t="n">
        <v>447533.830968567</v>
      </c>
      <c r="C3852" s="18" t="n">
        <v>0</v>
      </c>
      <c r="D3852" s="0" t="n">
        <v>0</v>
      </c>
      <c r="E3852" s="19" t="n">
        <v>31.9166666666667</v>
      </c>
    </row>
    <row r="3853" customFormat="false" ht="15" hidden="false" customHeight="false" outlineLevel="0" collapsed="false">
      <c r="A3853" s="0" t="n">
        <v>3852</v>
      </c>
      <c r="B3853" s="18" t="n">
        <v>420521.069352445</v>
      </c>
      <c r="C3853" s="18" t="n">
        <v>0</v>
      </c>
      <c r="D3853" s="0" t="n">
        <v>0</v>
      </c>
      <c r="E3853" s="19" t="n">
        <v>33.4166666666667</v>
      </c>
    </row>
    <row r="3854" customFormat="false" ht="15" hidden="false" customHeight="false" outlineLevel="0" collapsed="false">
      <c r="A3854" s="0" t="n">
        <v>3853</v>
      </c>
      <c r="B3854" s="18" t="n">
        <v>959234.258245856</v>
      </c>
      <c r="C3854" s="18" t="n">
        <v>0</v>
      </c>
      <c r="D3854" s="0" t="n">
        <v>0</v>
      </c>
      <c r="E3854" s="19" t="n">
        <v>52.6666666666667</v>
      </c>
    </row>
    <row r="3855" customFormat="false" ht="15" hidden="false" customHeight="false" outlineLevel="0" collapsed="false">
      <c r="A3855" s="0" t="n">
        <v>3854</v>
      </c>
      <c r="B3855" s="18" t="n">
        <v>793143.853362207</v>
      </c>
      <c r="C3855" s="18" t="n">
        <v>0</v>
      </c>
      <c r="D3855" s="0" t="n">
        <v>0</v>
      </c>
      <c r="E3855" s="19" t="n">
        <v>36.9166666666667</v>
      </c>
    </row>
    <row r="3856" customFormat="false" ht="15" hidden="false" customHeight="false" outlineLevel="0" collapsed="false">
      <c r="A3856" s="0" t="n">
        <v>3855</v>
      </c>
      <c r="B3856" s="18" t="n">
        <v>1533854.83940562</v>
      </c>
      <c r="C3856" s="18" t="n">
        <v>6964398.2020864</v>
      </c>
      <c r="D3856" s="0" t="n">
        <v>1</v>
      </c>
    </row>
    <row r="3857" customFormat="false" ht="15" hidden="false" customHeight="false" outlineLevel="0" collapsed="false">
      <c r="A3857" s="0" t="n">
        <v>3856</v>
      </c>
      <c r="B3857" s="18" t="n">
        <v>887201.62911324</v>
      </c>
      <c r="C3857" s="18" t="n">
        <v>0</v>
      </c>
      <c r="D3857" s="0" t="n">
        <v>0</v>
      </c>
      <c r="E3857" s="19" t="n">
        <v>48</v>
      </c>
    </row>
    <row r="3858" customFormat="false" ht="15" hidden="false" customHeight="false" outlineLevel="0" collapsed="false">
      <c r="A3858" s="0" t="n">
        <v>3857</v>
      </c>
      <c r="B3858" s="18" t="n">
        <v>694902.844768839</v>
      </c>
      <c r="C3858" s="18" t="n">
        <v>0</v>
      </c>
      <c r="D3858" s="0" t="n">
        <v>0</v>
      </c>
      <c r="E3858" s="19" t="n">
        <v>36.25</v>
      </c>
    </row>
    <row r="3859" customFormat="false" ht="15" hidden="false" customHeight="false" outlineLevel="0" collapsed="false">
      <c r="A3859" s="0" t="n">
        <v>3858</v>
      </c>
      <c r="B3859" s="18" t="n">
        <v>2914011.24714781</v>
      </c>
      <c r="C3859" s="18" t="n">
        <v>2471657.02263568</v>
      </c>
      <c r="D3859" s="0" t="n">
        <v>1</v>
      </c>
    </row>
    <row r="3860" customFormat="false" ht="15" hidden="false" customHeight="false" outlineLevel="0" collapsed="false">
      <c r="A3860" s="0" t="n">
        <v>3859</v>
      </c>
      <c r="B3860" s="18" t="n">
        <v>520097.795235078</v>
      </c>
      <c r="C3860" s="18" t="n">
        <v>0</v>
      </c>
      <c r="D3860" s="0" t="n">
        <v>0</v>
      </c>
      <c r="E3860" s="19" t="n">
        <v>31.75</v>
      </c>
    </row>
    <row r="3861" customFormat="false" ht="15" hidden="false" customHeight="false" outlineLevel="0" collapsed="false">
      <c r="A3861" s="0" t="n">
        <v>3860</v>
      </c>
      <c r="B3861" s="18" t="n">
        <v>400268.614695966</v>
      </c>
      <c r="C3861" s="18" t="n">
        <v>0</v>
      </c>
      <c r="D3861" s="0" t="n">
        <v>0</v>
      </c>
      <c r="E3861" s="19" t="n">
        <v>33.9166666666667</v>
      </c>
    </row>
    <row r="3862" customFormat="false" ht="15" hidden="false" customHeight="false" outlineLevel="0" collapsed="false">
      <c r="A3862" s="0" t="n">
        <v>3861</v>
      </c>
      <c r="B3862" s="18" t="n">
        <v>1182738.06068366</v>
      </c>
      <c r="C3862" s="18" t="n">
        <v>8406760.79147874</v>
      </c>
      <c r="D3862" s="0" t="n">
        <v>1</v>
      </c>
    </row>
    <row r="3863" customFormat="false" ht="15" hidden="false" customHeight="false" outlineLevel="0" collapsed="false">
      <c r="A3863" s="0" t="n">
        <v>3862</v>
      </c>
      <c r="B3863" s="18" t="n">
        <v>1247114.10248778</v>
      </c>
      <c r="C3863" s="18" t="n">
        <v>0</v>
      </c>
      <c r="D3863" s="0" t="n">
        <v>0</v>
      </c>
      <c r="E3863" s="19" t="n">
        <v>53.0833333333333</v>
      </c>
    </row>
    <row r="3864" customFormat="false" ht="15" hidden="false" customHeight="false" outlineLevel="0" collapsed="false">
      <c r="A3864" s="0" t="n">
        <v>3863</v>
      </c>
      <c r="B3864" s="18" t="n">
        <v>1591696.1774126</v>
      </c>
      <c r="C3864" s="18" t="n">
        <v>0</v>
      </c>
      <c r="D3864" s="0" t="n">
        <v>0</v>
      </c>
      <c r="E3864" s="19" t="n">
        <v>42.5</v>
      </c>
    </row>
    <row r="3865" customFormat="false" ht="15" hidden="false" customHeight="false" outlineLevel="0" collapsed="false">
      <c r="A3865" s="0" t="n">
        <v>3864</v>
      </c>
      <c r="B3865" s="18" t="n">
        <v>1809401.08161971</v>
      </c>
      <c r="C3865" s="18" t="n">
        <v>0</v>
      </c>
      <c r="D3865" s="0" t="n">
        <v>0</v>
      </c>
      <c r="E3865" s="19" t="n">
        <v>53.25</v>
      </c>
    </row>
    <row r="3866" customFormat="false" ht="15" hidden="false" customHeight="false" outlineLevel="0" collapsed="false">
      <c r="A3866" s="0" t="n">
        <v>3865</v>
      </c>
      <c r="B3866" s="18" t="n">
        <v>690674.107051446</v>
      </c>
      <c r="C3866" s="18" t="n">
        <v>0</v>
      </c>
      <c r="D3866" s="0" t="n">
        <v>0</v>
      </c>
      <c r="E3866" s="19" t="n">
        <v>36.5833333333333</v>
      </c>
    </row>
    <row r="3867" customFormat="false" ht="15" hidden="false" customHeight="false" outlineLevel="0" collapsed="false">
      <c r="A3867" s="0" t="n">
        <v>3866</v>
      </c>
      <c r="B3867" s="18" t="n">
        <v>2575457.81341126</v>
      </c>
      <c r="C3867" s="18" t="n">
        <v>3342819.65073261</v>
      </c>
      <c r="D3867" s="0" t="n">
        <v>1</v>
      </c>
    </row>
    <row r="3868" customFormat="false" ht="15" hidden="false" customHeight="false" outlineLevel="0" collapsed="false">
      <c r="A3868" s="0" t="n">
        <v>3867</v>
      </c>
      <c r="B3868" s="18" t="n">
        <v>992117.293392663</v>
      </c>
      <c r="C3868" s="18" t="n">
        <v>0</v>
      </c>
      <c r="D3868" s="0" t="n">
        <v>0</v>
      </c>
      <c r="E3868" s="19" t="n">
        <v>37.0833333333333</v>
      </c>
    </row>
    <row r="3869" customFormat="false" ht="15" hidden="false" customHeight="false" outlineLevel="0" collapsed="false">
      <c r="A3869" s="0" t="n">
        <v>3868</v>
      </c>
      <c r="B3869" s="18" t="n">
        <v>484895.412341764</v>
      </c>
      <c r="C3869" s="18" t="n">
        <v>0</v>
      </c>
      <c r="D3869" s="0" t="n">
        <v>0</v>
      </c>
      <c r="E3869" s="19" t="n">
        <v>31.1666666666667</v>
      </c>
    </row>
    <row r="3870" customFormat="false" ht="15" hidden="false" customHeight="false" outlineLevel="0" collapsed="false">
      <c r="A3870" s="0" t="n">
        <v>3869</v>
      </c>
      <c r="B3870" s="18" t="n">
        <v>481481.141259426</v>
      </c>
      <c r="C3870" s="18" t="n">
        <v>0</v>
      </c>
      <c r="D3870" s="0" t="n">
        <v>0</v>
      </c>
      <c r="E3870" s="19" t="n">
        <v>33.4166666666667</v>
      </c>
    </row>
    <row r="3871" customFormat="false" ht="15" hidden="false" customHeight="false" outlineLevel="0" collapsed="false">
      <c r="A3871" s="0" t="n">
        <v>3870</v>
      </c>
      <c r="B3871" s="18" t="n">
        <v>1024915.30384574</v>
      </c>
      <c r="C3871" s="18" t="n">
        <v>0</v>
      </c>
      <c r="D3871" s="0" t="n">
        <v>0</v>
      </c>
      <c r="E3871" s="19" t="n">
        <v>49.5</v>
      </c>
    </row>
    <row r="3872" customFormat="false" ht="15" hidden="false" customHeight="false" outlineLevel="0" collapsed="false">
      <c r="A3872" s="0" t="n">
        <v>3871</v>
      </c>
      <c r="B3872" s="18" t="n">
        <v>2002053.70035558</v>
      </c>
      <c r="C3872" s="18" t="n">
        <v>152619.912318165</v>
      </c>
      <c r="D3872" s="0" t="n">
        <v>1</v>
      </c>
    </row>
    <row r="3873" customFormat="false" ht="15" hidden="false" customHeight="false" outlineLevel="0" collapsed="false">
      <c r="A3873" s="0" t="n">
        <v>3872</v>
      </c>
      <c r="B3873" s="18" t="n">
        <v>579557.515872942</v>
      </c>
      <c r="C3873" s="18" t="n">
        <v>0</v>
      </c>
      <c r="D3873" s="0" t="n">
        <v>0</v>
      </c>
      <c r="E3873" s="19" t="n">
        <v>33.4166666666667</v>
      </c>
    </row>
    <row r="3874" customFormat="false" ht="15" hidden="false" customHeight="false" outlineLevel="0" collapsed="false">
      <c r="A3874" s="0" t="n">
        <v>3873</v>
      </c>
      <c r="B3874" s="18" t="n">
        <v>424895.009292883</v>
      </c>
      <c r="C3874" s="18" t="n">
        <v>0</v>
      </c>
      <c r="D3874" s="0" t="n">
        <v>0</v>
      </c>
      <c r="E3874" s="19" t="n">
        <v>29.8333333333333</v>
      </c>
    </row>
    <row r="3875" customFormat="false" ht="15" hidden="false" customHeight="false" outlineLevel="0" collapsed="false">
      <c r="A3875" s="0" t="n">
        <v>3874</v>
      </c>
      <c r="B3875" s="18" t="n">
        <v>1865060.61180622</v>
      </c>
      <c r="C3875" s="18" t="n">
        <v>2449062.73421964</v>
      </c>
      <c r="D3875" s="0" t="n">
        <v>1</v>
      </c>
    </row>
    <row r="3876" customFormat="false" ht="15" hidden="false" customHeight="false" outlineLevel="0" collapsed="false">
      <c r="A3876" s="0" t="n">
        <v>3875</v>
      </c>
      <c r="B3876" s="18" t="n">
        <v>1646706.35616897</v>
      </c>
      <c r="C3876" s="18" t="n">
        <v>4707910.07119257</v>
      </c>
      <c r="D3876" s="0" t="n">
        <v>1</v>
      </c>
    </row>
    <row r="3877" customFormat="false" ht="15" hidden="false" customHeight="false" outlineLevel="0" collapsed="false">
      <c r="A3877" s="0" t="n">
        <v>3876</v>
      </c>
      <c r="B3877" s="18" t="n">
        <v>910501.924882749</v>
      </c>
      <c r="C3877" s="18" t="n">
        <v>0</v>
      </c>
      <c r="D3877" s="0" t="n">
        <v>0</v>
      </c>
      <c r="E3877" s="19" t="n">
        <v>46.0833333333333</v>
      </c>
    </row>
    <row r="3878" customFormat="false" ht="15" hidden="false" customHeight="false" outlineLevel="0" collapsed="false">
      <c r="A3878" s="0" t="n">
        <v>3877</v>
      </c>
      <c r="B3878" s="18" t="n">
        <v>719709.729841315</v>
      </c>
      <c r="C3878" s="18" t="n">
        <v>0</v>
      </c>
      <c r="D3878" s="0" t="n">
        <v>0</v>
      </c>
      <c r="E3878" s="19" t="n">
        <v>44.0833333333333</v>
      </c>
    </row>
    <row r="3879" customFormat="false" ht="15" hidden="false" customHeight="false" outlineLevel="0" collapsed="false">
      <c r="A3879" s="0" t="n">
        <v>3878</v>
      </c>
      <c r="B3879" s="18" t="n">
        <v>991677.253823907</v>
      </c>
      <c r="C3879" s="18" t="n">
        <v>0</v>
      </c>
      <c r="D3879" s="0" t="n">
        <v>0</v>
      </c>
      <c r="E3879" s="19" t="n">
        <v>38.75</v>
      </c>
    </row>
    <row r="3880" customFormat="false" ht="15" hidden="false" customHeight="false" outlineLevel="0" collapsed="false">
      <c r="A3880" s="0" t="n">
        <v>3879</v>
      </c>
      <c r="B3880" s="18" t="n">
        <v>1044240.77983072</v>
      </c>
      <c r="C3880" s="18" t="n">
        <v>1616411.19301095</v>
      </c>
      <c r="D3880" s="0" t="n">
        <v>1</v>
      </c>
    </row>
    <row r="3881" customFormat="false" ht="15" hidden="false" customHeight="false" outlineLevel="0" collapsed="false">
      <c r="A3881" s="0" t="n">
        <v>3880</v>
      </c>
      <c r="B3881" s="18" t="n">
        <v>869441.065045999</v>
      </c>
      <c r="C3881" s="18" t="n">
        <v>0</v>
      </c>
      <c r="D3881" s="0" t="n">
        <v>0</v>
      </c>
      <c r="E3881" s="19" t="n">
        <v>37.3333333333333</v>
      </c>
    </row>
    <row r="3882" customFormat="false" ht="15" hidden="false" customHeight="false" outlineLevel="0" collapsed="false">
      <c r="A3882" s="0" t="n">
        <v>3881</v>
      </c>
      <c r="B3882" s="18" t="n">
        <v>2263968.36087614</v>
      </c>
      <c r="C3882" s="18" t="n">
        <v>3346666.75409952</v>
      </c>
      <c r="D3882" s="0" t="n">
        <v>1</v>
      </c>
    </row>
    <row r="3883" customFormat="false" ht="15" hidden="false" customHeight="false" outlineLevel="0" collapsed="false">
      <c r="A3883" s="0" t="n">
        <v>3882</v>
      </c>
      <c r="B3883" s="18" t="n">
        <v>644594.912920356</v>
      </c>
      <c r="C3883" s="18" t="n">
        <v>0</v>
      </c>
      <c r="D3883" s="0" t="n">
        <v>0</v>
      </c>
      <c r="E3883" s="19" t="n">
        <v>34.5</v>
      </c>
    </row>
    <row r="3884" customFormat="false" ht="15" hidden="false" customHeight="false" outlineLevel="0" collapsed="false">
      <c r="A3884" s="0" t="n">
        <v>3883</v>
      </c>
      <c r="B3884" s="18" t="n">
        <v>819190.974622594</v>
      </c>
      <c r="C3884" s="18" t="n">
        <v>0</v>
      </c>
      <c r="D3884" s="0" t="n">
        <v>0</v>
      </c>
      <c r="E3884" s="19" t="n">
        <v>51.1666666666667</v>
      </c>
    </row>
    <row r="3885" customFormat="false" ht="15" hidden="false" customHeight="false" outlineLevel="0" collapsed="false">
      <c r="A3885" s="0" t="n">
        <v>3884</v>
      </c>
      <c r="B3885" s="18" t="n">
        <v>477782.805940225</v>
      </c>
      <c r="C3885" s="18" t="n">
        <v>0</v>
      </c>
      <c r="D3885" s="0" t="n">
        <v>0</v>
      </c>
      <c r="E3885" s="19" t="n">
        <v>35.3333333333333</v>
      </c>
    </row>
    <row r="3886" customFormat="false" ht="15" hidden="false" customHeight="false" outlineLevel="0" collapsed="false">
      <c r="A3886" s="0" t="n">
        <v>3885</v>
      </c>
      <c r="B3886" s="18" t="n">
        <v>2201687.47729187</v>
      </c>
      <c r="C3886" s="18" t="n">
        <v>1411177.60176771</v>
      </c>
      <c r="D3886" s="0" t="n">
        <v>1</v>
      </c>
    </row>
    <row r="3887" customFormat="false" ht="15" hidden="false" customHeight="false" outlineLevel="0" collapsed="false">
      <c r="A3887" s="0" t="n">
        <v>3886</v>
      </c>
      <c r="B3887" s="18" t="n">
        <v>2212744.5853364</v>
      </c>
      <c r="C3887" s="18" t="n">
        <v>5921626.57290154</v>
      </c>
      <c r="D3887" s="0" t="n">
        <v>1</v>
      </c>
    </row>
    <row r="3888" customFormat="false" ht="15" hidden="false" customHeight="false" outlineLevel="0" collapsed="false">
      <c r="A3888" s="0" t="n">
        <v>3887</v>
      </c>
      <c r="B3888" s="18" t="n">
        <v>546049.006836504</v>
      </c>
      <c r="C3888" s="18" t="n">
        <v>0</v>
      </c>
      <c r="D3888" s="0" t="n">
        <v>0</v>
      </c>
      <c r="E3888" s="19" t="n">
        <v>34.3333333333333</v>
      </c>
    </row>
    <row r="3889" customFormat="false" ht="15" hidden="false" customHeight="false" outlineLevel="0" collapsed="false">
      <c r="A3889" s="0" t="n">
        <v>3888</v>
      </c>
      <c r="B3889" s="18" t="n">
        <v>740247.806367247</v>
      </c>
      <c r="C3889" s="18" t="n">
        <v>0</v>
      </c>
      <c r="D3889" s="0" t="n">
        <v>0</v>
      </c>
      <c r="E3889" s="19" t="n">
        <v>38.4166666666667</v>
      </c>
    </row>
    <row r="3890" customFormat="false" ht="15" hidden="false" customHeight="false" outlineLevel="0" collapsed="false">
      <c r="A3890" s="0" t="n">
        <v>3889</v>
      </c>
      <c r="B3890" s="18" t="n">
        <v>487893.328113516</v>
      </c>
      <c r="C3890" s="18" t="n">
        <v>0</v>
      </c>
      <c r="D3890" s="0" t="n">
        <v>0</v>
      </c>
      <c r="E3890" s="19" t="n">
        <v>36.5</v>
      </c>
    </row>
    <row r="3891" customFormat="false" ht="15" hidden="false" customHeight="false" outlineLevel="0" collapsed="false">
      <c r="A3891" s="0" t="n">
        <v>3890</v>
      </c>
      <c r="B3891" s="18" t="n">
        <v>793646.292018096</v>
      </c>
      <c r="C3891" s="18" t="n">
        <v>0</v>
      </c>
      <c r="D3891" s="0" t="n">
        <v>0</v>
      </c>
      <c r="E3891" s="19" t="n">
        <v>40.25</v>
      </c>
    </row>
    <row r="3892" customFormat="false" ht="15" hidden="false" customHeight="false" outlineLevel="0" collapsed="false">
      <c r="A3892" s="0" t="n">
        <v>3891</v>
      </c>
      <c r="B3892" s="18" t="n">
        <v>611107.350233949</v>
      </c>
      <c r="C3892" s="18" t="n">
        <v>0</v>
      </c>
      <c r="D3892" s="0" t="n">
        <v>0</v>
      </c>
      <c r="E3892" s="19" t="n">
        <v>33.6666666666667</v>
      </c>
    </row>
    <row r="3893" customFormat="false" ht="15" hidden="false" customHeight="false" outlineLevel="0" collapsed="false">
      <c r="A3893" s="0" t="n">
        <v>3892</v>
      </c>
      <c r="B3893" s="18" t="n">
        <v>633080.298344906</v>
      </c>
      <c r="C3893" s="18" t="n">
        <v>0</v>
      </c>
      <c r="D3893" s="0" t="n">
        <v>0</v>
      </c>
      <c r="E3893" s="19" t="n">
        <v>32.4166666666667</v>
      </c>
    </row>
    <row r="3894" customFormat="false" ht="15" hidden="false" customHeight="false" outlineLevel="0" collapsed="false">
      <c r="A3894" s="0" t="n">
        <v>3893</v>
      </c>
      <c r="B3894" s="18" t="n">
        <v>1654451.18353243</v>
      </c>
      <c r="C3894" s="18" t="n">
        <v>2455108.73345147</v>
      </c>
      <c r="D3894" s="0" t="n">
        <v>1</v>
      </c>
    </row>
    <row r="3895" customFormat="false" ht="15" hidden="false" customHeight="false" outlineLevel="0" collapsed="false">
      <c r="A3895" s="0" t="n">
        <v>3894</v>
      </c>
      <c r="B3895" s="18" t="n">
        <v>573899.036266182</v>
      </c>
      <c r="C3895" s="18" t="n">
        <v>0</v>
      </c>
      <c r="D3895" s="0" t="n">
        <v>0</v>
      </c>
      <c r="E3895" s="19" t="n">
        <v>37.4166666666667</v>
      </c>
    </row>
    <row r="3896" customFormat="false" ht="15" hidden="false" customHeight="false" outlineLevel="0" collapsed="false">
      <c r="A3896" s="0" t="n">
        <v>3895</v>
      </c>
      <c r="B3896" s="18" t="n">
        <v>672272.231827706</v>
      </c>
      <c r="C3896" s="18" t="n">
        <v>0</v>
      </c>
      <c r="D3896" s="0" t="n">
        <v>0</v>
      </c>
      <c r="E3896" s="19" t="n">
        <v>41.6666666666667</v>
      </c>
    </row>
    <row r="3897" customFormat="false" ht="15" hidden="false" customHeight="false" outlineLevel="0" collapsed="false">
      <c r="A3897" s="0" t="n">
        <v>3896</v>
      </c>
      <c r="B3897" s="18" t="n">
        <v>404991.705928555</v>
      </c>
      <c r="C3897" s="18" t="n">
        <v>0</v>
      </c>
      <c r="D3897" s="0" t="n">
        <v>0</v>
      </c>
      <c r="E3897" s="19" t="n">
        <v>31.75</v>
      </c>
    </row>
    <row r="3898" customFormat="false" ht="15" hidden="false" customHeight="false" outlineLevel="0" collapsed="false">
      <c r="A3898" s="0" t="n">
        <v>3897</v>
      </c>
      <c r="B3898" s="18" t="n">
        <v>665850.655322572</v>
      </c>
      <c r="C3898" s="18" t="n">
        <v>0</v>
      </c>
      <c r="D3898" s="0" t="n">
        <v>0</v>
      </c>
      <c r="E3898" s="19" t="n">
        <v>34.3333333333333</v>
      </c>
    </row>
    <row r="3899" customFormat="false" ht="15" hidden="false" customHeight="false" outlineLevel="0" collapsed="false">
      <c r="A3899" s="0" t="n">
        <v>3898</v>
      </c>
      <c r="B3899" s="18" t="n">
        <v>1482240.4323968</v>
      </c>
      <c r="C3899" s="18" t="n">
        <v>1643243.7230385</v>
      </c>
      <c r="D3899" s="0" t="n">
        <v>1</v>
      </c>
    </row>
    <row r="3900" customFormat="false" ht="15" hidden="false" customHeight="false" outlineLevel="0" collapsed="false">
      <c r="A3900" s="0" t="n">
        <v>3899</v>
      </c>
      <c r="B3900" s="18" t="n">
        <v>583053.506853966</v>
      </c>
      <c r="C3900" s="18" t="n">
        <v>0</v>
      </c>
      <c r="D3900" s="0" t="n">
        <v>0</v>
      </c>
      <c r="E3900" s="19" t="n">
        <v>39.0833333333333</v>
      </c>
    </row>
    <row r="3901" customFormat="false" ht="15" hidden="false" customHeight="false" outlineLevel="0" collapsed="false">
      <c r="A3901" s="0" t="n">
        <v>3900</v>
      </c>
      <c r="B3901" s="18" t="n">
        <v>951027.83312225</v>
      </c>
      <c r="C3901" s="18" t="n">
        <v>341782.997412028</v>
      </c>
      <c r="D3901" s="0" t="n">
        <v>1</v>
      </c>
    </row>
    <row r="3902" customFormat="false" ht="15" hidden="false" customHeight="false" outlineLevel="0" collapsed="false">
      <c r="A3902" s="0" t="n">
        <v>3901</v>
      </c>
      <c r="B3902" s="18" t="n">
        <v>464524.140093833</v>
      </c>
      <c r="C3902" s="18" t="n">
        <v>0</v>
      </c>
      <c r="D3902" s="0" t="n">
        <v>0</v>
      </c>
      <c r="E3902" s="19" t="n">
        <v>33.1666666666667</v>
      </c>
    </row>
    <row r="3903" customFormat="false" ht="15" hidden="false" customHeight="false" outlineLevel="0" collapsed="false">
      <c r="A3903" s="0" t="n">
        <v>3902</v>
      </c>
      <c r="B3903" s="18" t="n">
        <v>1563809.17406305</v>
      </c>
      <c r="C3903" s="18" t="n">
        <v>1036129.49578547</v>
      </c>
      <c r="D3903" s="0" t="n">
        <v>1</v>
      </c>
    </row>
    <row r="3904" customFormat="false" ht="15" hidden="false" customHeight="false" outlineLevel="0" collapsed="false">
      <c r="A3904" s="0" t="n">
        <v>3903</v>
      </c>
      <c r="B3904" s="18" t="n">
        <v>3825852.81802348</v>
      </c>
      <c r="C3904" s="18" t="n">
        <v>14144920.303027</v>
      </c>
      <c r="D3904" s="0" t="n">
        <v>1</v>
      </c>
    </row>
    <row r="3905" customFormat="false" ht="15" hidden="false" customHeight="false" outlineLevel="0" collapsed="false">
      <c r="A3905" s="0" t="n">
        <v>3904</v>
      </c>
      <c r="B3905" s="18" t="n">
        <v>455592.377560284</v>
      </c>
      <c r="C3905" s="18" t="n">
        <v>0</v>
      </c>
      <c r="D3905" s="0" t="n">
        <v>0</v>
      </c>
      <c r="E3905" s="19" t="n">
        <v>35.3333333333333</v>
      </c>
    </row>
    <row r="3906" customFormat="false" ht="15" hidden="false" customHeight="false" outlineLevel="0" collapsed="false">
      <c r="A3906" s="0" t="n">
        <v>3905</v>
      </c>
      <c r="B3906" s="18" t="n">
        <v>1094396.8077834</v>
      </c>
      <c r="C3906" s="18" t="n">
        <v>0</v>
      </c>
      <c r="D3906" s="0" t="n">
        <v>0</v>
      </c>
      <c r="E3906" s="19" t="n">
        <v>54.1666666666667</v>
      </c>
    </row>
    <row r="3907" customFormat="false" ht="15" hidden="false" customHeight="false" outlineLevel="0" collapsed="false">
      <c r="A3907" s="0" t="n">
        <v>3906</v>
      </c>
      <c r="B3907" s="18" t="n">
        <v>1605625.37398474</v>
      </c>
      <c r="C3907" s="18" t="n">
        <v>3610969.60954538</v>
      </c>
      <c r="D3907" s="0" t="n">
        <v>1</v>
      </c>
    </row>
    <row r="3908" customFormat="false" ht="15" hidden="false" customHeight="false" outlineLevel="0" collapsed="false">
      <c r="A3908" s="0" t="n">
        <v>3907</v>
      </c>
      <c r="B3908" s="18" t="n">
        <v>1034443.30544391</v>
      </c>
      <c r="C3908" s="18" t="n">
        <v>974523.700782428</v>
      </c>
      <c r="D3908" s="0" t="n">
        <v>1</v>
      </c>
    </row>
    <row r="3909" customFormat="false" ht="15" hidden="false" customHeight="false" outlineLevel="0" collapsed="false">
      <c r="A3909" s="0" t="n">
        <v>3908</v>
      </c>
      <c r="B3909" s="18" t="n">
        <v>925667.135327855</v>
      </c>
      <c r="C3909" s="18" t="n">
        <v>0</v>
      </c>
      <c r="D3909" s="0" t="n">
        <v>0</v>
      </c>
      <c r="E3909" s="19" t="n">
        <v>51.9166666666667</v>
      </c>
    </row>
    <row r="3910" customFormat="false" ht="15" hidden="false" customHeight="false" outlineLevel="0" collapsed="false">
      <c r="A3910" s="0" t="n">
        <v>3909</v>
      </c>
      <c r="B3910" s="18" t="n">
        <v>693841.104156724</v>
      </c>
      <c r="C3910" s="18" t="n">
        <v>0</v>
      </c>
      <c r="D3910" s="0" t="n">
        <v>0</v>
      </c>
      <c r="E3910" s="19" t="n">
        <v>35.6666666666667</v>
      </c>
    </row>
    <row r="3911" customFormat="false" ht="15" hidden="false" customHeight="false" outlineLevel="0" collapsed="false">
      <c r="A3911" s="0" t="n">
        <v>3910</v>
      </c>
      <c r="B3911" s="18" t="n">
        <v>1244276.95152813</v>
      </c>
      <c r="C3911" s="18" t="n">
        <v>2994293.1340761</v>
      </c>
      <c r="D3911" s="0" t="n">
        <v>1</v>
      </c>
    </row>
    <row r="3912" customFormat="false" ht="15" hidden="false" customHeight="false" outlineLevel="0" collapsed="false">
      <c r="A3912" s="0" t="n">
        <v>3911</v>
      </c>
      <c r="B3912" s="18" t="n">
        <v>873291.918126075</v>
      </c>
      <c r="C3912" s="18" t="n">
        <v>16646931.9971086</v>
      </c>
      <c r="D3912" s="0" t="n">
        <v>1</v>
      </c>
    </row>
    <row r="3913" customFormat="false" ht="15" hidden="false" customHeight="false" outlineLevel="0" collapsed="false">
      <c r="A3913" s="0" t="n">
        <v>3912</v>
      </c>
      <c r="B3913" s="18" t="n">
        <v>1050547.1840701</v>
      </c>
      <c r="C3913" s="18" t="n">
        <v>0</v>
      </c>
      <c r="D3913" s="0" t="n">
        <v>0</v>
      </c>
      <c r="E3913" s="19" t="n">
        <v>41.8333333333333</v>
      </c>
    </row>
    <row r="3914" customFormat="false" ht="15" hidden="false" customHeight="false" outlineLevel="0" collapsed="false">
      <c r="A3914" s="0" t="n">
        <v>3913</v>
      </c>
      <c r="B3914" s="18" t="n">
        <v>1325343.52061193</v>
      </c>
      <c r="C3914" s="18" t="n">
        <v>0</v>
      </c>
      <c r="D3914" s="0" t="n">
        <v>0</v>
      </c>
      <c r="E3914" s="19" t="n">
        <v>46.5833333333333</v>
      </c>
    </row>
    <row r="3915" customFormat="false" ht="15" hidden="false" customHeight="false" outlineLevel="0" collapsed="false">
      <c r="A3915" s="0" t="n">
        <v>3914</v>
      </c>
      <c r="B3915" s="18" t="n">
        <v>814956.44496651</v>
      </c>
      <c r="C3915" s="18" t="n">
        <v>263392.509210169</v>
      </c>
      <c r="D3915" s="0" t="n">
        <v>1</v>
      </c>
    </row>
    <row r="3916" customFormat="false" ht="15" hidden="false" customHeight="false" outlineLevel="0" collapsed="false">
      <c r="A3916" s="0" t="n">
        <v>3915</v>
      </c>
      <c r="B3916" s="18" t="n">
        <v>475014.272737723</v>
      </c>
      <c r="C3916" s="18" t="n">
        <v>0</v>
      </c>
      <c r="D3916" s="0" t="n">
        <v>0</v>
      </c>
      <c r="E3916" s="19" t="n">
        <v>35.4166666666667</v>
      </c>
    </row>
    <row r="3917" customFormat="false" ht="15" hidden="false" customHeight="false" outlineLevel="0" collapsed="false">
      <c r="A3917" s="0" t="n">
        <v>3916</v>
      </c>
      <c r="B3917" s="18" t="n">
        <v>355416.359322518</v>
      </c>
      <c r="C3917" s="18" t="n">
        <v>0</v>
      </c>
      <c r="D3917" s="0" t="n">
        <v>0</v>
      </c>
      <c r="E3917" s="19" t="n">
        <v>29.25</v>
      </c>
    </row>
    <row r="3918" customFormat="false" ht="15" hidden="false" customHeight="false" outlineLevel="0" collapsed="false">
      <c r="A3918" s="0" t="n">
        <v>3917</v>
      </c>
      <c r="B3918" s="18" t="n">
        <v>851875.234952921</v>
      </c>
      <c r="C3918" s="18" t="n">
        <v>0</v>
      </c>
      <c r="D3918" s="0" t="n">
        <v>0</v>
      </c>
      <c r="E3918" s="19" t="n">
        <v>50.4166666666667</v>
      </c>
    </row>
    <row r="3919" customFormat="false" ht="15" hidden="false" customHeight="false" outlineLevel="0" collapsed="false">
      <c r="A3919" s="0" t="n">
        <v>3918</v>
      </c>
      <c r="B3919" s="18" t="n">
        <v>1029799.65908254</v>
      </c>
      <c r="C3919" s="18" t="n">
        <v>970893.085477312</v>
      </c>
      <c r="D3919" s="0" t="n">
        <v>1</v>
      </c>
    </row>
    <row r="3920" customFormat="false" ht="15" hidden="false" customHeight="false" outlineLevel="0" collapsed="false">
      <c r="A3920" s="0" t="n">
        <v>3919</v>
      </c>
      <c r="B3920" s="18" t="n">
        <v>380729.906951151</v>
      </c>
      <c r="C3920" s="18" t="n">
        <v>0</v>
      </c>
      <c r="D3920" s="0" t="n">
        <v>0</v>
      </c>
      <c r="E3920" s="19" t="n">
        <v>35.0833333333333</v>
      </c>
    </row>
    <row r="3921" customFormat="false" ht="15" hidden="false" customHeight="false" outlineLevel="0" collapsed="false">
      <c r="A3921" s="0" t="n">
        <v>3920</v>
      </c>
      <c r="B3921" s="18" t="n">
        <v>1963373.95143503</v>
      </c>
      <c r="C3921" s="18" t="n">
        <v>1303977.86607246</v>
      </c>
      <c r="D3921" s="0" t="n">
        <v>1</v>
      </c>
    </row>
    <row r="3922" customFormat="false" ht="15" hidden="false" customHeight="false" outlineLevel="0" collapsed="false">
      <c r="A3922" s="0" t="n">
        <v>3921</v>
      </c>
      <c r="B3922" s="18" t="n">
        <v>909300.228379531</v>
      </c>
      <c r="C3922" s="18" t="n">
        <v>0</v>
      </c>
      <c r="D3922" s="0" t="n">
        <v>0</v>
      </c>
      <c r="E3922" s="19" t="n">
        <v>44</v>
      </c>
    </row>
    <row r="3923" customFormat="false" ht="15" hidden="false" customHeight="false" outlineLevel="0" collapsed="false">
      <c r="A3923" s="0" t="n">
        <v>3922</v>
      </c>
      <c r="B3923" s="18" t="n">
        <v>924793.48721942</v>
      </c>
      <c r="C3923" s="18" t="n">
        <v>0</v>
      </c>
      <c r="D3923" s="0" t="n">
        <v>0</v>
      </c>
      <c r="E3923" s="19" t="n">
        <v>39.8333333333333</v>
      </c>
    </row>
    <row r="3924" customFormat="false" ht="15" hidden="false" customHeight="false" outlineLevel="0" collapsed="false">
      <c r="A3924" s="0" t="n">
        <v>3923</v>
      </c>
      <c r="B3924" s="18" t="n">
        <v>515662.309718383</v>
      </c>
      <c r="C3924" s="18" t="n">
        <v>0</v>
      </c>
      <c r="D3924" s="0" t="n">
        <v>0</v>
      </c>
      <c r="E3924" s="19" t="n">
        <v>36.4166666666667</v>
      </c>
    </row>
    <row r="3925" customFormat="false" ht="15" hidden="false" customHeight="false" outlineLevel="0" collapsed="false">
      <c r="A3925" s="0" t="n">
        <v>3924</v>
      </c>
      <c r="B3925" s="18" t="n">
        <v>858333.397847881</v>
      </c>
      <c r="C3925" s="18" t="n">
        <v>0</v>
      </c>
      <c r="D3925" s="0" t="n">
        <v>0</v>
      </c>
      <c r="E3925" s="19" t="n">
        <v>39.0833333333333</v>
      </c>
    </row>
    <row r="3926" customFormat="false" ht="15" hidden="false" customHeight="false" outlineLevel="0" collapsed="false">
      <c r="A3926" s="0" t="n">
        <v>3925</v>
      </c>
      <c r="B3926" s="18" t="n">
        <v>665127.330271906</v>
      </c>
      <c r="C3926" s="18" t="n">
        <v>0</v>
      </c>
      <c r="D3926" s="0" t="n">
        <v>0</v>
      </c>
      <c r="E3926" s="19" t="n">
        <v>41.0833333333333</v>
      </c>
    </row>
    <row r="3927" customFormat="false" ht="15" hidden="false" customHeight="false" outlineLevel="0" collapsed="false">
      <c r="A3927" s="0" t="n">
        <v>3926</v>
      </c>
      <c r="B3927" s="18" t="n">
        <v>656301.076765999</v>
      </c>
      <c r="C3927" s="18" t="n">
        <v>0</v>
      </c>
      <c r="D3927" s="0" t="n">
        <v>0</v>
      </c>
      <c r="E3927" s="19" t="n">
        <v>35.1666666666667</v>
      </c>
    </row>
    <row r="3928" customFormat="false" ht="15" hidden="false" customHeight="false" outlineLevel="0" collapsed="false">
      <c r="A3928" s="0" t="n">
        <v>3927</v>
      </c>
      <c r="B3928" s="18" t="n">
        <v>1177888.88800352</v>
      </c>
      <c r="C3928" s="18" t="n">
        <v>900932.247766763</v>
      </c>
      <c r="D3928" s="0" t="n">
        <v>1</v>
      </c>
    </row>
    <row r="3929" customFormat="false" ht="15" hidden="false" customHeight="false" outlineLevel="0" collapsed="false">
      <c r="A3929" s="0" t="n">
        <v>3928</v>
      </c>
      <c r="B3929" s="18" t="n">
        <v>357885.907371681</v>
      </c>
      <c r="C3929" s="18" t="n">
        <v>0</v>
      </c>
      <c r="D3929" s="0" t="n">
        <v>0</v>
      </c>
      <c r="E3929" s="19" t="n">
        <v>32.8333333333333</v>
      </c>
    </row>
    <row r="3930" customFormat="false" ht="15" hidden="false" customHeight="false" outlineLevel="0" collapsed="false">
      <c r="A3930" s="0" t="n">
        <v>3929</v>
      </c>
      <c r="B3930" s="18" t="n">
        <v>395426.135445492</v>
      </c>
      <c r="C3930" s="18" t="n">
        <v>0</v>
      </c>
      <c r="D3930" s="0" t="n">
        <v>0</v>
      </c>
      <c r="E3930" s="19" t="n">
        <v>44.3333333333333</v>
      </c>
    </row>
    <row r="3931" customFormat="false" ht="15" hidden="false" customHeight="false" outlineLevel="0" collapsed="false">
      <c r="A3931" s="0" t="n">
        <v>3930</v>
      </c>
      <c r="B3931" s="18" t="n">
        <v>1274204.88155645</v>
      </c>
      <c r="C3931" s="18" t="n">
        <v>0</v>
      </c>
      <c r="D3931" s="0" t="n">
        <v>0</v>
      </c>
      <c r="E3931" s="19" t="n">
        <v>52.5833333333333</v>
      </c>
    </row>
    <row r="3932" customFormat="false" ht="15" hidden="false" customHeight="false" outlineLevel="0" collapsed="false">
      <c r="A3932" s="0" t="n">
        <v>3931</v>
      </c>
      <c r="B3932" s="18" t="n">
        <v>653591.491996157</v>
      </c>
      <c r="C3932" s="18" t="n">
        <v>507339.646059482</v>
      </c>
      <c r="D3932" s="0" t="n">
        <v>1</v>
      </c>
    </row>
    <row r="3933" customFormat="false" ht="15" hidden="false" customHeight="false" outlineLevel="0" collapsed="false">
      <c r="A3933" s="0" t="n">
        <v>3932</v>
      </c>
      <c r="B3933" s="18" t="n">
        <v>1365870.0270798</v>
      </c>
      <c r="C3933" s="18" t="n">
        <v>0</v>
      </c>
      <c r="D3933" s="0" t="n">
        <v>0</v>
      </c>
      <c r="E3933" s="19" t="n">
        <v>43.0833333333333</v>
      </c>
    </row>
    <row r="3934" customFormat="false" ht="15" hidden="false" customHeight="false" outlineLevel="0" collapsed="false">
      <c r="A3934" s="0" t="n">
        <v>3933</v>
      </c>
      <c r="B3934" s="18" t="n">
        <v>266469.535345997</v>
      </c>
      <c r="C3934" s="18" t="n">
        <v>0</v>
      </c>
      <c r="D3934" s="0" t="n">
        <v>0</v>
      </c>
      <c r="E3934" s="19" t="n">
        <v>30.6666666666667</v>
      </c>
    </row>
    <row r="3935" customFormat="false" ht="15" hidden="false" customHeight="false" outlineLevel="0" collapsed="false">
      <c r="A3935" s="0" t="n">
        <v>3934</v>
      </c>
      <c r="B3935" s="18" t="n">
        <v>920257.572879939</v>
      </c>
      <c r="C3935" s="18" t="n">
        <v>0</v>
      </c>
      <c r="D3935" s="0" t="n">
        <v>0</v>
      </c>
      <c r="E3935" s="19" t="n">
        <v>47.9166666666667</v>
      </c>
    </row>
    <row r="3936" customFormat="false" ht="15" hidden="false" customHeight="false" outlineLevel="0" collapsed="false">
      <c r="A3936" s="0" t="n">
        <v>3935</v>
      </c>
      <c r="B3936" s="18" t="n">
        <v>1125265.06539241</v>
      </c>
      <c r="C3936" s="18" t="n">
        <v>0</v>
      </c>
      <c r="D3936" s="0" t="n">
        <v>0</v>
      </c>
      <c r="E3936" s="19" t="n">
        <v>47.75</v>
      </c>
    </row>
    <row r="3937" customFormat="false" ht="15" hidden="false" customHeight="false" outlineLevel="0" collapsed="false">
      <c r="A3937" s="0" t="n">
        <v>3936</v>
      </c>
      <c r="B3937" s="18" t="n">
        <v>385988.343223271</v>
      </c>
      <c r="C3937" s="18" t="n">
        <v>0</v>
      </c>
      <c r="D3937" s="0" t="n">
        <v>0</v>
      </c>
      <c r="E3937" s="19" t="n">
        <v>38.8333333333333</v>
      </c>
    </row>
    <row r="3938" customFormat="false" ht="15" hidden="false" customHeight="false" outlineLevel="0" collapsed="false">
      <c r="A3938" s="0" t="n">
        <v>3937</v>
      </c>
      <c r="B3938" s="18" t="n">
        <v>411685.807226795</v>
      </c>
      <c r="C3938" s="18" t="n">
        <v>0</v>
      </c>
      <c r="D3938" s="0" t="n">
        <v>0</v>
      </c>
      <c r="E3938" s="19" t="n">
        <v>30</v>
      </c>
    </row>
    <row r="3939" customFormat="false" ht="15" hidden="false" customHeight="false" outlineLevel="0" collapsed="false">
      <c r="A3939" s="0" t="n">
        <v>3938</v>
      </c>
      <c r="B3939" s="18" t="n">
        <v>946034.282380338</v>
      </c>
      <c r="C3939" s="18" t="n">
        <v>0</v>
      </c>
      <c r="D3939" s="0" t="n">
        <v>0</v>
      </c>
      <c r="E3939" s="19" t="n">
        <v>34.4166666666667</v>
      </c>
    </row>
    <row r="3940" customFormat="false" ht="15" hidden="false" customHeight="false" outlineLevel="0" collapsed="false">
      <c r="A3940" s="0" t="n">
        <v>3939</v>
      </c>
      <c r="B3940" s="18" t="n">
        <v>583847.850664365</v>
      </c>
      <c r="C3940" s="18" t="n">
        <v>0</v>
      </c>
      <c r="D3940" s="0" t="n">
        <v>0</v>
      </c>
      <c r="E3940" s="19" t="n">
        <v>32.9166666666667</v>
      </c>
    </row>
    <row r="3941" customFormat="false" ht="15" hidden="false" customHeight="false" outlineLevel="0" collapsed="false">
      <c r="A3941" s="0" t="n">
        <v>3940</v>
      </c>
      <c r="B3941" s="18" t="n">
        <v>1602450.96784187</v>
      </c>
      <c r="C3941" s="18" t="n">
        <v>0</v>
      </c>
      <c r="D3941" s="0" t="n">
        <v>0</v>
      </c>
      <c r="E3941" s="19" t="n">
        <v>49.4166666666667</v>
      </c>
    </row>
    <row r="3942" customFormat="false" ht="15" hidden="false" customHeight="false" outlineLevel="0" collapsed="false">
      <c r="A3942" s="0" t="n">
        <v>3941</v>
      </c>
      <c r="B3942" s="18" t="n">
        <v>1239364.56958075</v>
      </c>
      <c r="C3942" s="18" t="n">
        <v>8553582.15276908</v>
      </c>
      <c r="D3942" s="0" t="n">
        <v>1</v>
      </c>
    </row>
    <row r="3943" customFormat="false" ht="15" hidden="false" customHeight="false" outlineLevel="0" collapsed="false">
      <c r="A3943" s="0" t="n">
        <v>3942</v>
      </c>
      <c r="B3943" s="18" t="n">
        <v>995009.538056709</v>
      </c>
      <c r="C3943" s="18" t="n">
        <v>0</v>
      </c>
      <c r="D3943" s="0" t="n">
        <v>0</v>
      </c>
      <c r="E3943" s="19" t="n">
        <v>40.3333333333333</v>
      </c>
    </row>
    <row r="3944" customFormat="false" ht="15" hidden="false" customHeight="false" outlineLevel="0" collapsed="false">
      <c r="A3944" s="0" t="n">
        <v>3943</v>
      </c>
      <c r="B3944" s="18" t="n">
        <v>3054095.21274917</v>
      </c>
      <c r="C3944" s="18" t="n">
        <v>2063428.257206</v>
      </c>
      <c r="D3944" s="0" t="n">
        <v>1</v>
      </c>
    </row>
    <row r="3945" customFormat="false" ht="15" hidden="false" customHeight="false" outlineLevel="0" collapsed="false">
      <c r="A3945" s="0" t="n">
        <v>3944</v>
      </c>
      <c r="B3945" s="18" t="n">
        <v>515273.158259137</v>
      </c>
      <c r="C3945" s="18" t="n">
        <v>0</v>
      </c>
      <c r="D3945" s="0" t="n">
        <v>0</v>
      </c>
      <c r="E3945" s="19" t="n">
        <v>33.25</v>
      </c>
    </row>
    <row r="3946" customFormat="false" ht="15" hidden="false" customHeight="false" outlineLevel="0" collapsed="false">
      <c r="A3946" s="0" t="n">
        <v>3945</v>
      </c>
      <c r="B3946" s="18" t="n">
        <v>548267.191705726</v>
      </c>
      <c r="C3946" s="18" t="n">
        <v>0</v>
      </c>
      <c r="D3946" s="0" t="n">
        <v>0</v>
      </c>
      <c r="E3946" s="19" t="n">
        <v>31.3333333333333</v>
      </c>
    </row>
    <row r="3947" customFormat="false" ht="15" hidden="false" customHeight="false" outlineLevel="0" collapsed="false">
      <c r="A3947" s="0" t="n">
        <v>3946</v>
      </c>
      <c r="B3947" s="18" t="n">
        <v>384085.524602401</v>
      </c>
      <c r="C3947" s="18" t="n">
        <v>0</v>
      </c>
      <c r="D3947" s="0" t="n">
        <v>0</v>
      </c>
      <c r="E3947" s="19" t="n">
        <v>30.3333333333333</v>
      </c>
    </row>
    <row r="3948" customFormat="false" ht="15" hidden="false" customHeight="false" outlineLevel="0" collapsed="false">
      <c r="A3948" s="0" t="n">
        <v>3947</v>
      </c>
      <c r="B3948" s="18" t="n">
        <v>435725.263371549</v>
      </c>
      <c r="C3948" s="18" t="n">
        <v>0</v>
      </c>
      <c r="D3948" s="0" t="n">
        <v>0</v>
      </c>
      <c r="E3948" s="19" t="n">
        <v>32.75</v>
      </c>
    </row>
    <row r="3949" customFormat="false" ht="15" hidden="false" customHeight="false" outlineLevel="0" collapsed="false">
      <c r="A3949" s="0" t="n">
        <v>3948</v>
      </c>
      <c r="B3949" s="18" t="n">
        <v>587387.6717063</v>
      </c>
      <c r="C3949" s="18" t="n">
        <v>0</v>
      </c>
      <c r="D3949" s="0" t="n">
        <v>0</v>
      </c>
      <c r="E3949" s="19" t="n">
        <v>38.5833333333333</v>
      </c>
    </row>
    <row r="3950" customFormat="false" ht="15" hidden="false" customHeight="false" outlineLevel="0" collapsed="false">
      <c r="A3950" s="0" t="n">
        <v>3949</v>
      </c>
      <c r="B3950" s="18" t="n">
        <v>430940.437133646</v>
      </c>
      <c r="C3950" s="18" t="n">
        <v>0</v>
      </c>
      <c r="D3950" s="0" t="n">
        <v>0</v>
      </c>
      <c r="E3950" s="19" t="n">
        <v>30.5833333333333</v>
      </c>
    </row>
    <row r="3951" customFormat="false" ht="15" hidden="false" customHeight="false" outlineLevel="0" collapsed="false">
      <c r="A3951" s="0" t="n">
        <v>3950</v>
      </c>
      <c r="B3951" s="18" t="n">
        <v>1474751.06514769</v>
      </c>
      <c r="C3951" s="18" t="n">
        <v>759292.004321814</v>
      </c>
      <c r="D3951" s="0" t="n">
        <v>1</v>
      </c>
    </row>
    <row r="3952" customFormat="false" ht="15" hidden="false" customHeight="false" outlineLevel="0" collapsed="false">
      <c r="A3952" s="0" t="n">
        <v>3951</v>
      </c>
      <c r="B3952" s="18" t="n">
        <v>1164721.47967837</v>
      </c>
      <c r="C3952" s="18" t="n">
        <v>0</v>
      </c>
      <c r="D3952" s="0" t="n">
        <v>0</v>
      </c>
      <c r="E3952" s="19" t="n">
        <v>47.0833333333333</v>
      </c>
    </row>
    <row r="3953" customFormat="false" ht="15" hidden="false" customHeight="false" outlineLevel="0" collapsed="false">
      <c r="A3953" s="0" t="n">
        <v>3952</v>
      </c>
      <c r="B3953" s="18" t="n">
        <v>641262.556380589</v>
      </c>
      <c r="C3953" s="18" t="n">
        <v>0</v>
      </c>
      <c r="D3953" s="0" t="n">
        <v>0</v>
      </c>
      <c r="E3953" s="19" t="n">
        <v>36.9166666666667</v>
      </c>
    </row>
    <row r="3954" customFormat="false" ht="15" hidden="false" customHeight="false" outlineLevel="0" collapsed="false">
      <c r="A3954" s="0" t="n">
        <v>3953</v>
      </c>
      <c r="B3954" s="18" t="n">
        <v>694376.616569931</v>
      </c>
      <c r="C3954" s="18" t="n">
        <v>0</v>
      </c>
      <c r="D3954" s="0" t="n">
        <v>0</v>
      </c>
      <c r="E3954" s="19" t="n">
        <v>40.8333333333333</v>
      </c>
    </row>
    <row r="3955" customFormat="false" ht="15" hidden="false" customHeight="false" outlineLevel="0" collapsed="false">
      <c r="A3955" s="0" t="n">
        <v>3954</v>
      </c>
      <c r="B3955" s="18" t="n">
        <v>2100622.37126164</v>
      </c>
      <c r="C3955" s="18" t="n">
        <v>792095.538682232</v>
      </c>
      <c r="D3955" s="0" t="n">
        <v>1</v>
      </c>
    </row>
    <row r="3956" customFormat="false" ht="15" hidden="false" customHeight="false" outlineLevel="0" collapsed="false">
      <c r="A3956" s="0" t="n">
        <v>3955</v>
      </c>
      <c r="B3956" s="18" t="n">
        <v>1189796.68410344</v>
      </c>
      <c r="C3956" s="18" t="n">
        <v>13564707.5912521</v>
      </c>
      <c r="D3956" s="0" t="n">
        <v>1</v>
      </c>
    </row>
    <row r="3957" customFormat="false" ht="15" hidden="false" customHeight="false" outlineLevel="0" collapsed="false">
      <c r="A3957" s="0" t="n">
        <v>3956</v>
      </c>
      <c r="B3957" s="18" t="n">
        <v>813148.489493189</v>
      </c>
      <c r="C3957" s="18" t="n">
        <v>0</v>
      </c>
      <c r="D3957" s="0" t="n">
        <v>0</v>
      </c>
      <c r="E3957" s="19" t="n">
        <v>39.8333333333333</v>
      </c>
    </row>
    <row r="3958" customFormat="false" ht="15" hidden="false" customHeight="false" outlineLevel="0" collapsed="false">
      <c r="A3958" s="0" t="n">
        <v>3957</v>
      </c>
      <c r="B3958" s="18" t="n">
        <v>732751.288204593</v>
      </c>
      <c r="C3958" s="18" t="n">
        <v>0</v>
      </c>
      <c r="D3958" s="0" t="n">
        <v>0</v>
      </c>
      <c r="E3958" s="19" t="n">
        <v>37.25</v>
      </c>
    </row>
    <row r="3959" customFormat="false" ht="15" hidden="false" customHeight="false" outlineLevel="0" collapsed="false">
      <c r="A3959" s="0" t="n">
        <v>3958</v>
      </c>
      <c r="B3959" s="18" t="n">
        <v>1445806.32970307</v>
      </c>
      <c r="C3959" s="18" t="n">
        <v>2001318.66719499</v>
      </c>
      <c r="D3959" s="0" t="n">
        <v>1</v>
      </c>
    </row>
    <row r="3960" customFormat="false" ht="15" hidden="false" customHeight="false" outlineLevel="0" collapsed="false">
      <c r="A3960" s="0" t="n">
        <v>3959</v>
      </c>
      <c r="B3960" s="18" t="n">
        <v>670165.334514322</v>
      </c>
      <c r="C3960" s="18" t="n">
        <v>0</v>
      </c>
      <c r="D3960" s="0" t="n">
        <v>0</v>
      </c>
      <c r="E3960" s="19" t="n">
        <v>37.5833333333333</v>
      </c>
    </row>
    <row r="3961" customFormat="false" ht="15" hidden="false" customHeight="false" outlineLevel="0" collapsed="false">
      <c r="A3961" s="0" t="n">
        <v>3960</v>
      </c>
      <c r="B3961" s="18" t="n">
        <v>2178994.98275386</v>
      </c>
      <c r="C3961" s="18" t="n">
        <v>2835313.57991023</v>
      </c>
      <c r="D3961" s="0" t="n">
        <v>1</v>
      </c>
    </row>
    <row r="3962" customFormat="false" ht="15" hidden="false" customHeight="false" outlineLevel="0" collapsed="false">
      <c r="A3962" s="0" t="n">
        <v>3961</v>
      </c>
      <c r="B3962" s="18" t="n">
        <v>2442549.18146659</v>
      </c>
      <c r="C3962" s="18" t="n">
        <v>5299559.46849697</v>
      </c>
      <c r="D3962" s="0" t="n">
        <v>1</v>
      </c>
    </row>
    <row r="3963" customFormat="false" ht="15" hidden="false" customHeight="false" outlineLevel="0" collapsed="false">
      <c r="A3963" s="0" t="n">
        <v>3962</v>
      </c>
      <c r="B3963" s="18" t="n">
        <v>1243864.12846508</v>
      </c>
      <c r="C3963" s="18" t="n">
        <v>0</v>
      </c>
      <c r="D3963" s="0" t="n">
        <v>0</v>
      </c>
      <c r="E3963" s="19" t="n">
        <v>45.5833333333333</v>
      </c>
    </row>
    <row r="3964" customFormat="false" ht="15" hidden="false" customHeight="false" outlineLevel="0" collapsed="false">
      <c r="A3964" s="0" t="n">
        <v>3963</v>
      </c>
      <c r="B3964" s="18" t="n">
        <v>1813739.40240116</v>
      </c>
      <c r="C3964" s="18" t="n">
        <v>1096571.63158645</v>
      </c>
      <c r="D3964" s="0" t="n">
        <v>1</v>
      </c>
    </row>
    <row r="3965" customFormat="false" ht="15" hidden="false" customHeight="false" outlineLevel="0" collapsed="false">
      <c r="A3965" s="0" t="n">
        <v>3964</v>
      </c>
      <c r="B3965" s="18" t="n">
        <v>1150279.49329311</v>
      </c>
      <c r="C3965" s="18" t="n">
        <v>0</v>
      </c>
      <c r="D3965" s="0" t="n">
        <v>0</v>
      </c>
      <c r="E3965" s="19" t="n">
        <v>40.5</v>
      </c>
    </row>
    <row r="3966" customFormat="false" ht="15" hidden="false" customHeight="false" outlineLevel="0" collapsed="false">
      <c r="A3966" s="0" t="n">
        <v>3965</v>
      </c>
      <c r="B3966" s="18" t="n">
        <v>882237.164894238</v>
      </c>
      <c r="C3966" s="18" t="n">
        <v>0</v>
      </c>
      <c r="D3966" s="0" t="n">
        <v>0</v>
      </c>
      <c r="E3966" s="19" t="n">
        <v>38.75</v>
      </c>
    </row>
    <row r="3967" customFormat="false" ht="15" hidden="false" customHeight="false" outlineLevel="0" collapsed="false">
      <c r="A3967" s="0" t="n">
        <v>3966</v>
      </c>
      <c r="B3967" s="18" t="n">
        <v>2829603.29952718</v>
      </c>
      <c r="C3967" s="18" t="n">
        <v>1277443.18125028</v>
      </c>
      <c r="D3967" s="0" t="n">
        <v>1</v>
      </c>
    </row>
    <row r="3968" customFormat="false" ht="15" hidden="false" customHeight="false" outlineLevel="0" collapsed="false">
      <c r="A3968" s="0" t="n">
        <v>3967</v>
      </c>
      <c r="B3968" s="18" t="n">
        <v>445473.631585292</v>
      </c>
      <c r="C3968" s="18" t="n">
        <v>0</v>
      </c>
      <c r="D3968" s="0" t="n">
        <v>0</v>
      </c>
      <c r="E3968" s="19" t="n">
        <v>32.6666666666667</v>
      </c>
    </row>
    <row r="3969" customFormat="false" ht="15" hidden="false" customHeight="false" outlineLevel="0" collapsed="false">
      <c r="A3969" s="0" t="n">
        <v>3968</v>
      </c>
      <c r="B3969" s="18" t="n">
        <v>1074961.59265663</v>
      </c>
      <c r="C3969" s="18" t="n">
        <v>0</v>
      </c>
      <c r="D3969" s="0" t="n">
        <v>0</v>
      </c>
      <c r="E3969" s="19" t="n">
        <v>41.75</v>
      </c>
    </row>
    <row r="3970" customFormat="false" ht="15" hidden="false" customHeight="false" outlineLevel="0" collapsed="false">
      <c r="A3970" s="0" t="n">
        <v>3969</v>
      </c>
      <c r="B3970" s="18" t="n">
        <v>565415.370077684</v>
      </c>
      <c r="C3970" s="18" t="n">
        <v>0</v>
      </c>
      <c r="D3970" s="0" t="n">
        <v>0</v>
      </c>
      <c r="E3970" s="19" t="n">
        <v>35.75</v>
      </c>
    </row>
    <row r="3971" customFormat="false" ht="15" hidden="false" customHeight="false" outlineLevel="0" collapsed="false">
      <c r="A3971" s="0" t="n">
        <v>3970</v>
      </c>
      <c r="B3971" s="18" t="n">
        <v>569264.668927299</v>
      </c>
      <c r="C3971" s="18" t="n">
        <v>0</v>
      </c>
      <c r="D3971" s="0" t="n">
        <v>0</v>
      </c>
      <c r="E3971" s="19" t="n">
        <v>34.4166666666667</v>
      </c>
    </row>
    <row r="3972" customFormat="false" ht="15" hidden="false" customHeight="false" outlineLevel="0" collapsed="false">
      <c r="A3972" s="0" t="n">
        <v>3971</v>
      </c>
      <c r="B3972" s="18" t="n">
        <v>1684964.44220341</v>
      </c>
      <c r="C3972" s="18" t="n">
        <v>6526452.44155155</v>
      </c>
      <c r="D3972" s="0" t="n">
        <v>1</v>
      </c>
    </row>
    <row r="3973" customFormat="false" ht="15" hidden="false" customHeight="false" outlineLevel="0" collapsed="false">
      <c r="A3973" s="0" t="n">
        <v>3972</v>
      </c>
      <c r="B3973" s="18" t="n">
        <v>594818.178485924</v>
      </c>
      <c r="C3973" s="18" t="n">
        <v>0</v>
      </c>
      <c r="D3973" s="0" t="n">
        <v>0</v>
      </c>
      <c r="E3973" s="19" t="n">
        <v>35.6666666666667</v>
      </c>
    </row>
    <row r="3974" customFormat="false" ht="15" hidden="false" customHeight="false" outlineLevel="0" collapsed="false">
      <c r="A3974" s="0" t="n">
        <v>3973</v>
      </c>
      <c r="B3974" s="18" t="n">
        <v>778422.081895931</v>
      </c>
      <c r="C3974" s="18" t="n">
        <v>0</v>
      </c>
      <c r="D3974" s="0" t="n">
        <v>0</v>
      </c>
      <c r="E3974" s="19" t="n">
        <v>34.3333333333333</v>
      </c>
    </row>
    <row r="3975" customFormat="false" ht="15" hidden="false" customHeight="false" outlineLevel="0" collapsed="false">
      <c r="A3975" s="0" t="n">
        <v>3974</v>
      </c>
      <c r="B3975" s="18" t="n">
        <v>1892409.57430935</v>
      </c>
      <c r="C3975" s="18" t="n">
        <v>2037148.1834932</v>
      </c>
      <c r="D3975" s="0" t="n">
        <v>1</v>
      </c>
    </row>
    <row r="3976" customFormat="false" ht="15" hidden="false" customHeight="false" outlineLevel="0" collapsed="false">
      <c r="A3976" s="0" t="n">
        <v>3975</v>
      </c>
      <c r="B3976" s="18" t="n">
        <v>1643923.93110879</v>
      </c>
      <c r="C3976" s="18" t="n">
        <v>2066994.36583806</v>
      </c>
      <c r="D3976" s="0" t="n">
        <v>1</v>
      </c>
    </row>
    <row r="3977" customFormat="false" ht="15" hidden="false" customHeight="false" outlineLevel="0" collapsed="false">
      <c r="A3977" s="0" t="n">
        <v>3976</v>
      </c>
      <c r="B3977" s="18" t="n">
        <v>761637.095103277</v>
      </c>
      <c r="C3977" s="18" t="n">
        <v>0</v>
      </c>
      <c r="D3977" s="0" t="n">
        <v>0</v>
      </c>
      <c r="E3977" s="19" t="n">
        <v>52.5</v>
      </c>
    </row>
    <row r="3978" customFormat="false" ht="15" hidden="false" customHeight="false" outlineLevel="0" collapsed="false">
      <c r="A3978" s="0" t="n">
        <v>3977</v>
      </c>
      <c r="B3978" s="18" t="n">
        <v>1266326.58146232</v>
      </c>
      <c r="C3978" s="18" t="n">
        <v>6987499.39632694</v>
      </c>
      <c r="D3978" s="0" t="n">
        <v>1</v>
      </c>
    </row>
    <row r="3979" customFormat="false" ht="15" hidden="false" customHeight="false" outlineLevel="0" collapsed="false">
      <c r="A3979" s="0" t="n">
        <v>3978</v>
      </c>
      <c r="B3979" s="18" t="n">
        <v>818783.913674278</v>
      </c>
      <c r="C3979" s="18" t="n">
        <v>0</v>
      </c>
      <c r="D3979" s="0" t="n">
        <v>0</v>
      </c>
      <c r="E3979" s="19" t="n">
        <v>35.0833333333333</v>
      </c>
    </row>
    <row r="3980" customFormat="false" ht="15" hidden="false" customHeight="false" outlineLevel="0" collapsed="false">
      <c r="A3980" s="0" t="n">
        <v>3979</v>
      </c>
      <c r="B3980" s="18" t="n">
        <v>599032.024521067</v>
      </c>
      <c r="C3980" s="18" t="n">
        <v>0</v>
      </c>
      <c r="D3980" s="0" t="n">
        <v>0</v>
      </c>
      <c r="E3980" s="19" t="n">
        <v>35.5</v>
      </c>
    </row>
    <row r="3981" customFormat="false" ht="15" hidden="false" customHeight="false" outlineLevel="0" collapsed="false">
      <c r="A3981" s="0" t="n">
        <v>3980</v>
      </c>
      <c r="B3981" s="18" t="n">
        <v>1092702.1539474</v>
      </c>
      <c r="C3981" s="18" t="n">
        <v>429012.363539815</v>
      </c>
      <c r="D3981" s="0" t="n">
        <v>1</v>
      </c>
    </row>
    <row r="3982" customFormat="false" ht="15" hidden="false" customHeight="false" outlineLevel="0" collapsed="false">
      <c r="A3982" s="0" t="n">
        <v>3981</v>
      </c>
      <c r="B3982" s="18" t="n">
        <v>362012.170397705</v>
      </c>
      <c r="C3982" s="18" t="n">
        <v>0</v>
      </c>
      <c r="D3982" s="0" t="n">
        <v>0</v>
      </c>
      <c r="E3982" s="19" t="n">
        <v>31</v>
      </c>
    </row>
    <row r="3983" customFormat="false" ht="15" hidden="false" customHeight="false" outlineLevel="0" collapsed="false">
      <c r="A3983" s="0" t="n">
        <v>3982</v>
      </c>
      <c r="B3983" s="18" t="n">
        <v>772741.590377917</v>
      </c>
      <c r="C3983" s="18" t="n">
        <v>0</v>
      </c>
      <c r="D3983" s="0" t="n">
        <v>0</v>
      </c>
      <c r="E3983" s="19" t="n">
        <v>49.0833333333333</v>
      </c>
    </row>
    <row r="3984" customFormat="false" ht="15" hidden="false" customHeight="false" outlineLevel="0" collapsed="false">
      <c r="A3984" s="0" t="n">
        <v>3983</v>
      </c>
      <c r="B3984" s="18" t="n">
        <v>563940.181070971</v>
      </c>
      <c r="C3984" s="18" t="n">
        <v>0</v>
      </c>
      <c r="D3984" s="0" t="n">
        <v>0</v>
      </c>
      <c r="E3984" s="19" t="n">
        <v>34.0833333333333</v>
      </c>
    </row>
    <row r="3985" customFormat="false" ht="15" hidden="false" customHeight="false" outlineLevel="0" collapsed="false">
      <c r="A3985" s="0" t="n">
        <v>3984</v>
      </c>
      <c r="B3985" s="18" t="n">
        <v>1316866.11115478</v>
      </c>
      <c r="C3985" s="18" t="n">
        <v>0</v>
      </c>
      <c r="D3985" s="0" t="n">
        <v>0</v>
      </c>
      <c r="E3985" s="19" t="n">
        <v>42.9166666666667</v>
      </c>
    </row>
    <row r="3986" customFormat="false" ht="15" hidden="false" customHeight="false" outlineLevel="0" collapsed="false">
      <c r="A3986" s="0" t="n">
        <v>3985</v>
      </c>
      <c r="B3986" s="18" t="n">
        <v>953575.065615597</v>
      </c>
      <c r="C3986" s="18" t="n">
        <v>404089.75670687</v>
      </c>
      <c r="D3986" s="0" t="n">
        <v>1</v>
      </c>
    </row>
    <row r="3987" customFormat="false" ht="15" hidden="false" customHeight="false" outlineLevel="0" collapsed="false">
      <c r="A3987" s="0" t="n">
        <v>3986</v>
      </c>
      <c r="B3987" s="18" t="n">
        <v>1055021.71291945</v>
      </c>
      <c r="C3987" s="18" t="n">
        <v>0</v>
      </c>
      <c r="D3987" s="0" t="n">
        <v>0</v>
      </c>
      <c r="E3987" s="19" t="n">
        <v>53</v>
      </c>
    </row>
    <row r="3988" customFormat="false" ht="15" hidden="false" customHeight="false" outlineLevel="0" collapsed="false">
      <c r="A3988" s="0" t="n">
        <v>3987</v>
      </c>
      <c r="B3988" s="18" t="n">
        <v>664845.14171337</v>
      </c>
      <c r="C3988" s="18" t="n">
        <v>0</v>
      </c>
      <c r="D3988" s="0" t="n">
        <v>0</v>
      </c>
      <c r="E3988" s="19" t="n">
        <v>34.3333333333333</v>
      </c>
    </row>
    <row r="3989" customFormat="false" ht="15" hidden="false" customHeight="false" outlineLevel="0" collapsed="false">
      <c r="A3989" s="0" t="n">
        <v>3988</v>
      </c>
      <c r="B3989" s="18" t="n">
        <v>556318.036817281</v>
      </c>
      <c r="C3989" s="18" t="n">
        <v>0</v>
      </c>
      <c r="D3989" s="0" t="n">
        <v>0</v>
      </c>
      <c r="E3989" s="19" t="n">
        <v>33.1666666666667</v>
      </c>
    </row>
    <row r="3990" customFormat="false" ht="15" hidden="false" customHeight="false" outlineLevel="0" collapsed="false">
      <c r="A3990" s="0" t="n">
        <v>3989</v>
      </c>
      <c r="B3990" s="18" t="n">
        <v>413251.578924426</v>
      </c>
      <c r="C3990" s="18" t="n">
        <v>0</v>
      </c>
      <c r="D3990" s="0" t="n">
        <v>0</v>
      </c>
      <c r="E3990" s="19" t="n">
        <v>33.75</v>
      </c>
    </row>
    <row r="3991" customFormat="false" ht="15" hidden="false" customHeight="false" outlineLevel="0" collapsed="false">
      <c r="A3991" s="0" t="n">
        <v>3990</v>
      </c>
      <c r="B3991" s="18" t="n">
        <v>362445.611800009</v>
      </c>
      <c r="C3991" s="18" t="n">
        <v>0</v>
      </c>
      <c r="D3991" s="0" t="n">
        <v>0</v>
      </c>
      <c r="E3991" s="19" t="n">
        <v>30.9166666666667</v>
      </c>
    </row>
    <row r="3992" customFormat="false" ht="15" hidden="false" customHeight="false" outlineLevel="0" collapsed="false">
      <c r="A3992" s="0" t="n">
        <v>3991</v>
      </c>
      <c r="B3992" s="18" t="n">
        <v>1040105.38101403</v>
      </c>
      <c r="C3992" s="18" t="n">
        <v>0</v>
      </c>
      <c r="D3992" s="0" t="n">
        <v>0</v>
      </c>
      <c r="E3992" s="19" t="n">
        <v>41.6666666666667</v>
      </c>
    </row>
    <row r="3993" customFormat="false" ht="15" hidden="false" customHeight="false" outlineLevel="0" collapsed="false">
      <c r="A3993" s="0" t="n">
        <v>3992</v>
      </c>
      <c r="B3993" s="18" t="n">
        <v>721427.96059491</v>
      </c>
      <c r="C3993" s="18" t="n">
        <v>0</v>
      </c>
      <c r="D3993" s="0" t="n">
        <v>0</v>
      </c>
      <c r="E3993" s="19" t="n">
        <v>47.0833333333333</v>
      </c>
    </row>
    <row r="3994" customFormat="false" ht="15" hidden="false" customHeight="false" outlineLevel="0" collapsed="false">
      <c r="A3994" s="0" t="n">
        <v>3993</v>
      </c>
      <c r="B3994" s="18" t="n">
        <v>455451.844299696</v>
      </c>
      <c r="C3994" s="18" t="n">
        <v>0</v>
      </c>
      <c r="D3994" s="0" t="n">
        <v>0</v>
      </c>
      <c r="E3994" s="19" t="n">
        <v>31.4166666666667</v>
      </c>
    </row>
    <row r="3995" customFormat="false" ht="15" hidden="false" customHeight="false" outlineLevel="0" collapsed="false">
      <c r="A3995" s="0" t="n">
        <v>3994</v>
      </c>
      <c r="B3995" s="18" t="n">
        <v>344065.229376246</v>
      </c>
      <c r="C3995" s="18" t="n">
        <v>0</v>
      </c>
      <c r="D3995" s="0" t="n">
        <v>0</v>
      </c>
      <c r="E3995" s="19" t="n">
        <v>31.5</v>
      </c>
    </row>
    <row r="3996" customFormat="false" ht="15" hidden="false" customHeight="false" outlineLevel="0" collapsed="false">
      <c r="A3996" s="0" t="n">
        <v>3995</v>
      </c>
      <c r="B3996" s="18" t="n">
        <v>1760713.51926362</v>
      </c>
      <c r="C3996" s="18" t="n">
        <v>15575876.6022305</v>
      </c>
      <c r="D3996" s="0" t="n">
        <v>1</v>
      </c>
    </row>
    <row r="3997" customFormat="false" ht="15" hidden="false" customHeight="false" outlineLevel="0" collapsed="false">
      <c r="A3997" s="0" t="n">
        <v>3996</v>
      </c>
      <c r="B3997" s="18" t="n">
        <v>1589504.74692971</v>
      </c>
      <c r="C3997" s="18" t="n">
        <v>0</v>
      </c>
      <c r="D3997" s="0" t="n">
        <v>0</v>
      </c>
      <c r="E3997" s="19" t="n">
        <v>51.0833333333333</v>
      </c>
    </row>
    <row r="3998" customFormat="false" ht="15" hidden="false" customHeight="false" outlineLevel="0" collapsed="false">
      <c r="A3998" s="0" t="n">
        <v>3997</v>
      </c>
      <c r="B3998" s="18" t="n">
        <v>1189255.01683557</v>
      </c>
      <c r="C3998" s="18" t="n">
        <v>4114448.14205258</v>
      </c>
      <c r="D3998" s="0" t="n">
        <v>1</v>
      </c>
    </row>
    <row r="3999" customFormat="false" ht="15" hidden="false" customHeight="false" outlineLevel="0" collapsed="false">
      <c r="A3999" s="0" t="n">
        <v>3998</v>
      </c>
      <c r="B3999" s="18" t="n">
        <v>1892901.31240433</v>
      </c>
      <c r="C3999" s="18" t="n">
        <v>16229782.0083946</v>
      </c>
      <c r="D3999" s="0" t="n">
        <v>1</v>
      </c>
    </row>
    <row r="4000" customFormat="false" ht="15" hidden="false" customHeight="false" outlineLevel="0" collapsed="false">
      <c r="A4000" s="0" t="n">
        <v>3999</v>
      </c>
      <c r="B4000" s="18" t="n">
        <v>707724.831371181</v>
      </c>
      <c r="C4000" s="18" t="n">
        <v>0</v>
      </c>
      <c r="D4000" s="0" t="n">
        <v>0</v>
      </c>
      <c r="E4000" s="19" t="n">
        <v>43</v>
      </c>
    </row>
    <row r="4001" customFormat="false" ht="15" hidden="false" customHeight="false" outlineLevel="0" collapsed="false">
      <c r="A4001" s="0" t="n">
        <v>4000</v>
      </c>
      <c r="B4001" s="18" t="n">
        <v>777980.733215626</v>
      </c>
      <c r="C4001" s="18" t="n">
        <v>0</v>
      </c>
      <c r="D4001" s="0" t="n">
        <v>0</v>
      </c>
      <c r="E4001" s="19" t="n">
        <v>37.25</v>
      </c>
    </row>
    <row r="4002" customFormat="false" ht="15" hidden="false" customHeight="false" outlineLevel="0" collapsed="false">
      <c r="A4002" s="0" t="n">
        <v>4001</v>
      </c>
      <c r="B4002" s="18" t="n">
        <v>1694228.61006105</v>
      </c>
      <c r="C4002" s="18" t="n">
        <v>9969841.36092369</v>
      </c>
      <c r="D4002" s="0" t="n">
        <v>1</v>
      </c>
    </row>
    <row r="4003" customFormat="false" ht="15" hidden="false" customHeight="false" outlineLevel="0" collapsed="false">
      <c r="A4003" s="0" t="n">
        <v>4002</v>
      </c>
      <c r="B4003" s="18" t="n">
        <v>642539.601053622</v>
      </c>
      <c r="C4003" s="18" t="n">
        <v>0</v>
      </c>
      <c r="D4003" s="0" t="n">
        <v>0</v>
      </c>
      <c r="E4003" s="19" t="n">
        <v>33.5</v>
      </c>
    </row>
    <row r="4004" customFormat="false" ht="15" hidden="false" customHeight="false" outlineLevel="0" collapsed="false">
      <c r="A4004" s="0" t="n">
        <v>4003</v>
      </c>
      <c r="B4004" s="18" t="n">
        <v>520086.931688995</v>
      </c>
      <c r="C4004" s="18" t="n">
        <v>0</v>
      </c>
      <c r="D4004" s="0" t="n">
        <v>0</v>
      </c>
      <c r="E4004" s="19" t="n">
        <v>40.9166666666667</v>
      </c>
    </row>
    <row r="4005" customFormat="false" ht="15" hidden="false" customHeight="false" outlineLevel="0" collapsed="false">
      <c r="A4005" s="0" t="n">
        <v>4004</v>
      </c>
      <c r="B4005" s="18" t="n">
        <v>633842.100664525</v>
      </c>
      <c r="C4005" s="18" t="n">
        <v>0</v>
      </c>
      <c r="D4005" s="0" t="n">
        <v>0</v>
      </c>
      <c r="E4005" s="19" t="n">
        <v>31.9166666666667</v>
      </c>
    </row>
    <row r="4006" customFormat="false" ht="15" hidden="false" customHeight="false" outlineLevel="0" collapsed="false">
      <c r="A4006" s="0" t="n">
        <v>4005</v>
      </c>
      <c r="B4006" s="18" t="n">
        <v>351201.496756776</v>
      </c>
      <c r="C4006" s="18" t="n">
        <v>0</v>
      </c>
      <c r="D4006" s="0" t="n">
        <v>0</v>
      </c>
      <c r="E4006" s="19" t="n">
        <v>30.5833333333333</v>
      </c>
    </row>
    <row r="4007" customFormat="false" ht="15" hidden="false" customHeight="false" outlineLevel="0" collapsed="false">
      <c r="A4007" s="0" t="n">
        <v>4006</v>
      </c>
      <c r="B4007" s="18" t="n">
        <v>2432881.45559407</v>
      </c>
      <c r="C4007" s="18" t="n">
        <v>7469310.98784229</v>
      </c>
      <c r="D4007" s="0" t="n">
        <v>1</v>
      </c>
    </row>
    <row r="4008" customFormat="false" ht="15" hidden="false" customHeight="false" outlineLevel="0" collapsed="false">
      <c r="A4008" s="0" t="n">
        <v>4007</v>
      </c>
      <c r="B4008" s="18" t="n">
        <v>902249.297590939</v>
      </c>
      <c r="C4008" s="18" t="n">
        <v>453166.607456769</v>
      </c>
      <c r="D4008" s="0" t="n">
        <v>1</v>
      </c>
    </row>
    <row r="4009" customFormat="false" ht="15" hidden="false" customHeight="false" outlineLevel="0" collapsed="false">
      <c r="A4009" s="0" t="n">
        <v>4008</v>
      </c>
      <c r="B4009" s="18" t="n">
        <v>720447.521559581</v>
      </c>
      <c r="C4009" s="18" t="n">
        <v>0</v>
      </c>
      <c r="D4009" s="0" t="n">
        <v>0</v>
      </c>
      <c r="E4009" s="19" t="n">
        <v>52.3333333333333</v>
      </c>
    </row>
    <row r="4010" customFormat="false" ht="15" hidden="false" customHeight="false" outlineLevel="0" collapsed="false">
      <c r="A4010" s="0" t="n">
        <v>4009</v>
      </c>
      <c r="B4010" s="18" t="n">
        <v>949869.706764771</v>
      </c>
      <c r="C4010" s="18" t="n">
        <v>0</v>
      </c>
      <c r="D4010" s="0" t="n">
        <v>0</v>
      </c>
      <c r="E4010" s="19" t="n">
        <v>47.3333333333333</v>
      </c>
    </row>
    <row r="4011" customFormat="false" ht="15" hidden="false" customHeight="false" outlineLevel="0" collapsed="false">
      <c r="A4011" s="0" t="n">
        <v>4010</v>
      </c>
      <c r="B4011" s="18" t="n">
        <v>923691.952000998</v>
      </c>
      <c r="C4011" s="18" t="n">
        <v>0</v>
      </c>
      <c r="D4011" s="0" t="n">
        <v>0</v>
      </c>
      <c r="E4011" s="19" t="n">
        <v>54.5833333333333</v>
      </c>
    </row>
    <row r="4012" customFormat="false" ht="15" hidden="false" customHeight="false" outlineLevel="0" collapsed="false">
      <c r="A4012" s="0" t="n">
        <v>4011</v>
      </c>
      <c r="B4012" s="18" t="n">
        <v>1337432.16667903</v>
      </c>
      <c r="C4012" s="18" t="n">
        <v>0</v>
      </c>
      <c r="D4012" s="0" t="n">
        <v>0</v>
      </c>
      <c r="E4012" s="19" t="n">
        <v>53.6666666666667</v>
      </c>
    </row>
    <row r="4013" customFormat="false" ht="15" hidden="false" customHeight="false" outlineLevel="0" collapsed="false">
      <c r="A4013" s="0" t="n">
        <v>4012</v>
      </c>
      <c r="B4013" s="18" t="n">
        <v>924505.076245241</v>
      </c>
      <c r="C4013" s="18" t="n">
        <v>0</v>
      </c>
      <c r="D4013" s="0" t="n">
        <v>0</v>
      </c>
      <c r="E4013" s="19" t="n">
        <v>50.0833333333333</v>
      </c>
    </row>
    <row r="4014" customFormat="false" ht="15" hidden="false" customHeight="false" outlineLevel="0" collapsed="false">
      <c r="A4014" s="0" t="n">
        <v>4013</v>
      </c>
      <c r="B4014" s="18" t="n">
        <v>599435.367512053</v>
      </c>
      <c r="C4014" s="18" t="n">
        <v>0</v>
      </c>
      <c r="D4014" s="0" t="n">
        <v>0</v>
      </c>
      <c r="E4014" s="19" t="n">
        <v>40</v>
      </c>
    </row>
    <row r="4015" customFormat="false" ht="15" hidden="false" customHeight="false" outlineLevel="0" collapsed="false">
      <c r="A4015" s="0" t="n">
        <v>4014</v>
      </c>
      <c r="B4015" s="18" t="n">
        <v>824098.634657901</v>
      </c>
      <c r="C4015" s="18" t="n">
        <v>0</v>
      </c>
      <c r="D4015" s="0" t="n">
        <v>0</v>
      </c>
      <c r="E4015" s="19" t="n">
        <v>36.75</v>
      </c>
    </row>
    <row r="4016" customFormat="false" ht="15" hidden="false" customHeight="false" outlineLevel="0" collapsed="false">
      <c r="A4016" s="0" t="n">
        <v>4015</v>
      </c>
      <c r="B4016" s="18" t="n">
        <v>829360.915882781</v>
      </c>
      <c r="C4016" s="18" t="n">
        <v>0</v>
      </c>
      <c r="D4016" s="0" t="n">
        <v>0</v>
      </c>
      <c r="E4016" s="19" t="n">
        <v>36.3333333333333</v>
      </c>
    </row>
    <row r="4017" customFormat="false" ht="15" hidden="false" customHeight="false" outlineLevel="0" collapsed="false">
      <c r="A4017" s="0" t="n">
        <v>4016</v>
      </c>
      <c r="B4017" s="18" t="n">
        <v>5614614.65320844</v>
      </c>
      <c r="C4017" s="18" t="n">
        <v>26321539.1790338</v>
      </c>
      <c r="D4017" s="0" t="n">
        <v>1</v>
      </c>
    </row>
    <row r="4018" customFormat="false" ht="15" hidden="false" customHeight="false" outlineLevel="0" collapsed="false">
      <c r="A4018" s="0" t="n">
        <v>4017</v>
      </c>
      <c r="B4018" s="18" t="n">
        <v>851586.456402149</v>
      </c>
      <c r="C4018" s="18" t="n">
        <v>0</v>
      </c>
      <c r="D4018" s="0" t="n">
        <v>0</v>
      </c>
      <c r="E4018" s="19" t="n">
        <v>37.9166666666667</v>
      </c>
    </row>
    <row r="4019" customFormat="false" ht="15" hidden="false" customHeight="false" outlineLevel="0" collapsed="false">
      <c r="A4019" s="0" t="n">
        <v>4018</v>
      </c>
      <c r="B4019" s="18" t="n">
        <v>819132.287269416</v>
      </c>
      <c r="C4019" s="18" t="n">
        <v>3666.78339042532</v>
      </c>
      <c r="D4019" s="0" t="n">
        <v>1</v>
      </c>
    </row>
    <row r="4020" customFormat="false" ht="15" hidden="false" customHeight="false" outlineLevel="0" collapsed="false">
      <c r="A4020" s="0" t="n">
        <v>4019</v>
      </c>
      <c r="B4020" s="18" t="n">
        <v>417717.626855855</v>
      </c>
      <c r="C4020" s="18" t="n">
        <v>0</v>
      </c>
      <c r="D4020" s="0" t="n">
        <v>0</v>
      </c>
      <c r="E4020" s="19" t="n">
        <v>36.5</v>
      </c>
    </row>
    <row r="4021" customFormat="false" ht="15" hidden="false" customHeight="false" outlineLevel="0" collapsed="false">
      <c r="A4021" s="0" t="n">
        <v>4020</v>
      </c>
      <c r="B4021" s="18" t="n">
        <v>679039.337117882</v>
      </c>
      <c r="C4021" s="18" t="n">
        <v>0</v>
      </c>
      <c r="D4021" s="0" t="n">
        <v>0</v>
      </c>
      <c r="E4021" s="19" t="n">
        <v>37.5</v>
      </c>
    </row>
    <row r="4022" customFormat="false" ht="15" hidden="false" customHeight="false" outlineLevel="0" collapsed="false">
      <c r="A4022" s="0" t="n">
        <v>4021</v>
      </c>
      <c r="B4022" s="18" t="n">
        <v>999785.199056962</v>
      </c>
      <c r="C4022" s="18" t="n">
        <v>3092830.38928906</v>
      </c>
      <c r="D4022" s="0" t="n">
        <v>1</v>
      </c>
    </row>
    <row r="4023" customFormat="false" ht="15" hidden="false" customHeight="false" outlineLevel="0" collapsed="false">
      <c r="A4023" s="0" t="n">
        <v>4022</v>
      </c>
      <c r="B4023" s="18" t="n">
        <v>1596664.67448168</v>
      </c>
      <c r="C4023" s="18" t="n">
        <v>760107.872515723</v>
      </c>
      <c r="D4023" s="0" t="n">
        <v>1</v>
      </c>
    </row>
    <row r="4024" customFormat="false" ht="15" hidden="false" customHeight="false" outlineLevel="0" collapsed="false">
      <c r="A4024" s="0" t="n">
        <v>4023</v>
      </c>
      <c r="B4024" s="18" t="n">
        <v>580490.242511908</v>
      </c>
      <c r="C4024" s="18" t="n">
        <v>0</v>
      </c>
      <c r="D4024" s="0" t="n">
        <v>0</v>
      </c>
      <c r="E4024" s="19" t="n">
        <v>34.6666666666667</v>
      </c>
    </row>
    <row r="4025" customFormat="false" ht="15" hidden="false" customHeight="false" outlineLevel="0" collapsed="false">
      <c r="A4025" s="0" t="n">
        <v>4024</v>
      </c>
      <c r="B4025" s="18" t="n">
        <v>1150622.87274618</v>
      </c>
      <c r="C4025" s="18" t="n">
        <v>0</v>
      </c>
      <c r="D4025" s="0" t="n">
        <v>0</v>
      </c>
      <c r="E4025" s="19" t="n">
        <v>47.75</v>
      </c>
    </row>
    <row r="4026" customFormat="false" ht="15" hidden="false" customHeight="false" outlineLevel="0" collapsed="false">
      <c r="A4026" s="0" t="n">
        <v>4025</v>
      </c>
      <c r="B4026" s="18" t="n">
        <v>1328866.73765306</v>
      </c>
      <c r="C4026" s="18" t="n">
        <v>0</v>
      </c>
      <c r="D4026" s="0" t="n">
        <v>0</v>
      </c>
      <c r="E4026" s="19" t="n">
        <v>44.5</v>
      </c>
    </row>
    <row r="4027" customFormat="false" ht="15" hidden="false" customHeight="false" outlineLevel="0" collapsed="false">
      <c r="A4027" s="0" t="n">
        <v>4026</v>
      </c>
      <c r="B4027" s="18" t="n">
        <v>708608.897042311</v>
      </c>
      <c r="C4027" s="18" t="n">
        <v>0</v>
      </c>
      <c r="D4027" s="0" t="n">
        <v>0</v>
      </c>
      <c r="E4027" s="19" t="n">
        <v>41</v>
      </c>
    </row>
    <row r="4028" customFormat="false" ht="15" hidden="false" customHeight="false" outlineLevel="0" collapsed="false">
      <c r="A4028" s="0" t="n">
        <v>4027</v>
      </c>
      <c r="B4028" s="18" t="n">
        <v>415386.139537735</v>
      </c>
      <c r="C4028" s="18" t="n">
        <v>0</v>
      </c>
      <c r="D4028" s="0" t="n">
        <v>0</v>
      </c>
      <c r="E4028" s="19" t="n">
        <v>32.0833333333333</v>
      </c>
    </row>
    <row r="4029" customFormat="false" ht="15" hidden="false" customHeight="false" outlineLevel="0" collapsed="false">
      <c r="A4029" s="0" t="n">
        <v>4028</v>
      </c>
      <c r="B4029" s="18" t="n">
        <v>740793.501657907</v>
      </c>
      <c r="C4029" s="18" t="n">
        <v>0</v>
      </c>
      <c r="D4029" s="0" t="n">
        <v>0</v>
      </c>
      <c r="E4029" s="19" t="n">
        <v>33.75</v>
      </c>
    </row>
    <row r="4030" customFormat="false" ht="15" hidden="false" customHeight="false" outlineLevel="0" collapsed="false">
      <c r="A4030" s="0" t="n">
        <v>4029</v>
      </c>
      <c r="B4030" s="18" t="n">
        <v>582570.059012719</v>
      </c>
      <c r="C4030" s="18" t="n">
        <v>0</v>
      </c>
      <c r="D4030" s="0" t="n">
        <v>0</v>
      </c>
      <c r="E4030" s="19" t="n">
        <v>38.8333333333333</v>
      </c>
    </row>
    <row r="4031" customFormat="false" ht="15" hidden="false" customHeight="false" outlineLevel="0" collapsed="false">
      <c r="A4031" s="0" t="n">
        <v>4030</v>
      </c>
      <c r="B4031" s="18" t="n">
        <v>942890.373993056</v>
      </c>
      <c r="C4031" s="18" t="n">
        <v>0</v>
      </c>
      <c r="D4031" s="0" t="n">
        <v>0</v>
      </c>
      <c r="E4031" s="19" t="n">
        <v>43.8333333333333</v>
      </c>
    </row>
    <row r="4032" customFormat="false" ht="15" hidden="false" customHeight="false" outlineLevel="0" collapsed="false">
      <c r="A4032" s="0" t="n">
        <v>4031</v>
      </c>
      <c r="B4032" s="18" t="n">
        <v>605731.292624552</v>
      </c>
      <c r="C4032" s="18" t="n">
        <v>0</v>
      </c>
      <c r="D4032" s="0" t="n">
        <v>0</v>
      </c>
      <c r="E4032" s="19" t="n">
        <v>39.75</v>
      </c>
    </row>
    <row r="4033" customFormat="false" ht="15" hidden="false" customHeight="false" outlineLevel="0" collapsed="false">
      <c r="A4033" s="0" t="n">
        <v>4032</v>
      </c>
      <c r="B4033" s="18" t="n">
        <v>554893.966591441</v>
      </c>
      <c r="C4033" s="18" t="n">
        <v>0</v>
      </c>
      <c r="D4033" s="0" t="n">
        <v>0</v>
      </c>
      <c r="E4033" s="19" t="n">
        <v>43.6666666666667</v>
      </c>
    </row>
    <row r="4034" customFormat="false" ht="15" hidden="false" customHeight="false" outlineLevel="0" collapsed="false">
      <c r="A4034" s="0" t="n">
        <v>4033</v>
      </c>
      <c r="B4034" s="18" t="n">
        <v>1195808.91502776</v>
      </c>
      <c r="C4034" s="18" t="n">
        <v>12153915.0533308</v>
      </c>
      <c r="D4034" s="0" t="n">
        <v>1</v>
      </c>
    </row>
    <row r="4035" customFormat="false" ht="15" hidden="false" customHeight="false" outlineLevel="0" collapsed="false">
      <c r="A4035" s="0" t="n">
        <v>4034</v>
      </c>
      <c r="B4035" s="18" t="n">
        <v>789709.52085973</v>
      </c>
      <c r="C4035" s="18" t="n">
        <v>0</v>
      </c>
      <c r="D4035" s="0" t="n">
        <v>0</v>
      </c>
      <c r="E4035" s="19" t="n">
        <v>44.8333333333333</v>
      </c>
    </row>
    <row r="4036" customFormat="false" ht="15" hidden="false" customHeight="false" outlineLevel="0" collapsed="false">
      <c r="A4036" s="0" t="n">
        <v>4035</v>
      </c>
      <c r="B4036" s="18" t="n">
        <v>894351.206797618</v>
      </c>
      <c r="C4036" s="18" t="n">
        <v>604978.368179316</v>
      </c>
      <c r="D4036" s="0" t="n">
        <v>1</v>
      </c>
    </row>
    <row r="4037" customFormat="false" ht="15" hidden="false" customHeight="false" outlineLevel="0" collapsed="false">
      <c r="A4037" s="0" t="n">
        <v>4036</v>
      </c>
      <c r="B4037" s="18" t="n">
        <v>1085020.73992387</v>
      </c>
      <c r="C4037" s="18" t="n">
        <v>0</v>
      </c>
      <c r="D4037" s="0" t="n">
        <v>0</v>
      </c>
      <c r="E4037" s="19" t="n">
        <v>40.3333333333333</v>
      </c>
    </row>
    <row r="4038" customFormat="false" ht="15" hidden="false" customHeight="false" outlineLevel="0" collapsed="false">
      <c r="A4038" s="0" t="n">
        <v>4037</v>
      </c>
      <c r="B4038" s="18" t="n">
        <v>1213630.56246111</v>
      </c>
      <c r="C4038" s="18" t="n">
        <v>11799768.8241035</v>
      </c>
      <c r="D4038" s="0" t="n">
        <v>1</v>
      </c>
    </row>
    <row r="4039" customFormat="false" ht="15" hidden="false" customHeight="false" outlineLevel="0" collapsed="false">
      <c r="A4039" s="0" t="n">
        <v>4038</v>
      </c>
      <c r="B4039" s="18" t="n">
        <v>607698.611727726</v>
      </c>
      <c r="C4039" s="18" t="n">
        <v>0</v>
      </c>
      <c r="D4039" s="0" t="n">
        <v>0</v>
      </c>
      <c r="E4039" s="19" t="n">
        <v>38.6666666666667</v>
      </c>
    </row>
    <row r="4040" customFormat="false" ht="15" hidden="false" customHeight="false" outlineLevel="0" collapsed="false">
      <c r="A4040" s="0" t="n">
        <v>4039</v>
      </c>
      <c r="B4040" s="18" t="n">
        <v>1129567.8668527</v>
      </c>
      <c r="C4040" s="18" t="n">
        <v>0</v>
      </c>
      <c r="D4040" s="0" t="n">
        <v>0</v>
      </c>
      <c r="E4040" s="19" t="n">
        <v>50.0833333333333</v>
      </c>
    </row>
    <row r="4041" customFormat="false" ht="15" hidden="false" customHeight="false" outlineLevel="0" collapsed="false">
      <c r="A4041" s="0" t="n">
        <v>4040</v>
      </c>
      <c r="B4041" s="18" t="n">
        <v>1180307.16127449</v>
      </c>
      <c r="C4041" s="18" t="n">
        <v>0</v>
      </c>
      <c r="D4041" s="0" t="n">
        <v>0</v>
      </c>
      <c r="E4041" s="19" t="n">
        <v>41.5833333333333</v>
      </c>
    </row>
    <row r="4042" customFormat="false" ht="15" hidden="false" customHeight="false" outlineLevel="0" collapsed="false">
      <c r="A4042" s="0" t="n">
        <v>4041</v>
      </c>
      <c r="B4042" s="18" t="n">
        <v>783153.40778026</v>
      </c>
      <c r="C4042" s="18" t="n">
        <v>0</v>
      </c>
      <c r="D4042" s="0" t="n">
        <v>0</v>
      </c>
      <c r="E4042" s="19" t="n">
        <v>51.9166666666667</v>
      </c>
    </row>
    <row r="4043" customFormat="false" ht="15" hidden="false" customHeight="false" outlineLevel="0" collapsed="false">
      <c r="A4043" s="0" t="n">
        <v>4042</v>
      </c>
      <c r="B4043" s="18" t="n">
        <v>743188.593731858</v>
      </c>
      <c r="C4043" s="18" t="n">
        <v>0</v>
      </c>
      <c r="D4043" s="0" t="n">
        <v>0</v>
      </c>
      <c r="E4043" s="19" t="n">
        <v>33.3333333333333</v>
      </c>
    </row>
    <row r="4044" customFormat="false" ht="15" hidden="false" customHeight="false" outlineLevel="0" collapsed="false">
      <c r="A4044" s="0" t="n">
        <v>4043</v>
      </c>
      <c r="B4044" s="18" t="n">
        <v>1314865.7698967</v>
      </c>
      <c r="C4044" s="18" t="n">
        <v>0</v>
      </c>
      <c r="D4044" s="0" t="n">
        <v>0</v>
      </c>
      <c r="E4044" s="19" t="n">
        <v>44.25</v>
      </c>
    </row>
    <row r="4045" customFormat="false" ht="15" hidden="false" customHeight="false" outlineLevel="0" collapsed="false">
      <c r="A4045" s="0" t="n">
        <v>4044</v>
      </c>
      <c r="B4045" s="18" t="n">
        <v>893957.006472873</v>
      </c>
      <c r="C4045" s="18" t="n">
        <v>0</v>
      </c>
      <c r="D4045" s="0" t="n">
        <v>0</v>
      </c>
      <c r="E4045" s="19" t="n">
        <v>38.5833333333333</v>
      </c>
    </row>
    <row r="4046" customFormat="false" ht="15" hidden="false" customHeight="false" outlineLevel="0" collapsed="false">
      <c r="A4046" s="0" t="n">
        <v>4045</v>
      </c>
      <c r="B4046" s="18" t="n">
        <v>1628071.46519329</v>
      </c>
      <c r="C4046" s="18" t="n">
        <v>10460687.1514068</v>
      </c>
      <c r="D4046" s="0" t="n">
        <v>1</v>
      </c>
    </row>
    <row r="4047" customFormat="false" ht="15" hidden="false" customHeight="false" outlineLevel="0" collapsed="false">
      <c r="A4047" s="0" t="n">
        <v>4046</v>
      </c>
      <c r="B4047" s="18" t="n">
        <v>351438.360451804</v>
      </c>
      <c r="C4047" s="18" t="n">
        <v>0</v>
      </c>
      <c r="D4047" s="0" t="n">
        <v>0</v>
      </c>
      <c r="E4047" s="19" t="n">
        <v>32.9166666666667</v>
      </c>
    </row>
    <row r="4048" customFormat="false" ht="15" hidden="false" customHeight="false" outlineLevel="0" collapsed="false">
      <c r="A4048" s="0" t="n">
        <v>4047</v>
      </c>
      <c r="B4048" s="18" t="n">
        <v>926869.56389015</v>
      </c>
      <c r="C4048" s="18" t="n">
        <v>866237.14201699</v>
      </c>
      <c r="D4048" s="0" t="n">
        <v>1</v>
      </c>
    </row>
    <row r="4049" customFormat="false" ht="15" hidden="false" customHeight="false" outlineLevel="0" collapsed="false">
      <c r="A4049" s="0" t="n">
        <v>4048</v>
      </c>
      <c r="B4049" s="18" t="n">
        <v>429539.531904638</v>
      </c>
      <c r="C4049" s="18" t="n">
        <v>0</v>
      </c>
      <c r="D4049" s="0" t="n">
        <v>0</v>
      </c>
      <c r="E4049" s="19" t="n">
        <v>31.4166666666667</v>
      </c>
    </row>
    <row r="4050" customFormat="false" ht="15" hidden="false" customHeight="false" outlineLevel="0" collapsed="false">
      <c r="A4050" s="0" t="n">
        <v>4049</v>
      </c>
      <c r="B4050" s="18" t="n">
        <v>460878.348184922</v>
      </c>
      <c r="C4050" s="18" t="n">
        <v>0</v>
      </c>
      <c r="D4050" s="0" t="n">
        <v>0</v>
      </c>
      <c r="E4050" s="19" t="n">
        <v>34.8333333333333</v>
      </c>
    </row>
    <row r="4051" customFormat="false" ht="15" hidden="false" customHeight="false" outlineLevel="0" collapsed="false">
      <c r="A4051" s="0" t="n">
        <v>4050</v>
      </c>
      <c r="B4051" s="18" t="n">
        <v>2490752.49231181</v>
      </c>
      <c r="C4051" s="18" t="n">
        <v>10309021.3853695</v>
      </c>
      <c r="D4051" s="0" t="n">
        <v>1</v>
      </c>
    </row>
    <row r="4052" customFormat="false" ht="15" hidden="false" customHeight="false" outlineLevel="0" collapsed="false">
      <c r="A4052" s="0" t="n">
        <v>4051</v>
      </c>
      <c r="B4052" s="18" t="n">
        <v>419318.894703159</v>
      </c>
      <c r="C4052" s="18" t="n">
        <v>0</v>
      </c>
      <c r="D4052" s="0" t="n">
        <v>0</v>
      </c>
      <c r="E4052" s="19" t="n">
        <v>35.75</v>
      </c>
    </row>
    <row r="4053" customFormat="false" ht="15" hidden="false" customHeight="false" outlineLevel="0" collapsed="false">
      <c r="A4053" s="0" t="n">
        <v>4052</v>
      </c>
      <c r="B4053" s="18" t="n">
        <v>2520199.0603932</v>
      </c>
      <c r="C4053" s="18" t="n">
        <v>7223908.17011635</v>
      </c>
      <c r="D4053" s="0" t="n">
        <v>1</v>
      </c>
    </row>
    <row r="4054" customFormat="false" ht="15" hidden="false" customHeight="false" outlineLevel="0" collapsed="false">
      <c r="A4054" s="0" t="n">
        <v>4053</v>
      </c>
      <c r="B4054" s="18" t="n">
        <v>1559748.03325649</v>
      </c>
      <c r="C4054" s="18" t="n">
        <v>2325999.55443991</v>
      </c>
      <c r="D4054" s="0" t="n">
        <v>1</v>
      </c>
    </row>
    <row r="4055" customFormat="false" ht="15" hidden="false" customHeight="false" outlineLevel="0" collapsed="false">
      <c r="A4055" s="0" t="n">
        <v>4054</v>
      </c>
      <c r="B4055" s="18" t="n">
        <v>915845.689402727</v>
      </c>
      <c r="C4055" s="18" t="n">
        <v>0</v>
      </c>
      <c r="D4055" s="0" t="n">
        <v>0</v>
      </c>
      <c r="E4055" s="19" t="n">
        <v>43.4166666666667</v>
      </c>
    </row>
    <row r="4056" customFormat="false" ht="15" hidden="false" customHeight="false" outlineLevel="0" collapsed="false">
      <c r="A4056" s="0" t="n">
        <v>4055</v>
      </c>
      <c r="B4056" s="18" t="n">
        <v>714301.694487128</v>
      </c>
      <c r="C4056" s="18" t="n">
        <v>0</v>
      </c>
      <c r="D4056" s="0" t="n">
        <v>0</v>
      </c>
      <c r="E4056" s="19" t="n">
        <v>43.5833333333333</v>
      </c>
    </row>
    <row r="4057" customFormat="false" ht="15" hidden="false" customHeight="false" outlineLevel="0" collapsed="false">
      <c r="A4057" s="0" t="n">
        <v>4056</v>
      </c>
      <c r="B4057" s="18" t="n">
        <v>538935.61628371</v>
      </c>
      <c r="C4057" s="18" t="n">
        <v>0</v>
      </c>
      <c r="D4057" s="0" t="n">
        <v>0</v>
      </c>
      <c r="E4057" s="19" t="n">
        <v>31.5</v>
      </c>
    </row>
    <row r="4058" customFormat="false" ht="15" hidden="false" customHeight="false" outlineLevel="0" collapsed="false">
      <c r="A4058" s="0" t="n">
        <v>4057</v>
      </c>
      <c r="B4058" s="18" t="n">
        <v>358606.572298454</v>
      </c>
      <c r="C4058" s="18" t="n">
        <v>0</v>
      </c>
      <c r="D4058" s="0" t="n">
        <v>0</v>
      </c>
      <c r="E4058" s="19" t="n">
        <v>31.0833333333333</v>
      </c>
    </row>
    <row r="4059" customFormat="false" ht="15" hidden="false" customHeight="false" outlineLevel="0" collapsed="false">
      <c r="A4059" s="0" t="n">
        <v>4058</v>
      </c>
      <c r="B4059" s="18" t="n">
        <v>709135.708965228</v>
      </c>
      <c r="C4059" s="18" t="n">
        <v>0</v>
      </c>
      <c r="D4059" s="0" t="n">
        <v>0</v>
      </c>
      <c r="E4059" s="19" t="n">
        <v>52.4166666666667</v>
      </c>
    </row>
    <row r="4060" customFormat="false" ht="15" hidden="false" customHeight="false" outlineLevel="0" collapsed="false">
      <c r="A4060" s="0" t="n">
        <v>4059</v>
      </c>
      <c r="B4060" s="18" t="n">
        <v>965044.391203606</v>
      </c>
      <c r="C4060" s="18" t="n">
        <v>0</v>
      </c>
      <c r="D4060" s="0" t="n">
        <v>0</v>
      </c>
      <c r="E4060" s="19" t="n">
        <v>40</v>
      </c>
    </row>
    <row r="4061" customFormat="false" ht="15" hidden="false" customHeight="false" outlineLevel="0" collapsed="false">
      <c r="A4061" s="0" t="n">
        <v>4060</v>
      </c>
      <c r="B4061" s="18" t="n">
        <v>731609.67611828</v>
      </c>
      <c r="C4061" s="18" t="n">
        <v>0</v>
      </c>
      <c r="D4061" s="0" t="n">
        <v>0</v>
      </c>
      <c r="E4061" s="19" t="n">
        <v>48.1666666666667</v>
      </c>
    </row>
    <row r="4062" customFormat="false" ht="15" hidden="false" customHeight="false" outlineLevel="0" collapsed="false">
      <c r="A4062" s="0" t="n">
        <v>4061</v>
      </c>
      <c r="B4062" s="18" t="n">
        <v>755939.45979979</v>
      </c>
      <c r="C4062" s="18" t="n">
        <v>0</v>
      </c>
      <c r="D4062" s="0" t="n">
        <v>0</v>
      </c>
      <c r="E4062" s="19" t="n">
        <v>44.9166666666667</v>
      </c>
    </row>
    <row r="4063" customFormat="false" ht="15" hidden="false" customHeight="false" outlineLevel="0" collapsed="false">
      <c r="A4063" s="0" t="n">
        <v>4062</v>
      </c>
      <c r="B4063" s="18" t="n">
        <v>307086.720675838</v>
      </c>
      <c r="C4063" s="18" t="n">
        <v>0</v>
      </c>
      <c r="D4063" s="0" t="n">
        <v>0</v>
      </c>
      <c r="E4063" s="19" t="n">
        <v>32.3333333333333</v>
      </c>
    </row>
    <row r="4064" customFormat="false" ht="15" hidden="false" customHeight="false" outlineLevel="0" collapsed="false">
      <c r="A4064" s="0" t="n">
        <v>4063</v>
      </c>
      <c r="B4064" s="18" t="n">
        <v>581240.454817139</v>
      </c>
      <c r="C4064" s="18" t="n">
        <v>0</v>
      </c>
      <c r="D4064" s="0" t="n">
        <v>0</v>
      </c>
      <c r="E4064" s="19" t="n">
        <v>35.5</v>
      </c>
    </row>
    <row r="4065" customFormat="false" ht="15" hidden="false" customHeight="false" outlineLevel="0" collapsed="false">
      <c r="A4065" s="0" t="n">
        <v>4064</v>
      </c>
      <c r="B4065" s="18" t="n">
        <v>453097.275314961</v>
      </c>
      <c r="C4065" s="18" t="n">
        <v>0</v>
      </c>
      <c r="D4065" s="0" t="n">
        <v>0</v>
      </c>
      <c r="E4065" s="19" t="n">
        <v>38</v>
      </c>
    </row>
    <row r="4066" customFormat="false" ht="15" hidden="false" customHeight="false" outlineLevel="0" collapsed="false">
      <c r="A4066" s="0" t="n">
        <v>4065</v>
      </c>
      <c r="B4066" s="18" t="n">
        <v>1279779.67014865</v>
      </c>
      <c r="C4066" s="18" t="n">
        <v>0</v>
      </c>
      <c r="D4066" s="0" t="n">
        <v>0</v>
      </c>
      <c r="E4066" s="19" t="n">
        <v>47.8333333333333</v>
      </c>
    </row>
    <row r="4067" customFormat="false" ht="15" hidden="false" customHeight="false" outlineLevel="0" collapsed="false">
      <c r="A4067" s="0" t="n">
        <v>4066</v>
      </c>
      <c r="B4067" s="18" t="n">
        <v>356133.942051047</v>
      </c>
      <c r="C4067" s="18" t="n">
        <v>0</v>
      </c>
      <c r="D4067" s="0" t="n">
        <v>0</v>
      </c>
      <c r="E4067" s="19" t="n">
        <v>34.0833333333333</v>
      </c>
    </row>
    <row r="4068" customFormat="false" ht="15" hidden="false" customHeight="false" outlineLevel="0" collapsed="false">
      <c r="A4068" s="0" t="n">
        <v>4067</v>
      </c>
      <c r="B4068" s="18" t="n">
        <v>893369.299505683</v>
      </c>
      <c r="C4068" s="18" t="n">
        <v>0</v>
      </c>
      <c r="D4068" s="0" t="n">
        <v>0</v>
      </c>
      <c r="E4068" s="19" t="n">
        <v>44</v>
      </c>
    </row>
    <row r="4069" customFormat="false" ht="15" hidden="false" customHeight="false" outlineLevel="0" collapsed="false">
      <c r="A4069" s="0" t="n">
        <v>4068</v>
      </c>
      <c r="B4069" s="18" t="n">
        <v>517317.029728448</v>
      </c>
      <c r="C4069" s="18" t="n">
        <v>0</v>
      </c>
      <c r="D4069" s="0" t="n">
        <v>0</v>
      </c>
      <c r="E4069" s="19" t="n">
        <v>34.9166666666667</v>
      </c>
    </row>
    <row r="4070" customFormat="false" ht="15" hidden="false" customHeight="false" outlineLevel="0" collapsed="false">
      <c r="A4070" s="0" t="n">
        <v>4069</v>
      </c>
      <c r="B4070" s="18" t="n">
        <v>528788.679456887</v>
      </c>
      <c r="C4070" s="18" t="n">
        <v>0</v>
      </c>
      <c r="D4070" s="0" t="n">
        <v>0</v>
      </c>
      <c r="E4070" s="19" t="n">
        <v>35.9166666666667</v>
      </c>
    </row>
    <row r="4071" customFormat="false" ht="15" hidden="false" customHeight="false" outlineLevel="0" collapsed="false">
      <c r="A4071" s="0" t="n">
        <v>4070</v>
      </c>
      <c r="B4071" s="18" t="n">
        <v>447102.089715145</v>
      </c>
      <c r="C4071" s="18" t="n">
        <v>0</v>
      </c>
      <c r="D4071" s="0" t="n">
        <v>0</v>
      </c>
      <c r="E4071" s="19" t="n">
        <v>36</v>
      </c>
    </row>
    <row r="4072" customFormat="false" ht="15" hidden="false" customHeight="false" outlineLevel="0" collapsed="false">
      <c r="A4072" s="0" t="n">
        <v>4071</v>
      </c>
      <c r="B4072" s="18" t="n">
        <v>1625736.75667154</v>
      </c>
      <c r="C4072" s="18" t="n">
        <v>3169583.96130263</v>
      </c>
      <c r="D4072" s="0" t="n">
        <v>1</v>
      </c>
    </row>
    <row r="4073" customFormat="false" ht="15" hidden="false" customHeight="false" outlineLevel="0" collapsed="false">
      <c r="A4073" s="0" t="n">
        <v>4072</v>
      </c>
      <c r="B4073" s="18" t="n">
        <v>616077.592206371</v>
      </c>
      <c r="C4073" s="18" t="n">
        <v>0</v>
      </c>
      <c r="D4073" s="0" t="n">
        <v>0</v>
      </c>
      <c r="E4073" s="19" t="n">
        <v>40.4166666666667</v>
      </c>
    </row>
    <row r="4074" customFormat="false" ht="15" hidden="false" customHeight="false" outlineLevel="0" collapsed="false">
      <c r="A4074" s="0" t="n">
        <v>4073</v>
      </c>
      <c r="B4074" s="18" t="n">
        <v>1553538.10409491</v>
      </c>
      <c r="C4074" s="18" t="n">
        <v>72384067.3709049</v>
      </c>
      <c r="D4074" s="0" t="n">
        <v>1</v>
      </c>
    </row>
    <row r="4075" customFormat="false" ht="15" hidden="false" customHeight="false" outlineLevel="0" collapsed="false">
      <c r="A4075" s="0" t="n">
        <v>4074</v>
      </c>
      <c r="B4075" s="18" t="n">
        <v>538677.639742045</v>
      </c>
      <c r="C4075" s="18" t="n">
        <v>0</v>
      </c>
      <c r="D4075" s="0" t="n">
        <v>0</v>
      </c>
      <c r="E4075" s="19" t="n">
        <v>39.6666666666667</v>
      </c>
    </row>
    <row r="4076" customFormat="false" ht="15" hidden="false" customHeight="false" outlineLevel="0" collapsed="false">
      <c r="A4076" s="0" t="n">
        <v>4075</v>
      </c>
      <c r="B4076" s="18" t="n">
        <v>628031.019438624</v>
      </c>
      <c r="C4076" s="18" t="n">
        <v>0</v>
      </c>
      <c r="D4076" s="0" t="n">
        <v>0</v>
      </c>
      <c r="E4076" s="19" t="n">
        <v>32.5</v>
      </c>
    </row>
    <row r="4077" customFormat="false" ht="15" hidden="false" customHeight="false" outlineLevel="0" collapsed="false">
      <c r="A4077" s="0" t="n">
        <v>4076</v>
      </c>
      <c r="B4077" s="18" t="n">
        <v>388574.918680355</v>
      </c>
      <c r="C4077" s="18" t="n">
        <v>0</v>
      </c>
      <c r="D4077" s="0" t="n">
        <v>0</v>
      </c>
      <c r="E4077" s="19" t="n">
        <v>32.6666666666667</v>
      </c>
    </row>
    <row r="4078" customFormat="false" ht="15" hidden="false" customHeight="false" outlineLevel="0" collapsed="false">
      <c r="A4078" s="0" t="n">
        <v>4077</v>
      </c>
      <c r="B4078" s="18" t="n">
        <v>379247.473288441</v>
      </c>
      <c r="C4078" s="18" t="n">
        <v>0</v>
      </c>
      <c r="D4078" s="0" t="n">
        <v>0</v>
      </c>
      <c r="E4078" s="19" t="n">
        <v>31.4166666666667</v>
      </c>
    </row>
    <row r="4079" customFormat="false" ht="15" hidden="false" customHeight="false" outlineLevel="0" collapsed="false">
      <c r="A4079" s="0" t="n">
        <v>4078</v>
      </c>
      <c r="B4079" s="18" t="n">
        <v>539181.021011661</v>
      </c>
      <c r="C4079" s="18" t="n">
        <v>0</v>
      </c>
      <c r="D4079" s="0" t="n">
        <v>0</v>
      </c>
      <c r="E4079" s="19" t="n">
        <v>36.25</v>
      </c>
    </row>
    <row r="4080" customFormat="false" ht="15" hidden="false" customHeight="false" outlineLevel="0" collapsed="false">
      <c r="A4080" s="0" t="n">
        <v>4079</v>
      </c>
      <c r="B4080" s="18" t="n">
        <v>591426.170468331</v>
      </c>
      <c r="C4080" s="18" t="n">
        <v>0</v>
      </c>
      <c r="D4080" s="0" t="n">
        <v>0</v>
      </c>
      <c r="E4080" s="19" t="n">
        <v>41</v>
      </c>
    </row>
    <row r="4081" customFormat="false" ht="15" hidden="false" customHeight="false" outlineLevel="0" collapsed="false">
      <c r="A4081" s="0" t="n">
        <v>4080</v>
      </c>
      <c r="B4081" s="18" t="n">
        <v>1130356.92902538</v>
      </c>
      <c r="C4081" s="18" t="n">
        <v>5072389.83276988</v>
      </c>
      <c r="D4081" s="0" t="n">
        <v>1</v>
      </c>
    </row>
    <row r="4082" customFormat="false" ht="15" hidden="false" customHeight="false" outlineLevel="0" collapsed="false">
      <c r="A4082" s="0" t="n">
        <v>4081</v>
      </c>
      <c r="B4082" s="18" t="n">
        <v>1904871.42601869</v>
      </c>
      <c r="C4082" s="18" t="n">
        <v>7532070.06420745</v>
      </c>
      <c r="D4082" s="0" t="n">
        <v>1</v>
      </c>
    </row>
    <row r="4083" customFormat="false" ht="15" hidden="false" customHeight="false" outlineLevel="0" collapsed="false">
      <c r="A4083" s="0" t="n">
        <v>4082</v>
      </c>
      <c r="B4083" s="18" t="n">
        <v>6257207.82260699</v>
      </c>
      <c r="C4083" s="18" t="n">
        <v>194717420.126232</v>
      </c>
      <c r="D4083" s="0" t="n">
        <v>1</v>
      </c>
    </row>
    <row r="4084" customFormat="false" ht="15" hidden="false" customHeight="false" outlineLevel="0" collapsed="false">
      <c r="A4084" s="0" t="n">
        <v>4083</v>
      </c>
      <c r="B4084" s="18" t="n">
        <v>2014554.21735766</v>
      </c>
      <c r="C4084" s="18" t="n">
        <v>3949835.25592995</v>
      </c>
      <c r="D4084" s="0" t="n">
        <v>1</v>
      </c>
    </row>
    <row r="4085" customFormat="false" ht="15" hidden="false" customHeight="false" outlineLevel="0" collapsed="false">
      <c r="A4085" s="0" t="n">
        <v>4084</v>
      </c>
      <c r="B4085" s="18" t="n">
        <v>2373661.50570552</v>
      </c>
      <c r="C4085" s="18" t="n">
        <v>1977597.92447067</v>
      </c>
      <c r="D4085" s="0" t="n">
        <v>1</v>
      </c>
    </row>
    <row r="4086" customFormat="false" ht="15" hidden="false" customHeight="false" outlineLevel="0" collapsed="false">
      <c r="A4086" s="0" t="n">
        <v>4085</v>
      </c>
      <c r="B4086" s="18" t="n">
        <v>513964.943642211</v>
      </c>
      <c r="C4086" s="18" t="n">
        <v>0</v>
      </c>
      <c r="D4086" s="0" t="n">
        <v>0</v>
      </c>
      <c r="E4086" s="19" t="n">
        <v>33.25</v>
      </c>
    </row>
    <row r="4087" customFormat="false" ht="15" hidden="false" customHeight="false" outlineLevel="0" collapsed="false">
      <c r="A4087" s="0" t="n">
        <v>4086</v>
      </c>
      <c r="B4087" s="18" t="n">
        <v>692922.085817935</v>
      </c>
      <c r="C4087" s="18" t="n">
        <v>0</v>
      </c>
      <c r="D4087" s="0" t="n">
        <v>0</v>
      </c>
      <c r="E4087" s="19" t="n">
        <v>38.5833333333333</v>
      </c>
    </row>
    <row r="4088" customFormat="false" ht="15" hidden="false" customHeight="false" outlineLevel="0" collapsed="false">
      <c r="A4088" s="0" t="n">
        <v>4087</v>
      </c>
      <c r="B4088" s="18" t="n">
        <v>544564.3431011</v>
      </c>
      <c r="C4088" s="18" t="n">
        <v>0</v>
      </c>
      <c r="D4088" s="0" t="n">
        <v>0</v>
      </c>
      <c r="E4088" s="19" t="n">
        <v>37.9166666666667</v>
      </c>
    </row>
    <row r="4089" customFormat="false" ht="15" hidden="false" customHeight="false" outlineLevel="0" collapsed="false">
      <c r="A4089" s="0" t="n">
        <v>4088</v>
      </c>
      <c r="B4089" s="18" t="n">
        <v>571014.066181349</v>
      </c>
      <c r="C4089" s="18" t="n">
        <v>0</v>
      </c>
      <c r="D4089" s="0" t="n">
        <v>0</v>
      </c>
      <c r="E4089" s="19" t="n">
        <v>37.4166666666667</v>
      </c>
    </row>
    <row r="4090" customFormat="false" ht="15" hidden="false" customHeight="false" outlineLevel="0" collapsed="false">
      <c r="A4090" s="0" t="n">
        <v>4089</v>
      </c>
      <c r="B4090" s="18" t="n">
        <v>1001077.90375964</v>
      </c>
      <c r="C4090" s="18" t="n">
        <v>0</v>
      </c>
      <c r="D4090" s="0" t="n">
        <v>0</v>
      </c>
      <c r="E4090" s="19" t="n">
        <v>45.5</v>
      </c>
    </row>
    <row r="4091" customFormat="false" ht="15" hidden="false" customHeight="false" outlineLevel="0" collapsed="false">
      <c r="A4091" s="0" t="n">
        <v>4090</v>
      </c>
      <c r="B4091" s="18" t="n">
        <v>611464.189024629</v>
      </c>
      <c r="C4091" s="18" t="n">
        <v>0</v>
      </c>
      <c r="D4091" s="0" t="n">
        <v>0</v>
      </c>
      <c r="E4091" s="19" t="n">
        <v>40.3333333333333</v>
      </c>
    </row>
    <row r="4092" customFormat="false" ht="15" hidden="false" customHeight="false" outlineLevel="0" collapsed="false">
      <c r="A4092" s="0" t="n">
        <v>4091</v>
      </c>
      <c r="B4092" s="18" t="n">
        <v>983272.361585826</v>
      </c>
      <c r="C4092" s="18" t="n">
        <v>0</v>
      </c>
      <c r="D4092" s="0" t="n">
        <v>0</v>
      </c>
      <c r="E4092" s="19" t="n">
        <v>38.25</v>
      </c>
    </row>
    <row r="4093" customFormat="false" ht="15" hidden="false" customHeight="false" outlineLevel="0" collapsed="false">
      <c r="A4093" s="0" t="n">
        <v>4092</v>
      </c>
      <c r="B4093" s="18" t="n">
        <v>730870.689462109</v>
      </c>
      <c r="C4093" s="18" t="n">
        <v>0</v>
      </c>
      <c r="D4093" s="0" t="n">
        <v>0</v>
      </c>
      <c r="E4093" s="19" t="n">
        <v>42.0833333333333</v>
      </c>
    </row>
    <row r="4094" customFormat="false" ht="15" hidden="false" customHeight="false" outlineLevel="0" collapsed="false">
      <c r="A4094" s="0" t="n">
        <v>4093</v>
      </c>
      <c r="B4094" s="18" t="n">
        <v>807304.665076632</v>
      </c>
      <c r="C4094" s="18" t="n">
        <v>706655.954438059</v>
      </c>
      <c r="D4094" s="0" t="n">
        <v>1</v>
      </c>
    </row>
    <row r="4095" customFormat="false" ht="15" hidden="false" customHeight="false" outlineLevel="0" collapsed="false">
      <c r="A4095" s="0" t="n">
        <v>4094</v>
      </c>
      <c r="B4095" s="18" t="n">
        <v>554951.896213824</v>
      </c>
      <c r="C4095" s="18" t="n">
        <v>0</v>
      </c>
      <c r="D4095" s="0" t="n">
        <v>0</v>
      </c>
      <c r="E4095" s="19" t="n">
        <v>45.25</v>
      </c>
    </row>
    <row r="4096" customFormat="false" ht="15" hidden="false" customHeight="false" outlineLevel="0" collapsed="false">
      <c r="A4096" s="0" t="n">
        <v>4095</v>
      </c>
      <c r="B4096" s="18" t="n">
        <v>595271.737818051</v>
      </c>
      <c r="C4096" s="18" t="n">
        <v>0</v>
      </c>
      <c r="D4096" s="0" t="n">
        <v>0</v>
      </c>
      <c r="E4096" s="19" t="n">
        <v>40.25</v>
      </c>
    </row>
    <row r="4097" customFormat="false" ht="15" hidden="false" customHeight="false" outlineLevel="0" collapsed="false">
      <c r="A4097" s="0" t="n">
        <v>4096</v>
      </c>
      <c r="B4097" s="18" t="n">
        <v>532527.457145226</v>
      </c>
      <c r="C4097" s="18" t="n">
        <v>0</v>
      </c>
      <c r="D4097" s="0" t="n">
        <v>0</v>
      </c>
      <c r="E4097" s="19" t="n">
        <v>30.1666666666667</v>
      </c>
    </row>
    <row r="4098" customFormat="false" ht="15" hidden="false" customHeight="false" outlineLevel="0" collapsed="false">
      <c r="A4098" s="0" t="n">
        <v>4097</v>
      </c>
      <c r="B4098" s="18" t="n">
        <v>532957.386413877</v>
      </c>
      <c r="C4098" s="18" t="n">
        <v>0</v>
      </c>
      <c r="D4098" s="0" t="n">
        <v>0</v>
      </c>
      <c r="E4098" s="19" t="n">
        <v>31.3333333333333</v>
      </c>
    </row>
    <row r="4099" customFormat="false" ht="15" hidden="false" customHeight="false" outlineLevel="0" collapsed="false">
      <c r="A4099" s="0" t="n">
        <v>4098</v>
      </c>
      <c r="B4099" s="18" t="n">
        <v>1731406.64094788</v>
      </c>
      <c r="C4099" s="18" t="n">
        <v>22557376.2201201</v>
      </c>
      <c r="D4099" s="0" t="n">
        <v>1</v>
      </c>
    </row>
    <row r="4100" customFormat="false" ht="15" hidden="false" customHeight="false" outlineLevel="0" collapsed="false">
      <c r="A4100" s="0" t="n">
        <v>4099</v>
      </c>
      <c r="B4100" s="18" t="n">
        <v>727985.075838353</v>
      </c>
      <c r="C4100" s="18" t="n">
        <v>0</v>
      </c>
      <c r="D4100" s="0" t="n">
        <v>0</v>
      </c>
      <c r="E4100" s="19" t="n">
        <v>40.75</v>
      </c>
    </row>
    <row r="4101" customFormat="false" ht="15" hidden="false" customHeight="false" outlineLevel="0" collapsed="false">
      <c r="A4101" s="0" t="n">
        <v>4100</v>
      </c>
      <c r="B4101" s="18" t="n">
        <v>725819.975543122</v>
      </c>
      <c r="C4101" s="18" t="n">
        <v>0</v>
      </c>
      <c r="D4101" s="0" t="n">
        <v>0</v>
      </c>
      <c r="E4101" s="19" t="n">
        <v>34</v>
      </c>
    </row>
    <row r="4102" customFormat="false" ht="15" hidden="false" customHeight="false" outlineLevel="0" collapsed="false">
      <c r="A4102" s="0" t="n">
        <v>4101</v>
      </c>
      <c r="B4102" s="18" t="n">
        <v>582955.018647858</v>
      </c>
      <c r="C4102" s="18" t="n">
        <v>0</v>
      </c>
      <c r="D4102" s="0" t="n">
        <v>0</v>
      </c>
      <c r="E4102" s="19" t="n">
        <v>34.1666666666667</v>
      </c>
    </row>
    <row r="4103" customFormat="false" ht="15" hidden="false" customHeight="false" outlineLevel="0" collapsed="false">
      <c r="A4103" s="0" t="n">
        <v>4102</v>
      </c>
      <c r="B4103" s="18" t="n">
        <v>933680.606905463</v>
      </c>
      <c r="C4103" s="18" t="n">
        <v>0</v>
      </c>
      <c r="D4103" s="0" t="n">
        <v>0</v>
      </c>
      <c r="E4103" s="19" t="n">
        <v>52.6666666666667</v>
      </c>
    </row>
    <row r="4104" customFormat="false" ht="15" hidden="false" customHeight="false" outlineLevel="0" collapsed="false">
      <c r="A4104" s="0" t="n">
        <v>4103</v>
      </c>
      <c r="B4104" s="18" t="n">
        <v>710142.770280154</v>
      </c>
      <c r="C4104" s="18" t="n">
        <v>3927680.11981892</v>
      </c>
      <c r="D4104" s="0" t="n">
        <v>1</v>
      </c>
    </row>
    <row r="4105" customFormat="false" ht="15" hidden="false" customHeight="false" outlineLevel="0" collapsed="false">
      <c r="A4105" s="0" t="n">
        <v>4104</v>
      </c>
      <c r="B4105" s="18" t="n">
        <v>360319.990939436</v>
      </c>
      <c r="C4105" s="18" t="n">
        <v>0</v>
      </c>
      <c r="D4105" s="0" t="n">
        <v>0</v>
      </c>
      <c r="E4105" s="19" t="n">
        <v>33.5</v>
      </c>
    </row>
    <row r="4106" customFormat="false" ht="15" hidden="false" customHeight="false" outlineLevel="0" collapsed="false">
      <c r="A4106" s="0" t="n">
        <v>4105</v>
      </c>
      <c r="B4106" s="18" t="n">
        <v>1719326.20585055</v>
      </c>
      <c r="C4106" s="18" t="n">
        <v>0</v>
      </c>
      <c r="D4106" s="0" t="n">
        <v>0</v>
      </c>
      <c r="E4106" s="19" t="n">
        <v>54.5</v>
      </c>
    </row>
    <row r="4107" customFormat="false" ht="15" hidden="false" customHeight="false" outlineLevel="0" collapsed="false">
      <c r="A4107" s="0" t="n">
        <v>4106</v>
      </c>
      <c r="B4107" s="18" t="n">
        <v>728151.72534815</v>
      </c>
      <c r="C4107" s="18" t="n">
        <v>0</v>
      </c>
      <c r="D4107" s="0" t="n">
        <v>0</v>
      </c>
      <c r="E4107" s="19" t="n">
        <v>37.8333333333333</v>
      </c>
    </row>
    <row r="4108" customFormat="false" ht="15" hidden="false" customHeight="false" outlineLevel="0" collapsed="false">
      <c r="A4108" s="0" t="n">
        <v>4107</v>
      </c>
      <c r="B4108" s="18" t="n">
        <v>516453.979711495</v>
      </c>
      <c r="C4108" s="18" t="n">
        <v>0</v>
      </c>
      <c r="D4108" s="0" t="n">
        <v>0</v>
      </c>
      <c r="E4108" s="19" t="n">
        <v>34.6666666666667</v>
      </c>
    </row>
    <row r="4109" customFormat="false" ht="15" hidden="false" customHeight="false" outlineLevel="0" collapsed="false">
      <c r="A4109" s="0" t="n">
        <v>4108</v>
      </c>
      <c r="B4109" s="18" t="n">
        <v>1072635.29354228</v>
      </c>
      <c r="C4109" s="18" t="n">
        <v>10081590.2288003</v>
      </c>
      <c r="D4109" s="0" t="n">
        <v>1</v>
      </c>
    </row>
    <row r="4110" customFormat="false" ht="15" hidden="false" customHeight="false" outlineLevel="0" collapsed="false">
      <c r="A4110" s="0" t="n">
        <v>4109</v>
      </c>
      <c r="B4110" s="18" t="n">
        <v>430397.089418722</v>
      </c>
      <c r="C4110" s="18" t="n">
        <v>0</v>
      </c>
      <c r="D4110" s="0" t="n">
        <v>0</v>
      </c>
      <c r="E4110" s="19" t="n">
        <v>33</v>
      </c>
    </row>
    <row r="4111" customFormat="false" ht="15" hidden="false" customHeight="false" outlineLevel="0" collapsed="false">
      <c r="A4111" s="0" t="n">
        <v>4110</v>
      </c>
      <c r="B4111" s="18" t="n">
        <v>1742752.77947049</v>
      </c>
      <c r="C4111" s="18" t="n">
        <v>1394215.64364824</v>
      </c>
      <c r="D4111" s="0" t="n">
        <v>1</v>
      </c>
    </row>
    <row r="4112" customFormat="false" ht="15" hidden="false" customHeight="false" outlineLevel="0" collapsed="false">
      <c r="A4112" s="0" t="n">
        <v>4111</v>
      </c>
      <c r="B4112" s="18" t="n">
        <v>2077328.44593493</v>
      </c>
      <c r="C4112" s="18" t="n">
        <v>21904525.4323791</v>
      </c>
      <c r="D4112" s="0" t="n">
        <v>1</v>
      </c>
    </row>
    <row r="4113" customFormat="false" ht="15" hidden="false" customHeight="false" outlineLevel="0" collapsed="false">
      <c r="A4113" s="0" t="n">
        <v>4112</v>
      </c>
      <c r="B4113" s="18" t="n">
        <v>1477988.86556641</v>
      </c>
      <c r="C4113" s="18" t="n">
        <v>0</v>
      </c>
      <c r="D4113" s="0" t="n">
        <v>0</v>
      </c>
      <c r="E4113" s="19" t="n">
        <v>50.8333333333333</v>
      </c>
    </row>
    <row r="4114" customFormat="false" ht="15" hidden="false" customHeight="false" outlineLevel="0" collapsed="false">
      <c r="A4114" s="0" t="n">
        <v>4113</v>
      </c>
      <c r="B4114" s="18" t="n">
        <v>850948.677778789</v>
      </c>
      <c r="C4114" s="18" t="n">
        <v>4473650.41093159</v>
      </c>
      <c r="D4114" s="0" t="n">
        <v>1</v>
      </c>
    </row>
    <row r="4115" customFormat="false" ht="15" hidden="false" customHeight="false" outlineLevel="0" collapsed="false">
      <c r="A4115" s="0" t="n">
        <v>4114</v>
      </c>
      <c r="B4115" s="18" t="n">
        <v>1120940.74595659</v>
      </c>
      <c r="C4115" s="18" t="n">
        <v>4695966.70923851</v>
      </c>
      <c r="D4115" s="0" t="n">
        <v>1</v>
      </c>
    </row>
    <row r="4116" customFormat="false" ht="15" hidden="false" customHeight="false" outlineLevel="0" collapsed="false">
      <c r="A4116" s="0" t="n">
        <v>4115</v>
      </c>
      <c r="B4116" s="18" t="n">
        <v>1975738.99179481</v>
      </c>
      <c r="C4116" s="18" t="n">
        <v>2003823.62608618</v>
      </c>
      <c r="D4116" s="0" t="n">
        <v>1</v>
      </c>
    </row>
    <row r="4117" customFormat="false" ht="15" hidden="false" customHeight="false" outlineLevel="0" collapsed="false">
      <c r="A4117" s="0" t="n">
        <v>4116</v>
      </c>
      <c r="B4117" s="18" t="n">
        <v>764797.414471021</v>
      </c>
      <c r="C4117" s="18" t="n">
        <v>3177594.98283488</v>
      </c>
      <c r="D4117" s="0" t="n">
        <v>1</v>
      </c>
    </row>
    <row r="4118" customFormat="false" ht="15" hidden="false" customHeight="false" outlineLevel="0" collapsed="false">
      <c r="A4118" s="0" t="n">
        <v>4117</v>
      </c>
      <c r="B4118" s="18" t="n">
        <v>724221.198442505</v>
      </c>
      <c r="C4118" s="18" t="n">
        <v>0</v>
      </c>
      <c r="D4118" s="0" t="n">
        <v>0</v>
      </c>
      <c r="E4118" s="19" t="n">
        <v>39.0833333333333</v>
      </c>
    </row>
    <row r="4119" customFormat="false" ht="15" hidden="false" customHeight="false" outlineLevel="0" collapsed="false">
      <c r="A4119" s="0" t="n">
        <v>4118</v>
      </c>
      <c r="B4119" s="18" t="n">
        <v>761115.915633907</v>
      </c>
      <c r="C4119" s="18" t="n">
        <v>0</v>
      </c>
      <c r="D4119" s="0" t="n">
        <v>0</v>
      </c>
      <c r="E4119" s="19" t="n">
        <v>49.5833333333333</v>
      </c>
    </row>
    <row r="4120" customFormat="false" ht="15" hidden="false" customHeight="false" outlineLevel="0" collapsed="false">
      <c r="A4120" s="0" t="n">
        <v>4119</v>
      </c>
      <c r="B4120" s="18" t="n">
        <v>2170352.63124913</v>
      </c>
      <c r="C4120" s="18" t="n">
        <v>0</v>
      </c>
      <c r="D4120" s="0" t="n">
        <v>0</v>
      </c>
      <c r="E4120" s="19" t="n">
        <v>51.25</v>
      </c>
    </row>
    <row r="4121" customFormat="false" ht="15" hidden="false" customHeight="false" outlineLevel="0" collapsed="false">
      <c r="A4121" s="0" t="n">
        <v>4120</v>
      </c>
      <c r="B4121" s="18" t="n">
        <v>1412970.26499682</v>
      </c>
      <c r="C4121" s="18" t="n">
        <v>2635187.15305444</v>
      </c>
      <c r="D4121" s="0" t="n">
        <v>1</v>
      </c>
    </row>
    <row r="4122" customFormat="false" ht="15" hidden="false" customHeight="false" outlineLevel="0" collapsed="false">
      <c r="A4122" s="0" t="n">
        <v>4121</v>
      </c>
      <c r="B4122" s="18" t="n">
        <v>598172.194725838</v>
      </c>
      <c r="C4122" s="18" t="n">
        <v>0</v>
      </c>
      <c r="D4122" s="0" t="n">
        <v>0</v>
      </c>
      <c r="E4122" s="19" t="n">
        <v>39.5833333333333</v>
      </c>
    </row>
    <row r="4123" customFormat="false" ht="15" hidden="false" customHeight="false" outlineLevel="0" collapsed="false">
      <c r="A4123" s="0" t="n">
        <v>4122</v>
      </c>
      <c r="B4123" s="18" t="n">
        <v>301172.74730134</v>
      </c>
      <c r="C4123" s="18" t="n">
        <v>0</v>
      </c>
      <c r="D4123" s="0" t="n">
        <v>0</v>
      </c>
      <c r="E4123" s="19" t="n">
        <v>30.1666666666667</v>
      </c>
    </row>
    <row r="4124" customFormat="false" ht="15" hidden="false" customHeight="false" outlineLevel="0" collapsed="false">
      <c r="A4124" s="0" t="n">
        <v>4123</v>
      </c>
      <c r="B4124" s="18" t="n">
        <v>1271316.98312234</v>
      </c>
      <c r="C4124" s="18" t="n">
        <v>193365.927209198</v>
      </c>
      <c r="D4124" s="0" t="n">
        <v>1</v>
      </c>
    </row>
    <row r="4125" customFormat="false" ht="15" hidden="false" customHeight="false" outlineLevel="0" collapsed="false">
      <c r="A4125" s="0" t="n">
        <v>4124</v>
      </c>
      <c r="B4125" s="18" t="n">
        <v>4212932.49395175</v>
      </c>
      <c r="C4125" s="18" t="n">
        <v>13312291.542495</v>
      </c>
      <c r="D4125" s="0" t="n">
        <v>1</v>
      </c>
    </row>
    <row r="4126" customFormat="false" ht="15" hidden="false" customHeight="false" outlineLevel="0" collapsed="false">
      <c r="A4126" s="0" t="n">
        <v>4125</v>
      </c>
      <c r="B4126" s="18" t="n">
        <v>1388522.23749386</v>
      </c>
      <c r="C4126" s="18" t="n">
        <v>27258.1807304365</v>
      </c>
      <c r="D4126" s="0" t="n">
        <v>1</v>
      </c>
    </row>
    <row r="4127" customFormat="false" ht="15" hidden="false" customHeight="false" outlineLevel="0" collapsed="false">
      <c r="A4127" s="0" t="n">
        <v>4126</v>
      </c>
      <c r="B4127" s="18" t="n">
        <v>886283.075436695</v>
      </c>
      <c r="C4127" s="18" t="n">
        <v>0</v>
      </c>
      <c r="D4127" s="0" t="n">
        <v>0</v>
      </c>
      <c r="E4127" s="19" t="n">
        <v>38.25</v>
      </c>
    </row>
    <row r="4128" customFormat="false" ht="15" hidden="false" customHeight="false" outlineLevel="0" collapsed="false">
      <c r="A4128" s="0" t="n">
        <v>4127</v>
      </c>
      <c r="B4128" s="18" t="n">
        <v>580728.884120103</v>
      </c>
      <c r="C4128" s="18" t="n">
        <v>0</v>
      </c>
      <c r="D4128" s="0" t="n">
        <v>0</v>
      </c>
      <c r="E4128" s="19" t="n">
        <v>37.3333333333333</v>
      </c>
    </row>
    <row r="4129" customFormat="false" ht="15" hidden="false" customHeight="false" outlineLevel="0" collapsed="false">
      <c r="A4129" s="0" t="n">
        <v>4128</v>
      </c>
      <c r="B4129" s="18" t="n">
        <v>1675278.59384365</v>
      </c>
      <c r="C4129" s="18" t="n">
        <v>0</v>
      </c>
      <c r="D4129" s="0" t="n">
        <v>0</v>
      </c>
      <c r="E4129" s="19" t="n">
        <v>45.25</v>
      </c>
    </row>
    <row r="4130" customFormat="false" ht="15" hidden="false" customHeight="false" outlineLevel="0" collapsed="false">
      <c r="A4130" s="0" t="n">
        <v>4129</v>
      </c>
      <c r="B4130" s="18" t="n">
        <v>536915.119609824</v>
      </c>
      <c r="C4130" s="18" t="n">
        <v>0</v>
      </c>
      <c r="D4130" s="0" t="n">
        <v>0</v>
      </c>
      <c r="E4130" s="19" t="n">
        <v>34.8333333333333</v>
      </c>
    </row>
    <row r="4131" customFormat="false" ht="15" hidden="false" customHeight="false" outlineLevel="0" collapsed="false">
      <c r="A4131" s="0" t="n">
        <v>4130</v>
      </c>
      <c r="B4131" s="18" t="n">
        <v>797172.678596758</v>
      </c>
      <c r="C4131" s="18" t="n">
        <v>1028579.18114209</v>
      </c>
      <c r="D4131" s="0" t="n">
        <v>1</v>
      </c>
    </row>
    <row r="4132" customFormat="false" ht="15" hidden="false" customHeight="false" outlineLevel="0" collapsed="false">
      <c r="A4132" s="0" t="n">
        <v>4131</v>
      </c>
      <c r="B4132" s="18" t="n">
        <v>603969.941244243</v>
      </c>
      <c r="C4132" s="18" t="n">
        <v>0</v>
      </c>
      <c r="D4132" s="0" t="n">
        <v>0</v>
      </c>
      <c r="E4132" s="19" t="n">
        <v>39.5833333333333</v>
      </c>
    </row>
    <row r="4133" customFormat="false" ht="15" hidden="false" customHeight="false" outlineLevel="0" collapsed="false">
      <c r="A4133" s="0" t="n">
        <v>4132</v>
      </c>
      <c r="B4133" s="18" t="n">
        <v>1954614.11832386</v>
      </c>
      <c r="C4133" s="18" t="n">
        <v>201514.017114005</v>
      </c>
      <c r="D4133" s="0" t="n">
        <v>1</v>
      </c>
    </row>
    <row r="4134" customFormat="false" ht="15" hidden="false" customHeight="false" outlineLevel="0" collapsed="false">
      <c r="A4134" s="0" t="n">
        <v>4133</v>
      </c>
      <c r="B4134" s="18" t="n">
        <v>593087.1345859</v>
      </c>
      <c r="C4134" s="18" t="n">
        <v>0</v>
      </c>
      <c r="D4134" s="0" t="n">
        <v>0</v>
      </c>
      <c r="E4134" s="19" t="n">
        <v>35.5</v>
      </c>
    </row>
    <row r="4135" customFormat="false" ht="15" hidden="false" customHeight="false" outlineLevel="0" collapsed="false">
      <c r="A4135" s="0" t="n">
        <v>4134</v>
      </c>
      <c r="B4135" s="18" t="n">
        <v>700428.319910689</v>
      </c>
      <c r="C4135" s="18" t="n">
        <v>0</v>
      </c>
      <c r="D4135" s="0" t="n">
        <v>0</v>
      </c>
      <c r="E4135" s="19" t="n">
        <v>39</v>
      </c>
    </row>
    <row r="4136" customFormat="false" ht="15" hidden="false" customHeight="false" outlineLevel="0" collapsed="false">
      <c r="A4136" s="0" t="n">
        <v>4135</v>
      </c>
      <c r="B4136" s="18" t="n">
        <v>882499.710892773</v>
      </c>
      <c r="C4136" s="18" t="n">
        <v>0</v>
      </c>
      <c r="D4136" s="0" t="n">
        <v>0</v>
      </c>
      <c r="E4136" s="19" t="n">
        <v>37.5</v>
      </c>
    </row>
    <row r="4137" customFormat="false" ht="15" hidden="false" customHeight="false" outlineLevel="0" collapsed="false">
      <c r="A4137" s="0" t="n">
        <v>4136</v>
      </c>
      <c r="B4137" s="18" t="n">
        <v>328834.66434513</v>
      </c>
      <c r="C4137" s="18" t="n">
        <v>0</v>
      </c>
      <c r="D4137" s="0" t="n">
        <v>0</v>
      </c>
      <c r="E4137" s="19" t="n">
        <v>32.5833333333333</v>
      </c>
    </row>
    <row r="4138" customFormat="false" ht="15" hidden="false" customHeight="false" outlineLevel="0" collapsed="false">
      <c r="A4138" s="0" t="n">
        <v>4137</v>
      </c>
      <c r="B4138" s="18" t="n">
        <v>861666.292716886</v>
      </c>
      <c r="C4138" s="18" t="n">
        <v>0</v>
      </c>
      <c r="D4138" s="0" t="n">
        <v>0</v>
      </c>
      <c r="E4138" s="19" t="n">
        <v>43.75</v>
      </c>
    </row>
    <row r="4139" customFormat="false" ht="15" hidden="false" customHeight="false" outlineLevel="0" collapsed="false">
      <c r="A4139" s="0" t="n">
        <v>4138</v>
      </c>
      <c r="B4139" s="18" t="n">
        <v>1453002.44139883</v>
      </c>
      <c r="C4139" s="18" t="n">
        <v>3754113.73422946</v>
      </c>
      <c r="D4139" s="0" t="n">
        <v>1</v>
      </c>
    </row>
    <row r="4140" customFormat="false" ht="15" hidden="false" customHeight="false" outlineLevel="0" collapsed="false">
      <c r="A4140" s="0" t="n">
        <v>4139</v>
      </c>
      <c r="B4140" s="18" t="n">
        <v>482583.892856262</v>
      </c>
      <c r="C4140" s="18" t="n">
        <v>0</v>
      </c>
      <c r="D4140" s="0" t="n">
        <v>0</v>
      </c>
      <c r="E4140" s="19" t="n">
        <v>35.0833333333333</v>
      </c>
    </row>
    <row r="4141" customFormat="false" ht="15" hidden="false" customHeight="false" outlineLevel="0" collapsed="false">
      <c r="A4141" s="0" t="n">
        <v>4140</v>
      </c>
      <c r="B4141" s="18" t="n">
        <v>785275.512592674</v>
      </c>
      <c r="C4141" s="18" t="n">
        <v>0</v>
      </c>
      <c r="D4141" s="0" t="n">
        <v>0</v>
      </c>
      <c r="E4141" s="19" t="n">
        <v>36.1666666666667</v>
      </c>
    </row>
    <row r="4142" customFormat="false" ht="15" hidden="false" customHeight="false" outlineLevel="0" collapsed="false">
      <c r="A4142" s="0" t="n">
        <v>4141</v>
      </c>
      <c r="B4142" s="18" t="n">
        <v>796269.327697706</v>
      </c>
      <c r="C4142" s="18" t="n">
        <v>912575.99266496</v>
      </c>
      <c r="D4142" s="0" t="n">
        <v>1</v>
      </c>
    </row>
    <row r="4143" customFormat="false" ht="15" hidden="false" customHeight="false" outlineLevel="0" collapsed="false">
      <c r="A4143" s="0" t="n">
        <v>4142</v>
      </c>
      <c r="B4143" s="18" t="n">
        <v>1069613.64631114</v>
      </c>
      <c r="C4143" s="18" t="n">
        <v>105903.63888017</v>
      </c>
      <c r="D4143" s="0" t="n">
        <v>1</v>
      </c>
    </row>
    <row r="4144" customFormat="false" ht="15" hidden="false" customHeight="false" outlineLevel="0" collapsed="false">
      <c r="A4144" s="0" t="n">
        <v>4143</v>
      </c>
      <c r="B4144" s="18" t="n">
        <v>1176279.40737588</v>
      </c>
      <c r="C4144" s="18" t="n">
        <v>2172015.66203944</v>
      </c>
      <c r="D4144" s="0" t="n">
        <v>1</v>
      </c>
    </row>
    <row r="4145" customFormat="false" ht="15" hidden="false" customHeight="false" outlineLevel="0" collapsed="false">
      <c r="A4145" s="0" t="n">
        <v>4144</v>
      </c>
      <c r="B4145" s="18" t="n">
        <v>1184540.24508774</v>
      </c>
      <c r="C4145" s="18" t="n">
        <v>0</v>
      </c>
      <c r="D4145" s="0" t="n">
        <v>0</v>
      </c>
      <c r="E4145" s="19" t="n">
        <v>46.4166666666667</v>
      </c>
    </row>
    <row r="4146" customFormat="false" ht="15" hidden="false" customHeight="false" outlineLevel="0" collapsed="false">
      <c r="A4146" s="0" t="n">
        <v>4145</v>
      </c>
      <c r="B4146" s="18" t="n">
        <v>1741895.2834716</v>
      </c>
      <c r="C4146" s="18" t="n">
        <v>3783218.62779697</v>
      </c>
      <c r="D4146" s="0" t="n">
        <v>1</v>
      </c>
    </row>
    <row r="4147" customFormat="false" ht="15" hidden="false" customHeight="false" outlineLevel="0" collapsed="false">
      <c r="A4147" s="0" t="n">
        <v>4146</v>
      </c>
      <c r="B4147" s="18" t="n">
        <v>660837.931594516</v>
      </c>
      <c r="C4147" s="18" t="n">
        <v>0</v>
      </c>
      <c r="D4147" s="0" t="n">
        <v>0</v>
      </c>
      <c r="E4147" s="19" t="n">
        <v>34.4166666666667</v>
      </c>
    </row>
    <row r="4148" customFormat="false" ht="15" hidden="false" customHeight="false" outlineLevel="0" collapsed="false">
      <c r="A4148" s="0" t="n">
        <v>4147</v>
      </c>
      <c r="B4148" s="18" t="n">
        <v>454045.598608028</v>
      </c>
      <c r="C4148" s="18" t="n">
        <v>0</v>
      </c>
      <c r="D4148" s="0" t="n">
        <v>0</v>
      </c>
      <c r="E4148" s="19" t="n">
        <v>35.1666666666667</v>
      </c>
    </row>
    <row r="4149" customFormat="false" ht="15" hidden="false" customHeight="false" outlineLevel="0" collapsed="false">
      <c r="A4149" s="0" t="n">
        <v>4148</v>
      </c>
      <c r="B4149" s="18" t="n">
        <v>417136.340404402</v>
      </c>
      <c r="C4149" s="18" t="n">
        <v>0</v>
      </c>
      <c r="D4149" s="0" t="n">
        <v>0</v>
      </c>
      <c r="E4149" s="19" t="n">
        <v>31.5833333333333</v>
      </c>
    </row>
    <row r="4150" customFormat="false" ht="15" hidden="false" customHeight="false" outlineLevel="0" collapsed="false">
      <c r="A4150" s="0" t="n">
        <v>4149</v>
      </c>
      <c r="B4150" s="18" t="n">
        <v>718450.661257644</v>
      </c>
      <c r="C4150" s="18" t="n">
        <v>0</v>
      </c>
      <c r="D4150" s="0" t="n">
        <v>0</v>
      </c>
      <c r="E4150" s="19" t="n">
        <v>38.0833333333333</v>
      </c>
    </row>
    <row r="4151" customFormat="false" ht="15" hidden="false" customHeight="false" outlineLevel="0" collapsed="false">
      <c r="A4151" s="0" t="n">
        <v>4150</v>
      </c>
      <c r="B4151" s="18" t="n">
        <v>1797889.71778891</v>
      </c>
      <c r="C4151" s="18" t="n">
        <v>18404091.2991984</v>
      </c>
      <c r="D4151" s="0" t="n">
        <v>1</v>
      </c>
    </row>
    <row r="4152" customFormat="false" ht="15" hidden="false" customHeight="false" outlineLevel="0" collapsed="false">
      <c r="A4152" s="0" t="n">
        <v>4151</v>
      </c>
      <c r="B4152" s="18" t="n">
        <v>740086.552241828</v>
      </c>
      <c r="C4152" s="18" t="n">
        <v>0</v>
      </c>
      <c r="D4152" s="0" t="n">
        <v>0</v>
      </c>
      <c r="E4152" s="19" t="n">
        <v>35.3333333333333</v>
      </c>
    </row>
    <row r="4153" customFormat="false" ht="15" hidden="false" customHeight="false" outlineLevel="0" collapsed="false">
      <c r="A4153" s="0" t="n">
        <v>4152</v>
      </c>
      <c r="B4153" s="18" t="n">
        <v>1008413.50296749</v>
      </c>
      <c r="C4153" s="18" t="n">
        <v>0</v>
      </c>
      <c r="D4153" s="0" t="n">
        <v>0</v>
      </c>
      <c r="E4153" s="19" t="n">
        <v>44.75</v>
      </c>
    </row>
    <row r="4154" customFormat="false" ht="15" hidden="false" customHeight="false" outlineLevel="0" collapsed="false">
      <c r="A4154" s="0" t="n">
        <v>4153</v>
      </c>
      <c r="B4154" s="18" t="n">
        <v>811531.941913692</v>
      </c>
      <c r="C4154" s="18" t="n">
        <v>0</v>
      </c>
      <c r="D4154" s="0" t="n">
        <v>0</v>
      </c>
      <c r="E4154" s="19" t="n">
        <v>37.8333333333333</v>
      </c>
    </row>
    <row r="4155" customFormat="false" ht="15" hidden="false" customHeight="false" outlineLevel="0" collapsed="false">
      <c r="A4155" s="0" t="n">
        <v>4154</v>
      </c>
      <c r="B4155" s="18" t="n">
        <v>534754.980052666</v>
      </c>
      <c r="C4155" s="18" t="n">
        <v>0</v>
      </c>
      <c r="D4155" s="0" t="n">
        <v>0</v>
      </c>
      <c r="E4155" s="19" t="n">
        <v>35.75</v>
      </c>
    </row>
    <row r="4156" customFormat="false" ht="15" hidden="false" customHeight="false" outlineLevel="0" collapsed="false">
      <c r="A4156" s="0" t="n">
        <v>4155</v>
      </c>
      <c r="B4156" s="18" t="n">
        <v>1000395.09911472</v>
      </c>
      <c r="C4156" s="18" t="n">
        <v>4376857.82924443</v>
      </c>
      <c r="D4156" s="0" t="n">
        <v>1</v>
      </c>
    </row>
    <row r="4157" customFormat="false" ht="15" hidden="false" customHeight="false" outlineLevel="0" collapsed="false">
      <c r="A4157" s="0" t="n">
        <v>4156</v>
      </c>
      <c r="B4157" s="18" t="n">
        <v>1258758.78083821</v>
      </c>
      <c r="C4157" s="18" t="n">
        <v>0</v>
      </c>
      <c r="D4157" s="0" t="n">
        <v>0</v>
      </c>
      <c r="E4157" s="19" t="n">
        <v>48.5833333333333</v>
      </c>
    </row>
    <row r="4158" customFormat="false" ht="15" hidden="false" customHeight="false" outlineLevel="0" collapsed="false">
      <c r="A4158" s="0" t="n">
        <v>4157</v>
      </c>
      <c r="B4158" s="18" t="n">
        <v>518218.161264992</v>
      </c>
      <c r="C4158" s="18" t="n">
        <v>0</v>
      </c>
      <c r="D4158" s="0" t="n">
        <v>0</v>
      </c>
      <c r="E4158" s="19" t="n">
        <v>35.5</v>
      </c>
    </row>
    <row r="4159" customFormat="false" ht="15" hidden="false" customHeight="false" outlineLevel="0" collapsed="false">
      <c r="A4159" s="0" t="n">
        <v>4158</v>
      </c>
      <c r="B4159" s="18" t="n">
        <v>314365.010940674</v>
      </c>
      <c r="C4159" s="18" t="n">
        <v>0</v>
      </c>
      <c r="D4159" s="0" t="n">
        <v>0</v>
      </c>
      <c r="E4159" s="19" t="n">
        <v>31.6666666666667</v>
      </c>
    </row>
    <row r="4160" customFormat="false" ht="15" hidden="false" customHeight="false" outlineLevel="0" collapsed="false">
      <c r="A4160" s="0" t="n">
        <v>4159</v>
      </c>
      <c r="B4160" s="18" t="n">
        <v>1034904.64652082</v>
      </c>
      <c r="C4160" s="18" t="n">
        <v>0</v>
      </c>
      <c r="D4160" s="0" t="n">
        <v>0</v>
      </c>
      <c r="E4160" s="19" t="n">
        <v>52.9166666666667</v>
      </c>
    </row>
    <row r="4161" customFormat="false" ht="15" hidden="false" customHeight="false" outlineLevel="0" collapsed="false">
      <c r="A4161" s="0" t="n">
        <v>4160</v>
      </c>
      <c r="B4161" s="18" t="n">
        <v>1083825.6391675</v>
      </c>
      <c r="C4161" s="18" t="n">
        <v>433369.075390158</v>
      </c>
      <c r="D4161" s="0" t="n">
        <v>1</v>
      </c>
    </row>
    <row r="4162" customFormat="false" ht="15" hidden="false" customHeight="false" outlineLevel="0" collapsed="false">
      <c r="A4162" s="0" t="n">
        <v>4161</v>
      </c>
      <c r="B4162" s="18" t="n">
        <v>2372153.2731238</v>
      </c>
      <c r="C4162" s="18" t="n">
        <v>720522.164366654</v>
      </c>
      <c r="D4162" s="0" t="n">
        <v>1</v>
      </c>
    </row>
    <row r="4163" customFormat="false" ht="15" hidden="false" customHeight="false" outlineLevel="0" collapsed="false">
      <c r="A4163" s="0" t="n">
        <v>4162</v>
      </c>
      <c r="B4163" s="18" t="n">
        <v>2089691.25402865</v>
      </c>
      <c r="C4163" s="18" t="n">
        <v>2828867.38874621</v>
      </c>
      <c r="D4163" s="0" t="n">
        <v>1</v>
      </c>
    </row>
    <row r="4164" customFormat="false" ht="15" hidden="false" customHeight="false" outlineLevel="0" collapsed="false">
      <c r="A4164" s="0" t="n">
        <v>4163</v>
      </c>
      <c r="B4164" s="18" t="n">
        <v>521378.587274942</v>
      </c>
      <c r="C4164" s="18" t="n">
        <v>0</v>
      </c>
      <c r="D4164" s="0" t="n">
        <v>0</v>
      </c>
      <c r="E4164" s="19" t="n">
        <v>34.3333333333333</v>
      </c>
    </row>
    <row r="4165" customFormat="false" ht="15" hidden="false" customHeight="false" outlineLevel="0" collapsed="false">
      <c r="A4165" s="0" t="n">
        <v>4164</v>
      </c>
      <c r="B4165" s="18" t="n">
        <v>601779.187555659</v>
      </c>
      <c r="C4165" s="18" t="n">
        <v>0</v>
      </c>
      <c r="D4165" s="0" t="n">
        <v>0</v>
      </c>
      <c r="E4165" s="19" t="n">
        <v>38.3333333333333</v>
      </c>
    </row>
    <row r="4166" customFormat="false" ht="15" hidden="false" customHeight="false" outlineLevel="0" collapsed="false">
      <c r="A4166" s="0" t="n">
        <v>4165</v>
      </c>
      <c r="B4166" s="18" t="n">
        <v>2063706.04326042</v>
      </c>
      <c r="C4166" s="18" t="n">
        <v>9632700.90006904</v>
      </c>
      <c r="D4166" s="0" t="n">
        <v>1</v>
      </c>
    </row>
    <row r="4167" customFormat="false" ht="15" hidden="false" customHeight="false" outlineLevel="0" collapsed="false">
      <c r="A4167" s="0" t="n">
        <v>4166</v>
      </c>
      <c r="B4167" s="18" t="n">
        <v>1636298.85640755</v>
      </c>
      <c r="C4167" s="18" t="n">
        <v>1552251.01031211</v>
      </c>
      <c r="D4167" s="0" t="n">
        <v>1</v>
      </c>
    </row>
    <row r="4168" customFormat="false" ht="15" hidden="false" customHeight="false" outlineLevel="0" collapsed="false">
      <c r="A4168" s="0" t="n">
        <v>4167</v>
      </c>
      <c r="B4168" s="18" t="n">
        <v>4793893.58120257</v>
      </c>
      <c r="C4168" s="18" t="n">
        <v>37136608.6566671</v>
      </c>
      <c r="D4168" s="0" t="n">
        <v>1</v>
      </c>
    </row>
    <row r="4169" customFormat="false" ht="15" hidden="false" customHeight="false" outlineLevel="0" collapsed="false">
      <c r="A4169" s="0" t="n">
        <v>4168</v>
      </c>
      <c r="B4169" s="18" t="n">
        <v>447223.248586004</v>
      </c>
      <c r="C4169" s="18" t="n">
        <v>0</v>
      </c>
      <c r="D4169" s="0" t="n">
        <v>0</v>
      </c>
      <c r="E4169" s="19" t="n">
        <v>35</v>
      </c>
    </row>
    <row r="4170" customFormat="false" ht="15" hidden="false" customHeight="false" outlineLevel="0" collapsed="false">
      <c r="A4170" s="0" t="n">
        <v>4169</v>
      </c>
      <c r="B4170" s="18" t="n">
        <v>393557.63700511</v>
      </c>
      <c r="C4170" s="18" t="n">
        <v>0</v>
      </c>
      <c r="D4170" s="0" t="n">
        <v>0</v>
      </c>
      <c r="E4170" s="19" t="n">
        <v>34.8333333333333</v>
      </c>
    </row>
    <row r="4171" customFormat="false" ht="15" hidden="false" customHeight="false" outlineLevel="0" collapsed="false">
      <c r="A4171" s="0" t="n">
        <v>4170</v>
      </c>
      <c r="B4171" s="18" t="n">
        <v>1279540.75737008</v>
      </c>
      <c r="C4171" s="18" t="n">
        <v>12310700.3963715</v>
      </c>
      <c r="D4171" s="0" t="n">
        <v>1</v>
      </c>
    </row>
    <row r="4172" customFormat="false" ht="15" hidden="false" customHeight="false" outlineLevel="0" collapsed="false">
      <c r="A4172" s="0" t="n">
        <v>4171</v>
      </c>
      <c r="B4172" s="18" t="n">
        <v>1295196.22827307</v>
      </c>
      <c r="C4172" s="18" t="n">
        <v>0</v>
      </c>
      <c r="D4172" s="0" t="n">
        <v>0</v>
      </c>
      <c r="E4172" s="19" t="n">
        <v>53.6666666666667</v>
      </c>
    </row>
    <row r="4173" customFormat="false" ht="15" hidden="false" customHeight="false" outlineLevel="0" collapsed="false">
      <c r="A4173" s="0" t="n">
        <v>4172</v>
      </c>
      <c r="B4173" s="18" t="n">
        <v>1133513.40707349</v>
      </c>
      <c r="C4173" s="18" t="n">
        <v>0</v>
      </c>
      <c r="D4173" s="0" t="n">
        <v>0</v>
      </c>
      <c r="E4173" s="19" t="n">
        <v>49.25</v>
      </c>
    </row>
    <row r="4174" customFormat="false" ht="15" hidden="false" customHeight="false" outlineLevel="0" collapsed="false">
      <c r="A4174" s="0" t="n">
        <v>4173</v>
      </c>
      <c r="B4174" s="18" t="n">
        <v>1077241.2910475</v>
      </c>
      <c r="C4174" s="18" t="n">
        <v>6619122.98878189</v>
      </c>
      <c r="D4174" s="0" t="n">
        <v>1</v>
      </c>
    </row>
    <row r="4175" customFormat="false" ht="15" hidden="false" customHeight="false" outlineLevel="0" collapsed="false">
      <c r="A4175" s="0" t="n">
        <v>4174</v>
      </c>
      <c r="B4175" s="18" t="n">
        <v>526673.511606793</v>
      </c>
      <c r="C4175" s="18" t="n">
        <v>0</v>
      </c>
      <c r="D4175" s="0" t="n">
        <v>0</v>
      </c>
      <c r="E4175" s="19" t="n">
        <v>35.75</v>
      </c>
    </row>
    <row r="4176" customFormat="false" ht="15" hidden="false" customHeight="false" outlineLevel="0" collapsed="false">
      <c r="A4176" s="0" t="n">
        <v>4175</v>
      </c>
      <c r="B4176" s="18" t="n">
        <v>901765.148018342</v>
      </c>
      <c r="C4176" s="18" t="n">
        <v>0</v>
      </c>
      <c r="D4176" s="0" t="n">
        <v>0</v>
      </c>
      <c r="E4176" s="19" t="n">
        <v>41</v>
      </c>
    </row>
    <row r="4177" customFormat="false" ht="15" hidden="false" customHeight="false" outlineLevel="0" collapsed="false">
      <c r="A4177" s="0" t="n">
        <v>4176</v>
      </c>
      <c r="B4177" s="18" t="n">
        <v>2030569.15715294</v>
      </c>
      <c r="C4177" s="18" t="n">
        <v>0</v>
      </c>
      <c r="D4177" s="0" t="n">
        <v>0</v>
      </c>
      <c r="E4177" s="19" t="n">
        <v>51.0833333333333</v>
      </c>
    </row>
    <row r="4178" customFormat="false" ht="15" hidden="false" customHeight="false" outlineLevel="0" collapsed="false">
      <c r="A4178" s="0" t="n">
        <v>4177</v>
      </c>
      <c r="B4178" s="18" t="n">
        <v>906394.207595416</v>
      </c>
      <c r="C4178" s="18" t="n">
        <v>0</v>
      </c>
      <c r="D4178" s="0" t="n">
        <v>0</v>
      </c>
      <c r="E4178" s="19" t="n">
        <v>38.8333333333333</v>
      </c>
    </row>
    <row r="4179" customFormat="false" ht="15" hidden="false" customHeight="false" outlineLevel="0" collapsed="false">
      <c r="A4179" s="0" t="n">
        <v>4178</v>
      </c>
      <c r="B4179" s="18" t="n">
        <v>556134.329800248</v>
      </c>
      <c r="C4179" s="18" t="n">
        <v>0</v>
      </c>
      <c r="D4179" s="0" t="n">
        <v>0</v>
      </c>
      <c r="E4179" s="19" t="n">
        <v>37.25</v>
      </c>
    </row>
    <row r="4180" customFormat="false" ht="15" hidden="false" customHeight="false" outlineLevel="0" collapsed="false">
      <c r="A4180" s="0" t="n">
        <v>4179</v>
      </c>
      <c r="B4180" s="18" t="n">
        <v>1004165.1965913</v>
      </c>
      <c r="C4180" s="18" t="n">
        <v>0</v>
      </c>
      <c r="D4180" s="0" t="n">
        <v>0</v>
      </c>
      <c r="E4180" s="19" t="n">
        <v>53.4166666666667</v>
      </c>
    </row>
    <row r="4181" customFormat="false" ht="15" hidden="false" customHeight="false" outlineLevel="0" collapsed="false">
      <c r="A4181" s="0" t="n">
        <v>4180</v>
      </c>
      <c r="B4181" s="18" t="n">
        <v>798894.750623826</v>
      </c>
      <c r="C4181" s="18" t="n">
        <v>1832929.57165832</v>
      </c>
      <c r="D4181" s="0" t="n">
        <v>1</v>
      </c>
    </row>
    <row r="4182" customFormat="false" ht="15" hidden="false" customHeight="false" outlineLevel="0" collapsed="false">
      <c r="A4182" s="0" t="n">
        <v>4181</v>
      </c>
      <c r="B4182" s="18" t="n">
        <v>1173799.80975204</v>
      </c>
      <c r="C4182" s="18" t="n">
        <v>5808638.58329192</v>
      </c>
      <c r="D4182" s="0" t="n">
        <v>1</v>
      </c>
    </row>
    <row r="4183" customFormat="false" ht="15" hidden="false" customHeight="false" outlineLevel="0" collapsed="false">
      <c r="A4183" s="0" t="n">
        <v>4182</v>
      </c>
      <c r="B4183" s="18" t="n">
        <v>1176278.28165108</v>
      </c>
      <c r="C4183" s="18" t="n">
        <v>0</v>
      </c>
      <c r="D4183" s="0" t="n">
        <v>0</v>
      </c>
      <c r="E4183" s="19" t="n">
        <v>54.75</v>
      </c>
    </row>
    <row r="4184" customFormat="false" ht="15" hidden="false" customHeight="false" outlineLevel="0" collapsed="false">
      <c r="A4184" s="0" t="n">
        <v>4183</v>
      </c>
      <c r="B4184" s="18" t="n">
        <v>1234636.87271664</v>
      </c>
      <c r="C4184" s="18" t="n">
        <v>682960.724079857</v>
      </c>
      <c r="D4184" s="0" t="n">
        <v>1</v>
      </c>
    </row>
    <row r="4185" customFormat="false" ht="15" hidden="false" customHeight="false" outlineLevel="0" collapsed="false">
      <c r="A4185" s="0" t="n">
        <v>4184</v>
      </c>
      <c r="B4185" s="18" t="n">
        <v>2747828.86333898</v>
      </c>
      <c r="C4185" s="18" t="n">
        <v>34581618.2646029</v>
      </c>
      <c r="D4185" s="0" t="n">
        <v>1</v>
      </c>
    </row>
    <row r="4186" customFormat="false" ht="15" hidden="false" customHeight="false" outlineLevel="0" collapsed="false">
      <c r="A4186" s="0" t="n">
        <v>4185</v>
      </c>
      <c r="B4186" s="18" t="n">
        <v>497787.276938998</v>
      </c>
      <c r="C4186" s="18" t="n">
        <v>0</v>
      </c>
      <c r="D4186" s="0" t="n">
        <v>0</v>
      </c>
      <c r="E4186" s="19" t="n">
        <v>34.9166666666667</v>
      </c>
    </row>
    <row r="4187" customFormat="false" ht="15" hidden="false" customHeight="false" outlineLevel="0" collapsed="false">
      <c r="A4187" s="0" t="n">
        <v>4186</v>
      </c>
      <c r="B4187" s="18" t="n">
        <v>739094.481345043</v>
      </c>
      <c r="C4187" s="18" t="n">
        <v>0</v>
      </c>
      <c r="D4187" s="0" t="n">
        <v>0</v>
      </c>
      <c r="E4187" s="19" t="n">
        <v>39.8333333333333</v>
      </c>
    </row>
    <row r="4188" customFormat="false" ht="15" hidden="false" customHeight="false" outlineLevel="0" collapsed="false">
      <c r="A4188" s="0" t="n">
        <v>4187</v>
      </c>
      <c r="B4188" s="18" t="n">
        <v>536487.341925209</v>
      </c>
      <c r="C4188" s="18" t="n">
        <v>0</v>
      </c>
      <c r="D4188" s="0" t="n">
        <v>0</v>
      </c>
      <c r="E4188" s="19" t="n">
        <v>34.75</v>
      </c>
    </row>
    <row r="4189" customFormat="false" ht="15" hidden="false" customHeight="false" outlineLevel="0" collapsed="false">
      <c r="A4189" s="0" t="n">
        <v>4188</v>
      </c>
      <c r="B4189" s="18" t="n">
        <v>2021005.86585469</v>
      </c>
      <c r="C4189" s="18" t="n">
        <v>9645462.48824568</v>
      </c>
      <c r="D4189" s="0" t="n">
        <v>1</v>
      </c>
    </row>
    <row r="4190" customFormat="false" ht="15" hidden="false" customHeight="false" outlineLevel="0" collapsed="false">
      <c r="A4190" s="0" t="n">
        <v>4189</v>
      </c>
      <c r="B4190" s="18" t="n">
        <v>940970.203874633</v>
      </c>
      <c r="C4190" s="18" t="n">
        <v>0</v>
      </c>
      <c r="D4190" s="0" t="n">
        <v>0</v>
      </c>
      <c r="E4190" s="19" t="n">
        <v>38.75</v>
      </c>
    </row>
    <row r="4191" customFormat="false" ht="15" hidden="false" customHeight="false" outlineLevel="0" collapsed="false">
      <c r="A4191" s="0" t="n">
        <v>4190</v>
      </c>
      <c r="B4191" s="18" t="n">
        <v>662672.140574181</v>
      </c>
      <c r="C4191" s="18" t="n">
        <v>0</v>
      </c>
      <c r="D4191" s="0" t="n">
        <v>0</v>
      </c>
      <c r="E4191" s="19" t="n">
        <v>39.6666666666667</v>
      </c>
    </row>
    <row r="4192" customFormat="false" ht="15" hidden="false" customHeight="false" outlineLevel="0" collapsed="false">
      <c r="A4192" s="0" t="n">
        <v>4191</v>
      </c>
      <c r="B4192" s="18" t="n">
        <v>505249.510627882</v>
      </c>
      <c r="C4192" s="18" t="n">
        <v>0</v>
      </c>
      <c r="D4192" s="0" t="n">
        <v>0</v>
      </c>
      <c r="E4192" s="19" t="n">
        <v>53.3333333333333</v>
      </c>
    </row>
    <row r="4193" customFormat="false" ht="15" hidden="false" customHeight="false" outlineLevel="0" collapsed="false">
      <c r="A4193" s="0" t="n">
        <v>4192</v>
      </c>
      <c r="B4193" s="18" t="n">
        <v>466038.048997848</v>
      </c>
      <c r="C4193" s="18" t="n">
        <v>0</v>
      </c>
      <c r="D4193" s="0" t="n">
        <v>0</v>
      </c>
      <c r="E4193" s="19" t="n">
        <v>40.5833333333333</v>
      </c>
    </row>
    <row r="4194" customFormat="false" ht="15" hidden="false" customHeight="false" outlineLevel="0" collapsed="false">
      <c r="A4194" s="0" t="n">
        <v>4193</v>
      </c>
      <c r="B4194" s="18" t="n">
        <v>487664.386787915</v>
      </c>
      <c r="C4194" s="18" t="n">
        <v>0</v>
      </c>
      <c r="D4194" s="0" t="n">
        <v>0</v>
      </c>
      <c r="E4194" s="19" t="n">
        <v>32.0833333333333</v>
      </c>
    </row>
    <row r="4195" customFormat="false" ht="15" hidden="false" customHeight="false" outlineLevel="0" collapsed="false">
      <c r="A4195" s="0" t="n">
        <v>4194</v>
      </c>
      <c r="B4195" s="18" t="n">
        <v>721452.202961358</v>
      </c>
      <c r="C4195" s="18" t="n">
        <v>0</v>
      </c>
      <c r="D4195" s="0" t="n">
        <v>0</v>
      </c>
      <c r="E4195" s="19" t="n">
        <v>36.0833333333333</v>
      </c>
    </row>
    <row r="4196" customFormat="false" ht="15" hidden="false" customHeight="false" outlineLevel="0" collapsed="false">
      <c r="A4196" s="0" t="n">
        <v>4195</v>
      </c>
      <c r="B4196" s="18" t="n">
        <v>1352926.5171986</v>
      </c>
      <c r="C4196" s="18" t="n">
        <v>1498742.83971284</v>
      </c>
      <c r="D4196" s="0" t="n">
        <v>1</v>
      </c>
    </row>
    <row r="4197" customFormat="false" ht="15" hidden="false" customHeight="false" outlineLevel="0" collapsed="false">
      <c r="A4197" s="0" t="n">
        <v>4196</v>
      </c>
      <c r="B4197" s="18" t="n">
        <v>1249506.03208579</v>
      </c>
      <c r="C4197" s="18" t="n">
        <v>20295.0558230666</v>
      </c>
      <c r="D4197" s="0" t="n">
        <v>1</v>
      </c>
    </row>
    <row r="4198" customFormat="false" ht="15" hidden="false" customHeight="false" outlineLevel="0" collapsed="false">
      <c r="A4198" s="0" t="n">
        <v>4197</v>
      </c>
      <c r="B4198" s="18" t="n">
        <v>1806679.46776927</v>
      </c>
      <c r="C4198" s="18" t="n">
        <v>2031261.0397698</v>
      </c>
      <c r="D4198" s="0" t="n">
        <v>1</v>
      </c>
    </row>
    <row r="4199" customFormat="false" ht="15" hidden="false" customHeight="false" outlineLevel="0" collapsed="false">
      <c r="A4199" s="0" t="n">
        <v>4198</v>
      </c>
      <c r="B4199" s="18" t="n">
        <v>2015072.26333666</v>
      </c>
      <c r="C4199" s="18" t="n">
        <v>0</v>
      </c>
      <c r="D4199" s="0" t="n">
        <v>0</v>
      </c>
      <c r="E4199" s="19" t="n">
        <v>53.0833333333333</v>
      </c>
    </row>
    <row r="4200" customFormat="false" ht="15" hidden="false" customHeight="false" outlineLevel="0" collapsed="false">
      <c r="A4200" s="0" t="n">
        <v>4199</v>
      </c>
      <c r="B4200" s="18" t="n">
        <v>1169667.580329</v>
      </c>
      <c r="C4200" s="18" t="n">
        <v>0</v>
      </c>
      <c r="D4200" s="0" t="n">
        <v>0</v>
      </c>
      <c r="E4200" s="19" t="n">
        <v>41.25</v>
      </c>
    </row>
    <row r="4201" customFormat="false" ht="15" hidden="false" customHeight="false" outlineLevel="0" collapsed="false">
      <c r="A4201" s="0" t="n">
        <v>4200</v>
      </c>
      <c r="B4201" s="18" t="n">
        <v>719895.499105429</v>
      </c>
      <c r="C4201" s="18" t="n">
        <v>0</v>
      </c>
      <c r="D4201" s="0" t="n">
        <v>0</v>
      </c>
      <c r="E4201" s="19" t="n">
        <v>43.4166666666667</v>
      </c>
    </row>
    <row r="4202" customFormat="false" ht="15" hidden="false" customHeight="false" outlineLevel="0" collapsed="false">
      <c r="A4202" s="0" t="n">
        <v>4201</v>
      </c>
      <c r="B4202" s="18" t="n">
        <v>1128699.8301961</v>
      </c>
      <c r="C4202" s="18" t="n">
        <v>2503569.48041644</v>
      </c>
      <c r="D4202" s="0" t="n">
        <v>1</v>
      </c>
    </row>
    <row r="4203" customFormat="false" ht="15" hidden="false" customHeight="false" outlineLevel="0" collapsed="false">
      <c r="A4203" s="0" t="n">
        <v>4202</v>
      </c>
      <c r="B4203" s="18" t="n">
        <v>907622.745218654</v>
      </c>
      <c r="C4203" s="18" t="n">
        <v>4647058.96246989</v>
      </c>
      <c r="D4203" s="0" t="n">
        <v>1</v>
      </c>
    </row>
    <row r="4204" customFormat="false" ht="15" hidden="false" customHeight="false" outlineLevel="0" collapsed="false">
      <c r="A4204" s="0" t="n">
        <v>4203</v>
      </c>
      <c r="B4204" s="18" t="n">
        <v>4015109.78762727</v>
      </c>
      <c r="C4204" s="18" t="n">
        <v>33222521.2823442</v>
      </c>
      <c r="D4204" s="0" t="n">
        <v>1</v>
      </c>
    </row>
    <row r="4205" customFormat="false" ht="15" hidden="false" customHeight="false" outlineLevel="0" collapsed="false">
      <c r="A4205" s="0" t="n">
        <v>4204</v>
      </c>
      <c r="B4205" s="18" t="n">
        <v>631305.674942479</v>
      </c>
      <c r="C4205" s="18" t="n">
        <v>0</v>
      </c>
      <c r="D4205" s="0" t="n">
        <v>0</v>
      </c>
      <c r="E4205" s="19" t="n">
        <v>37.5</v>
      </c>
    </row>
    <row r="4206" customFormat="false" ht="15" hidden="false" customHeight="false" outlineLevel="0" collapsed="false">
      <c r="A4206" s="0" t="n">
        <v>4205</v>
      </c>
      <c r="B4206" s="18" t="n">
        <v>662302.21064896</v>
      </c>
      <c r="C4206" s="18" t="n">
        <v>0</v>
      </c>
      <c r="D4206" s="0" t="n">
        <v>0</v>
      </c>
      <c r="E4206" s="19" t="n">
        <v>35.6666666666667</v>
      </c>
    </row>
    <row r="4207" customFormat="false" ht="15" hidden="false" customHeight="false" outlineLevel="0" collapsed="false">
      <c r="A4207" s="0" t="n">
        <v>4206</v>
      </c>
      <c r="B4207" s="18" t="n">
        <v>606656.174820266</v>
      </c>
      <c r="C4207" s="18" t="n">
        <v>0</v>
      </c>
      <c r="D4207" s="0" t="n">
        <v>0</v>
      </c>
      <c r="E4207" s="19" t="n">
        <v>31.8333333333333</v>
      </c>
    </row>
    <row r="4208" customFormat="false" ht="15" hidden="false" customHeight="false" outlineLevel="0" collapsed="false">
      <c r="A4208" s="0" t="n">
        <v>4207</v>
      </c>
      <c r="B4208" s="18" t="n">
        <v>380292.116128356</v>
      </c>
      <c r="C4208" s="18" t="n">
        <v>0</v>
      </c>
      <c r="D4208" s="0" t="n">
        <v>0</v>
      </c>
      <c r="E4208" s="19" t="n">
        <v>32.1666666666667</v>
      </c>
    </row>
    <row r="4209" customFormat="false" ht="15" hidden="false" customHeight="false" outlineLevel="0" collapsed="false">
      <c r="A4209" s="0" t="n">
        <v>4208</v>
      </c>
      <c r="B4209" s="18" t="n">
        <v>1382435.28853897</v>
      </c>
      <c r="C4209" s="18" t="n">
        <v>0</v>
      </c>
      <c r="D4209" s="0" t="n">
        <v>0</v>
      </c>
      <c r="E4209" s="19" t="n">
        <v>39.25</v>
      </c>
    </row>
    <row r="4210" customFormat="false" ht="15" hidden="false" customHeight="false" outlineLevel="0" collapsed="false">
      <c r="A4210" s="0" t="n">
        <v>4209</v>
      </c>
      <c r="B4210" s="18" t="n">
        <v>706952.956623255</v>
      </c>
      <c r="C4210" s="18" t="n">
        <v>0</v>
      </c>
      <c r="D4210" s="0" t="n">
        <v>0</v>
      </c>
      <c r="E4210" s="19" t="n">
        <v>38.8333333333333</v>
      </c>
    </row>
    <row r="4211" customFormat="false" ht="15" hidden="false" customHeight="false" outlineLevel="0" collapsed="false">
      <c r="A4211" s="0" t="n">
        <v>4210</v>
      </c>
      <c r="B4211" s="18" t="n">
        <v>901385.532389359</v>
      </c>
      <c r="C4211" s="18" t="n">
        <v>0</v>
      </c>
      <c r="D4211" s="0" t="n">
        <v>0</v>
      </c>
      <c r="E4211" s="19" t="n">
        <v>53.6666666666667</v>
      </c>
    </row>
    <row r="4212" customFormat="false" ht="15" hidden="false" customHeight="false" outlineLevel="0" collapsed="false">
      <c r="A4212" s="0" t="n">
        <v>4211</v>
      </c>
      <c r="B4212" s="18" t="n">
        <v>953039.144111706</v>
      </c>
      <c r="C4212" s="18" t="n">
        <v>0</v>
      </c>
      <c r="D4212" s="0" t="n">
        <v>0</v>
      </c>
      <c r="E4212" s="19" t="n">
        <v>44.5833333333333</v>
      </c>
    </row>
    <row r="4213" customFormat="false" ht="15" hidden="false" customHeight="false" outlineLevel="0" collapsed="false">
      <c r="A4213" s="0" t="n">
        <v>4212</v>
      </c>
      <c r="B4213" s="18" t="n">
        <v>747269.084506318</v>
      </c>
      <c r="C4213" s="18" t="n">
        <v>0</v>
      </c>
      <c r="D4213" s="0" t="n">
        <v>0</v>
      </c>
      <c r="E4213" s="19" t="n">
        <v>37.75</v>
      </c>
    </row>
    <row r="4214" customFormat="false" ht="15" hidden="false" customHeight="false" outlineLevel="0" collapsed="false">
      <c r="A4214" s="0" t="n">
        <v>4213</v>
      </c>
      <c r="B4214" s="18" t="n">
        <v>858930.814502951</v>
      </c>
      <c r="C4214" s="18" t="n">
        <v>0</v>
      </c>
      <c r="D4214" s="0" t="n">
        <v>0</v>
      </c>
      <c r="E4214" s="19" t="n">
        <v>45.9166666666667</v>
      </c>
    </row>
    <row r="4215" customFormat="false" ht="15" hidden="false" customHeight="false" outlineLevel="0" collapsed="false">
      <c r="A4215" s="0" t="n">
        <v>4214</v>
      </c>
      <c r="B4215" s="18" t="n">
        <v>1176659.93981683</v>
      </c>
      <c r="C4215" s="18" t="n">
        <v>0</v>
      </c>
      <c r="D4215" s="0" t="n">
        <v>0</v>
      </c>
      <c r="E4215" s="19" t="n">
        <v>41</v>
      </c>
    </row>
    <row r="4216" customFormat="false" ht="15" hidden="false" customHeight="false" outlineLevel="0" collapsed="false">
      <c r="A4216" s="0" t="n">
        <v>4215</v>
      </c>
      <c r="B4216" s="18" t="n">
        <v>843553.695002602</v>
      </c>
      <c r="C4216" s="18" t="n">
        <v>0</v>
      </c>
      <c r="D4216" s="0" t="n">
        <v>0</v>
      </c>
      <c r="E4216" s="19" t="n">
        <v>40.0833333333333</v>
      </c>
    </row>
    <row r="4217" customFormat="false" ht="15" hidden="false" customHeight="false" outlineLevel="0" collapsed="false">
      <c r="A4217" s="0" t="n">
        <v>4216</v>
      </c>
      <c r="B4217" s="18" t="n">
        <v>954900.922349276</v>
      </c>
      <c r="C4217" s="18" t="n">
        <v>0</v>
      </c>
      <c r="D4217" s="0" t="n">
        <v>0</v>
      </c>
      <c r="E4217" s="19" t="n">
        <v>43.1666666666667</v>
      </c>
    </row>
    <row r="4218" customFormat="false" ht="15" hidden="false" customHeight="false" outlineLevel="0" collapsed="false">
      <c r="A4218" s="0" t="n">
        <v>4217</v>
      </c>
      <c r="B4218" s="18" t="n">
        <v>1353203.9567249</v>
      </c>
      <c r="C4218" s="18" t="n">
        <v>0</v>
      </c>
      <c r="D4218" s="0" t="n">
        <v>0</v>
      </c>
      <c r="E4218" s="19" t="n">
        <v>54.8333333333333</v>
      </c>
    </row>
    <row r="4219" customFormat="false" ht="15" hidden="false" customHeight="false" outlineLevel="0" collapsed="false">
      <c r="A4219" s="0" t="n">
        <v>4218</v>
      </c>
      <c r="B4219" s="18" t="n">
        <v>1099753.58522178</v>
      </c>
      <c r="C4219" s="18" t="n">
        <v>0</v>
      </c>
      <c r="D4219" s="0" t="n">
        <v>0</v>
      </c>
      <c r="E4219" s="19" t="n">
        <v>54.1666666666667</v>
      </c>
    </row>
    <row r="4220" customFormat="false" ht="15" hidden="false" customHeight="false" outlineLevel="0" collapsed="false">
      <c r="A4220" s="0" t="n">
        <v>4219</v>
      </c>
      <c r="B4220" s="18" t="n">
        <v>3955365.13229836</v>
      </c>
      <c r="C4220" s="18" t="n">
        <v>41347001.0787845</v>
      </c>
      <c r="D4220" s="0" t="n">
        <v>1</v>
      </c>
    </row>
    <row r="4221" customFormat="false" ht="15" hidden="false" customHeight="false" outlineLevel="0" collapsed="false">
      <c r="A4221" s="0" t="n">
        <v>4220</v>
      </c>
      <c r="B4221" s="18" t="n">
        <v>2363076.64497134</v>
      </c>
      <c r="C4221" s="18" t="n">
        <v>8343973.59744699</v>
      </c>
      <c r="D4221" s="0" t="n">
        <v>1</v>
      </c>
    </row>
    <row r="4222" customFormat="false" ht="15" hidden="false" customHeight="false" outlineLevel="0" collapsed="false">
      <c r="A4222" s="0" t="n">
        <v>4221</v>
      </c>
      <c r="B4222" s="18" t="n">
        <v>657405.802972313</v>
      </c>
      <c r="C4222" s="18" t="n">
        <v>0</v>
      </c>
      <c r="D4222" s="0" t="n">
        <v>0</v>
      </c>
      <c r="E4222" s="19" t="n">
        <v>38.6666666666667</v>
      </c>
    </row>
    <row r="4223" customFormat="false" ht="15" hidden="false" customHeight="false" outlineLevel="0" collapsed="false">
      <c r="A4223" s="0" t="n">
        <v>4222</v>
      </c>
      <c r="B4223" s="18" t="n">
        <v>1206778.65340529</v>
      </c>
      <c r="C4223" s="18" t="n">
        <v>1192814.53977141</v>
      </c>
      <c r="D4223" s="0" t="n">
        <v>1</v>
      </c>
    </row>
    <row r="4224" customFormat="false" ht="15" hidden="false" customHeight="false" outlineLevel="0" collapsed="false">
      <c r="A4224" s="0" t="n">
        <v>4223</v>
      </c>
      <c r="B4224" s="18" t="n">
        <v>2169334.53648925</v>
      </c>
      <c r="C4224" s="18" t="n">
        <v>7269666.59293725</v>
      </c>
      <c r="D4224" s="0" t="n">
        <v>1</v>
      </c>
    </row>
    <row r="4225" customFormat="false" ht="15" hidden="false" customHeight="false" outlineLevel="0" collapsed="false">
      <c r="A4225" s="0" t="n">
        <v>4224</v>
      </c>
      <c r="B4225" s="18" t="n">
        <v>1203964.08279638</v>
      </c>
      <c r="C4225" s="18" t="n">
        <v>19698249.7541932</v>
      </c>
      <c r="D4225" s="0" t="n">
        <v>1</v>
      </c>
    </row>
    <row r="4226" customFormat="false" ht="15" hidden="false" customHeight="false" outlineLevel="0" collapsed="false">
      <c r="A4226" s="0" t="n">
        <v>4225</v>
      </c>
      <c r="B4226" s="18" t="n">
        <v>478868.300088396</v>
      </c>
      <c r="C4226" s="18" t="n">
        <v>0</v>
      </c>
      <c r="D4226" s="0" t="n">
        <v>0</v>
      </c>
      <c r="E4226" s="19" t="n">
        <v>30.0833333333333</v>
      </c>
    </row>
    <row r="4227" customFormat="false" ht="15" hidden="false" customHeight="false" outlineLevel="0" collapsed="false">
      <c r="A4227" s="0" t="n">
        <v>4226</v>
      </c>
      <c r="B4227" s="18" t="n">
        <v>1985864.69423425</v>
      </c>
      <c r="C4227" s="18" t="n">
        <v>1933238.30267593</v>
      </c>
      <c r="D4227" s="0" t="n">
        <v>1</v>
      </c>
    </row>
    <row r="4228" customFormat="false" ht="15" hidden="false" customHeight="false" outlineLevel="0" collapsed="false">
      <c r="A4228" s="0" t="n">
        <v>4227</v>
      </c>
      <c r="B4228" s="18" t="n">
        <v>412315.828027157</v>
      </c>
      <c r="C4228" s="18" t="n">
        <v>0</v>
      </c>
      <c r="D4228" s="0" t="n">
        <v>0</v>
      </c>
      <c r="E4228" s="19" t="n">
        <v>33.9166666666667</v>
      </c>
    </row>
    <row r="4229" customFormat="false" ht="15" hidden="false" customHeight="false" outlineLevel="0" collapsed="false">
      <c r="A4229" s="0" t="n">
        <v>4228</v>
      </c>
      <c r="B4229" s="18" t="n">
        <v>812443.157960164</v>
      </c>
      <c r="C4229" s="18" t="n">
        <v>0</v>
      </c>
      <c r="D4229" s="0" t="n">
        <v>0</v>
      </c>
      <c r="E4229" s="19" t="n">
        <v>39.1666666666667</v>
      </c>
    </row>
    <row r="4230" customFormat="false" ht="15" hidden="false" customHeight="false" outlineLevel="0" collapsed="false">
      <c r="A4230" s="0" t="n">
        <v>4229</v>
      </c>
      <c r="B4230" s="18" t="n">
        <v>899175.132666902</v>
      </c>
      <c r="C4230" s="18" t="n">
        <v>0</v>
      </c>
      <c r="D4230" s="0" t="n">
        <v>0</v>
      </c>
      <c r="E4230" s="19" t="n">
        <v>48.1666666666667</v>
      </c>
    </row>
    <row r="4231" customFormat="false" ht="15" hidden="false" customHeight="false" outlineLevel="0" collapsed="false">
      <c r="A4231" s="0" t="n">
        <v>4230</v>
      </c>
      <c r="B4231" s="18" t="n">
        <v>379823.799020609</v>
      </c>
      <c r="C4231" s="18" t="n">
        <v>0</v>
      </c>
      <c r="D4231" s="0" t="n">
        <v>0</v>
      </c>
      <c r="E4231" s="19" t="n">
        <v>32</v>
      </c>
    </row>
    <row r="4232" customFormat="false" ht="15" hidden="false" customHeight="false" outlineLevel="0" collapsed="false">
      <c r="A4232" s="0" t="n">
        <v>4231</v>
      </c>
      <c r="B4232" s="18" t="n">
        <v>871064.347226559</v>
      </c>
      <c r="C4232" s="18" t="n">
        <v>0</v>
      </c>
      <c r="D4232" s="0" t="n">
        <v>0</v>
      </c>
      <c r="E4232" s="19" t="n">
        <v>48.25</v>
      </c>
    </row>
    <row r="4233" customFormat="false" ht="15" hidden="false" customHeight="false" outlineLevel="0" collapsed="false">
      <c r="A4233" s="0" t="n">
        <v>4232</v>
      </c>
      <c r="B4233" s="18" t="n">
        <v>998740.24038114</v>
      </c>
      <c r="C4233" s="18" t="n">
        <v>0</v>
      </c>
      <c r="D4233" s="0" t="n">
        <v>0</v>
      </c>
      <c r="E4233" s="19" t="n">
        <v>51</v>
      </c>
    </row>
    <row r="4234" customFormat="false" ht="15" hidden="false" customHeight="false" outlineLevel="0" collapsed="false">
      <c r="A4234" s="0" t="n">
        <v>4233</v>
      </c>
      <c r="B4234" s="18" t="n">
        <v>996923.382646729</v>
      </c>
      <c r="C4234" s="18" t="n">
        <v>8912209.53254108</v>
      </c>
      <c r="D4234" s="0" t="n">
        <v>1</v>
      </c>
    </row>
    <row r="4235" customFormat="false" ht="15" hidden="false" customHeight="false" outlineLevel="0" collapsed="false">
      <c r="A4235" s="0" t="n">
        <v>4234</v>
      </c>
      <c r="B4235" s="18" t="n">
        <v>774989.47405361</v>
      </c>
      <c r="C4235" s="18" t="n">
        <v>0</v>
      </c>
      <c r="D4235" s="0" t="n">
        <v>0</v>
      </c>
      <c r="E4235" s="19" t="n">
        <v>48.5</v>
      </c>
    </row>
    <row r="4236" customFormat="false" ht="15" hidden="false" customHeight="false" outlineLevel="0" collapsed="false">
      <c r="A4236" s="0" t="n">
        <v>4235</v>
      </c>
      <c r="B4236" s="18" t="n">
        <v>680414.831121023</v>
      </c>
      <c r="C4236" s="18" t="n">
        <v>0</v>
      </c>
      <c r="D4236" s="0" t="n">
        <v>0</v>
      </c>
      <c r="E4236" s="19" t="n">
        <v>35.5833333333333</v>
      </c>
    </row>
    <row r="4237" customFormat="false" ht="15" hidden="false" customHeight="false" outlineLevel="0" collapsed="false">
      <c r="A4237" s="0" t="n">
        <v>4236</v>
      </c>
      <c r="B4237" s="18" t="n">
        <v>1627401.84199996</v>
      </c>
      <c r="C4237" s="18" t="n">
        <v>12064229.9316446</v>
      </c>
      <c r="D4237" s="0" t="n">
        <v>1</v>
      </c>
    </row>
    <row r="4238" customFormat="false" ht="15" hidden="false" customHeight="false" outlineLevel="0" collapsed="false">
      <c r="A4238" s="0" t="n">
        <v>4237</v>
      </c>
      <c r="B4238" s="18" t="n">
        <v>824513.288763693</v>
      </c>
      <c r="C4238" s="18" t="n">
        <v>0</v>
      </c>
      <c r="D4238" s="0" t="n">
        <v>0</v>
      </c>
      <c r="E4238" s="19" t="n">
        <v>45.8333333333333</v>
      </c>
    </row>
    <row r="4239" customFormat="false" ht="15" hidden="false" customHeight="false" outlineLevel="0" collapsed="false">
      <c r="A4239" s="0" t="n">
        <v>4238</v>
      </c>
      <c r="B4239" s="18" t="n">
        <v>1587622.72483026</v>
      </c>
      <c r="C4239" s="18" t="n">
        <v>6195598.94858361</v>
      </c>
      <c r="D4239" s="0" t="n">
        <v>1</v>
      </c>
    </row>
    <row r="4240" customFormat="false" ht="15" hidden="false" customHeight="false" outlineLevel="0" collapsed="false">
      <c r="A4240" s="0" t="n">
        <v>4239</v>
      </c>
      <c r="B4240" s="18" t="n">
        <v>1727547.8602665</v>
      </c>
      <c r="C4240" s="18" t="n">
        <v>924487.74771322</v>
      </c>
      <c r="D4240" s="0" t="n">
        <v>1</v>
      </c>
    </row>
    <row r="4241" customFormat="false" ht="15" hidden="false" customHeight="false" outlineLevel="0" collapsed="false">
      <c r="A4241" s="0" t="n">
        <v>4240</v>
      </c>
      <c r="B4241" s="18" t="n">
        <v>660971.407868117</v>
      </c>
      <c r="C4241" s="18" t="n">
        <v>0</v>
      </c>
      <c r="D4241" s="0" t="n">
        <v>0</v>
      </c>
      <c r="E4241" s="19" t="n">
        <v>44.5833333333333</v>
      </c>
    </row>
    <row r="4242" customFormat="false" ht="15" hidden="false" customHeight="false" outlineLevel="0" collapsed="false">
      <c r="A4242" s="0" t="n">
        <v>4241</v>
      </c>
      <c r="B4242" s="18" t="n">
        <v>627737.88352619</v>
      </c>
      <c r="C4242" s="18" t="n">
        <v>0</v>
      </c>
      <c r="D4242" s="0" t="n">
        <v>0</v>
      </c>
      <c r="E4242" s="19" t="n">
        <v>34.9166666666667</v>
      </c>
    </row>
    <row r="4243" customFormat="false" ht="15" hidden="false" customHeight="false" outlineLevel="0" collapsed="false">
      <c r="A4243" s="0" t="n">
        <v>4242</v>
      </c>
      <c r="B4243" s="18" t="n">
        <v>323907.904093946</v>
      </c>
      <c r="C4243" s="18" t="n">
        <v>0</v>
      </c>
      <c r="D4243" s="0" t="n">
        <v>0</v>
      </c>
      <c r="E4243" s="19" t="n">
        <v>29.3333333333333</v>
      </c>
    </row>
    <row r="4244" customFormat="false" ht="15" hidden="false" customHeight="false" outlineLevel="0" collapsed="false">
      <c r="A4244" s="0" t="n">
        <v>4243</v>
      </c>
      <c r="B4244" s="18" t="n">
        <v>709778.303863859</v>
      </c>
      <c r="C4244" s="18" t="n">
        <v>0</v>
      </c>
      <c r="D4244" s="0" t="n">
        <v>0</v>
      </c>
      <c r="E4244" s="19" t="n">
        <v>40.25</v>
      </c>
    </row>
    <row r="4245" customFormat="false" ht="15" hidden="false" customHeight="false" outlineLevel="0" collapsed="false">
      <c r="A4245" s="0" t="n">
        <v>4244</v>
      </c>
      <c r="B4245" s="18" t="n">
        <v>1085614.11933716</v>
      </c>
      <c r="C4245" s="18" t="n">
        <v>1392239.62613529</v>
      </c>
      <c r="D4245" s="0" t="n">
        <v>1</v>
      </c>
    </row>
    <row r="4246" customFormat="false" ht="15" hidden="false" customHeight="false" outlineLevel="0" collapsed="false">
      <c r="A4246" s="0" t="n">
        <v>4245</v>
      </c>
      <c r="B4246" s="18" t="n">
        <v>951631.632022539</v>
      </c>
      <c r="C4246" s="18" t="n">
        <v>0</v>
      </c>
      <c r="D4246" s="0" t="n">
        <v>0</v>
      </c>
      <c r="E4246" s="19" t="n">
        <v>44.5833333333333</v>
      </c>
    </row>
    <row r="4247" customFormat="false" ht="15" hidden="false" customHeight="false" outlineLevel="0" collapsed="false">
      <c r="A4247" s="0" t="n">
        <v>4246</v>
      </c>
      <c r="B4247" s="18" t="n">
        <v>556243.661672986</v>
      </c>
      <c r="C4247" s="18" t="n">
        <v>0</v>
      </c>
      <c r="D4247" s="0" t="n">
        <v>0</v>
      </c>
      <c r="E4247" s="19" t="n">
        <v>40.4166666666667</v>
      </c>
    </row>
    <row r="4248" customFormat="false" ht="15" hidden="false" customHeight="false" outlineLevel="0" collapsed="false">
      <c r="A4248" s="0" t="n">
        <v>4247</v>
      </c>
      <c r="B4248" s="18" t="n">
        <v>848383.405329131</v>
      </c>
      <c r="C4248" s="18" t="n">
        <v>0</v>
      </c>
      <c r="D4248" s="0" t="n">
        <v>0</v>
      </c>
      <c r="E4248" s="19" t="n">
        <v>40.4166666666667</v>
      </c>
    </row>
    <row r="4249" customFormat="false" ht="15" hidden="false" customHeight="false" outlineLevel="0" collapsed="false">
      <c r="A4249" s="0" t="n">
        <v>4248</v>
      </c>
      <c r="B4249" s="18" t="n">
        <v>1869062.36140759</v>
      </c>
      <c r="C4249" s="18" t="n">
        <v>12213803.4938091</v>
      </c>
      <c r="D4249" s="0" t="n">
        <v>1</v>
      </c>
    </row>
    <row r="4250" customFormat="false" ht="15" hidden="false" customHeight="false" outlineLevel="0" collapsed="false">
      <c r="A4250" s="0" t="n">
        <v>4249</v>
      </c>
      <c r="B4250" s="18" t="n">
        <v>444930.757047681</v>
      </c>
      <c r="C4250" s="18" t="n">
        <v>0</v>
      </c>
      <c r="D4250" s="0" t="n">
        <v>0</v>
      </c>
      <c r="E4250" s="19" t="n">
        <v>30.9166666666667</v>
      </c>
    </row>
    <row r="4251" customFormat="false" ht="15" hidden="false" customHeight="false" outlineLevel="0" collapsed="false">
      <c r="A4251" s="0" t="n">
        <v>4250</v>
      </c>
      <c r="B4251" s="18" t="n">
        <v>4403095.07997595</v>
      </c>
      <c r="C4251" s="18" t="n">
        <v>5710049.72275855</v>
      </c>
      <c r="D4251" s="0" t="n">
        <v>1</v>
      </c>
    </row>
    <row r="4252" customFormat="false" ht="15" hidden="false" customHeight="false" outlineLevel="0" collapsed="false">
      <c r="A4252" s="0" t="n">
        <v>4251</v>
      </c>
      <c r="B4252" s="18" t="n">
        <v>774478.644303981</v>
      </c>
      <c r="C4252" s="18" t="n">
        <v>0</v>
      </c>
      <c r="D4252" s="0" t="n">
        <v>0</v>
      </c>
      <c r="E4252" s="19" t="n">
        <v>40.5833333333333</v>
      </c>
    </row>
    <row r="4253" customFormat="false" ht="15" hidden="false" customHeight="false" outlineLevel="0" collapsed="false">
      <c r="A4253" s="0" t="n">
        <v>4252</v>
      </c>
      <c r="B4253" s="18" t="n">
        <v>2252221.04628652</v>
      </c>
      <c r="C4253" s="18" t="n">
        <v>5380505.69544721</v>
      </c>
      <c r="D4253" s="0" t="n">
        <v>1</v>
      </c>
    </row>
    <row r="4254" customFormat="false" ht="15" hidden="false" customHeight="false" outlineLevel="0" collapsed="false">
      <c r="A4254" s="0" t="n">
        <v>4253</v>
      </c>
      <c r="B4254" s="18" t="n">
        <v>1209866.02209902</v>
      </c>
      <c r="C4254" s="18" t="n">
        <v>1258561.19871384</v>
      </c>
      <c r="D4254" s="0" t="n">
        <v>1</v>
      </c>
    </row>
    <row r="4255" customFormat="false" ht="15" hidden="false" customHeight="false" outlineLevel="0" collapsed="false">
      <c r="A4255" s="0" t="n">
        <v>4254</v>
      </c>
      <c r="B4255" s="18" t="n">
        <v>762265.222272635</v>
      </c>
      <c r="C4255" s="18" t="n">
        <v>0</v>
      </c>
      <c r="D4255" s="0" t="n">
        <v>0</v>
      </c>
      <c r="E4255" s="19" t="n">
        <v>39.1666666666667</v>
      </c>
    </row>
    <row r="4256" customFormat="false" ht="15" hidden="false" customHeight="false" outlineLevel="0" collapsed="false">
      <c r="A4256" s="0" t="n">
        <v>4255</v>
      </c>
      <c r="B4256" s="18" t="n">
        <v>985115.779798204</v>
      </c>
      <c r="C4256" s="18" t="n">
        <v>1409679.52107521</v>
      </c>
      <c r="D4256" s="0" t="n">
        <v>1</v>
      </c>
    </row>
    <row r="4257" customFormat="false" ht="15" hidden="false" customHeight="false" outlineLevel="0" collapsed="false">
      <c r="A4257" s="0" t="n">
        <v>4256</v>
      </c>
      <c r="B4257" s="18" t="n">
        <v>845212.048637028</v>
      </c>
      <c r="C4257" s="18" t="n">
        <v>0</v>
      </c>
      <c r="D4257" s="0" t="n">
        <v>0</v>
      </c>
      <c r="E4257" s="19" t="n">
        <v>35.75</v>
      </c>
    </row>
    <row r="4258" customFormat="false" ht="15" hidden="false" customHeight="false" outlineLevel="0" collapsed="false">
      <c r="A4258" s="0" t="n">
        <v>4257</v>
      </c>
      <c r="B4258" s="18" t="n">
        <v>7853544.17559978</v>
      </c>
      <c r="C4258" s="18" t="n">
        <v>24169754.4846198</v>
      </c>
      <c r="D4258" s="0" t="n">
        <v>1</v>
      </c>
    </row>
    <row r="4259" customFormat="false" ht="15" hidden="false" customHeight="false" outlineLevel="0" collapsed="false">
      <c r="A4259" s="0" t="n">
        <v>4258</v>
      </c>
      <c r="B4259" s="18" t="n">
        <v>680199.11218319</v>
      </c>
      <c r="C4259" s="18" t="n">
        <v>0</v>
      </c>
      <c r="D4259" s="0" t="n">
        <v>0</v>
      </c>
      <c r="E4259" s="19" t="n">
        <v>38.0833333333333</v>
      </c>
    </row>
    <row r="4260" customFormat="false" ht="15" hidden="false" customHeight="false" outlineLevel="0" collapsed="false">
      <c r="A4260" s="0" t="n">
        <v>4259</v>
      </c>
      <c r="B4260" s="18" t="n">
        <v>630731.773381997</v>
      </c>
      <c r="C4260" s="18" t="n">
        <v>0</v>
      </c>
      <c r="D4260" s="0" t="n">
        <v>0</v>
      </c>
      <c r="E4260" s="19" t="n">
        <v>39</v>
      </c>
    </row>
    <row r="4261" customFormat="false" ht="15" hidden="false" customHeight="false" outlineLevel="0" collapsed="false">
      <c r="A4261" s="0" t="n">
        <v>4260</v>
      </c>
      <c r="B4261" s="18" t="n">
        <v>1740574.96324948</v>
      </c>
      <c r="C4261" s="18" t="n">
        <v>0</v>
      </c>
      <c r="D4261" s="0" t="n">
        <v>0</v>
      </c>
      <c r="E4261" s="19" t="n">
        <v>53.5</v>
      </c>
    </row>
    <row r="4262" customFormat="false" ht="15" hidden="false" customHeight="false" outlineLevel="0" collapsed="false">
      <c r="A4262" s="0" t="n">
        <v>4261</v>
      </c>
      <c r="B4262" s="18" t="n">
        <v>1057581.11163976</v>
      </c>
      <c r="C4262" s="18" t="n">
        <v>0</v>
      </c>
      <c r="D4262" s="0" t="n">
        <v>0</v>
      </c>
      <c r="E4262" s="19" t="n">
        <v>48.1666666666667</v>
      </c>
    </row>
    <row r="4263" customFormat="false" ht="15" hidden="false" customHeight="false" outlineLevel="0" collapsed="false">
      <c r="A4263" s="0" t="n">
        <v>4262</v>
      </c>
      <c r="B4263" s="18" t="n">
        <v>678710.333829047</v>
      </c>
      <c r="C4263" s="18" t="n">
        <v>0</v>
      </c>
      <c r="D4263" s="0" t="n">
        <v>0</v>
      </c>
      <c r="E4263" s="19" t="n">
        <v>36</v>
      </c>
    </row>
    <row r="4264" customFormat="false" ht="15" hidden="false" customHeight="false" outlineLevel="0" collapsed="false">
      <c r="A4264" s="0" t="n">
        <v>4263</v>
      </c>
      <c r="B4264" s="18" t="n">
        <v>480709.068832104</v>
      </c>
      <c r="C4264" s="18" t="n">
        <v>0</v>
      </c>
      <c r="D4264" s="0" t="n">
        <v>0</v>
      </c>
      <c r="E4264" s="19" t="n">
        <v>31.9166666666667</v>
      </c>
    </row>
    <row r="4265" customFormat="false" ht="15" hidden="false" customHeight="false" outlineLevel="0" collapsed="false">
      <c r="A4265" s="0" t="n">
        <v>4264</v>
      </c>
      <c r="B4265" s="18" t="n">
        <v>1421188.37093535</v>
      </c>
      <c r="C4265" s="18" t="n">
        <v>11045426.8211936</v>
      </c>
      <c r="D4265" s="0" t="n">
        <v>1</v>
      </c>
    </row>
    <row r="4266" customFormat="false" ht="15" hidden="false" customHeight="false" outlineLevel="0" collapsed="false">
      <c r="A4266" s="0" t="n">
        <v>4265</v>
      </c>
      <c r="B4266" s="18" t="n">
        <v>1149682.85170375</v>
      </c>
      <c r="C4266" s="18" t="n">
        <v>0</v>
      </c>
      <c r="D4266" s="0" t="n">
        <v>0</v>
      </c>
      <c r="E4266" s="19" t="n">
        <v>44</v>
      </c>
    </row>
    <row r="4267" customFormat="false" ht="15" hidden="false" customHeight="false" outlineLevel="0" collapsed="false">
      <c r="A4267" s="0" t="n">
        <v>4266</v>
      </c>
      <c r="B4267" s="18" t="n">
        <v>1014875.0538502</v>
      </c>
      <c r="C4267" s="18" t="n">
        <v>0</v>
      </c>
      <c r="D4267" s="0" t="n">
        <v>0</v>
      </c>
      <c r="E4267" s="19" t="n">
        <v>38.5833333333333</v>
      </c>
    </row>
    <row r="4268" customFormat="false" ht="15" hidden="false" customHeight="false" outlineLevel="0" collapsed="false">
      <c r="A4268" s="0" t="n">
        <v>4267</v>
      </c>
      <c r="B4268" s="18" t="n">
        <v>871723.318413518</v>
      </c>
      <c r="C4268" s="18" t="n">
        <v>0</v>
      </c>
      <c r="D4268" s="0" t="n">
        <v>0</v>
      </c>
      <c r="E4268" s="19" t="n">
        <v>43.6666666666667</v>
      </c>
    </row>
    <row r="4269" customFormat="false" ht="15" hidden="false" customHeight="false" outlineLevel="0" collapsed="false">
      <c r="A4269" s="0" t="n">
        <v>4268</v>
      </c>
      <c r="B4269" s="18" t="n">
        <v>1125097.55496873</v>
      </c>
      <c r="C4269" s="18" t="n">
        <v>0</v>
      </c>
      <c r="D4269" s="0" t="n">
        <v>0</v>
      </c>
      <c r="E4269" s="19" t="n">
        <v>50</v>
      </c>
    </row>
    <row r="4270" customFormat="false" ht="15" hidden="false" customHeight="false" outlineLevel="0" collapsed="false">
      <c r="A4270" s="0" t="n">
        <v>4269</v>
      </c>
      <c r="B4270" s="18" t="n">
        <v>954812.145504758</v>
      </c>
      <c r="C4270" s="18" t="n">
        <v>0</v>
      </c>
      <c r="D4270" s="0" t="n">
        <v>0</v>
      </c>
      <c r="E4270" s="19" t="n">
        <v>52.6666666666667</v>
      </c>
    </row>
    <row r="4271" customFormat="false" ht="15" hidden="false" customHeight="false" outlineLevel="0" collapsed="false">
      <c r="A4271" s="0" t="n">
        <v>4270</v>
      </c>
      <c r="B4271" s="18" t="n">
        <v>1091237.47851276</v>
      </c>
      <c r="C4271" s="18" t="n">
        <v>0</v>
      </c>
      <c r="D4271" s="0" t="n">
        <v>0</v>
      </c>
      <c r="E4271" s="19" t="n">
        <v>40</v>
      </c>
    </row>
    <row r="4272" customFormat="false" ht="15" hidden="false" customHeight="false" outlineLevel="0" collapsed="false">
      <c r="A4272" s="0" t="n">
        <v>4271</v>
      </c>
      <c r="B4272" s="18" t="n">
        <v>1235444.42129044</v>
      </c>
      <c r="C4272" s="18" t="n">
        <v>0</v>
      </c>
      <c r="D4272" s="0" t="n">
        <v>0</v>
      </c>
      <c r="E4272" s="19" t="n">
        <v>47.75</v>
      </c>
    </row>
    <row r="4273" customFormat="false" ht="15" hidden="false" customHeight="false" outlineLevel="0" collapsed="false">
      <c r="A4273" s="0" t="n">
        <v>4272</v>
      </c>
      <c r="B4273" s="18" t="n">
        <v>503856.60073709</v>
      </c>
      <c r="C4273" s="18" t="n">
        <v>0</v>
      </c>
      <c r="D4273" s="0" t="n">
        <v>0</v>
      </c>
      <c r="E4273" s="19" t="n">
        <v>31.8333333333333</v>
      </c>
    </row>
    <row r="4274" customFormat="false" ht="15" hidden="false" customHeight="false" outlineLevel="0" collapsed="false">
      <c r="A4274" s="0" t="n">
        <v>4273</v>
      </c>
      <c r="B4274" s="18" t="n">
        <v>1364341.11795972</v>
      </c>
      <c r="C4274" s="18" t="n">
        <v>308714.356486177</v>
      </c>
      <c r="D4274" s="0" t="n">
        <v>1</v>
      </c>
    </row>
    <row r="4275" customFormat="false" ht="15" hidden="false" customHeight="false" outlineLevel="0" collapsed="false">
      <c r="A4275" s="0" t="n">
        <v>4274</v>
      </c>
      <c r="B4275" s="18" t="n">
        <v>946461.355401984</v>
      </c>
      <c r="C4275" s="18" t="n">
        <v>4738350.07831093</v>
      </c>
      <c r="D4275" s="0" t="n">
        <v>1</v>
      </c>
    </row>
    <row r="4276" customFormat="false" ht="15" hidden="false" customHeight="false" outlineLevel="0" collapsed="false">
      <c r="A4276" s="0" t="n">
        <v>4275</v>
      </c>
      <c r="B4276" s="18" t="n">
        <v>1107426.55129348</v>
      </c>
      <c r="C4276" s="18" t="n">
        <v>0</v>
      </c>
      <c r="D4276" s="0" t="n">
        <v>0</v>
      </c>
      <c r="E4276" s="19" t="n">
        <v>40.1666666666667</v>
      </c>
    </row>
    <row r="4277" customFormat="false" ht="15" hidden="false" customHeight="false" outlineLevel="0" collapsed="false">
      <c r="A4277" s="0" t="n">
        <v>4276</v>
      </c>
      <c r="B4277" s="18" t="n">
        <v>1081848.06743918</v>
      </c>
      <c r="C4277" s="18" t="n">
        <v>255817.931088168</v>
      </c>
      <c r="D4277" s="0" t="n">
        <v>1</v>
      </c>
    </row>
    <row r="4278" customFormat="false" ht="15" hidden="false" customHeight="false" outlineLevel="0" collapsed="false">
      <c r="A4278" s="0" t="n">
        <v>4277</v>
      </c>
      <c r="B4278" s="18" t="n">
        <v>1394242.77303752</v>
      </c>
      <c r="C4278" s="18" t="n">
        <v>10049982.0793058</v>
      </c>
      <c r="D4278" s="0" t="n">
        <v>1</v>
      </c>
    </row>
    <row r="4279" customFormat="false" ht="15" hidden="false" customHeight="false" outlineLevel="0" collapsed="false">
      <c r="A4279" s="0" t="n">
        <v>4278</v>
      </c>
      <c r="B4279" s="18" t="n">
        <v>786772.253717493</v>
      </c>
      <c r="C4279" s="18" t="n">
        <v>0</v>
      </c>
      <c r="D4279" s="0" t="n">
        <v>0</v>
      </c>
      <c r="E4279" s="19" t="n">
        <v>42.5833333333333</v>
      </c>
    </row>
    <row r="4280" customFormat="false" ht="15" hidden="false" customHeight="false" outlineLevel="0" collapsed="false">
      <c r="A4280" s="0" t="n">
        <v>4279</v>
      </c>
      <c r="B4280" s="18" t="n">
        <v>410864.433455789</v>
      </c>
      <c r="C4280" s="18" t="n">
        <v>0</v>
      </c>
      <c r="D4280" s="0" t="n">
        <v>0</v>
      </c>
      <c r="E4280" s="19" t="n">
        <v>32.8333333333333</v>
      </c>
    </row>
    <row r="4281" customFormat="false" ht="15" hidden="false" customHeight="false" outlineLevel="0" collapsed="false">
      <c r="A4281" s="0" t="n">
        <v>4280</v>
      </c>
      <c r="B4281" s="18" t="n">
        <v>320810.839351378</v>
      </c>
      <c r="C4281" s="18" t="n">
        <v>0</v>
      </c>
      <c r="D4281" s="0" t="n">
        <v>0</v>
      </c>
      <c r="E4281" s="19" t="n">
        <v>31.9166666666667</v>
      </c>
    </row>
    <row r="4282" customFormat="false" ht="15" hidden="false" customHeight="false" outlineLevel="0" collapsed="false">
      <c r="A4282" s="0" t="n">
        <v>4281</v>
      </c>
      <c r="B4282" s="18" t="n">
        <v>665349.589077451</v>
      </c>
      <c r="C4282" s="18" t="n">
        <v>0</v>
      </c>
      <c r="D4282" s="0" t="n">
        <v>0</v>
      </c>
      <c r="E4282" s="19" t="n">
        <v>33.0833333333333</v>
      </c>
    </row>
    <row r="4283" customFormat="false" ht="15" hidden="false" customHeight="false" outlineLevel="0" collapsed="false">
      <c r="A4283" s="0" t="n">
        <v>4282</v>
      </c>
      <c r="B4283" s="18" t="n">
        <v>1901491.62228142</v>
      </c>
      <c r="C4283" s="18" t="n">
        <v>23892610.2745495</v>
      </c>
      <c r="D4283" s="0" t="n">
        <v>1</v>
      </c>
    </row>
    <row r="4284" customFormat="false" ht="15" hidden="false" customHeight="false" outlineLevel="0" collapsed="false">
      <c r="A4284" s="0" t="n">
        <v>4283</v>
      </c>
      <c r="B4284" s="18" t="n">
        <v>1022214.99091</v>
      </c>
      <c r="C4284" s="18" t="n">
        <v>0</v>
      </c>
      <c r="D4284" s="0" t="n">
        <v>0</v>
      </c>
      <c r="E4284" s="19" t="n">
        <v>41.3333333333333</v>
      </c>
    </row>
    <row r="4285" customFormat="false" ht="15" hidden="false" customHeight="false" outlineLevel="0" collapsed="false">
      <c r="A4285" s="0" t="n">
        <v>4284</v>
      </c>
      <c r="B4285" s="18" t="n">
        <v>654325.998195034</v>
      </c>
      <c r="C4285" s="18" t="n">
        <v>0</v>
      </c>
      <c r="D4285" s="0" t="n">
        <v>0</v>
      </c>
      <c r="E4285" s="19" t="n">
        <v>46.1666666666667</v>
      </c>
    </row>
    <row r="4286" customFormat="false" ht="15" hidden="false" customHeight="false" outlineLevel="0" collapsed="false">
      <c r="A4286" s="0" t="n">
        <v>4285</v>
      </c>
      <c r="B4286" s="18" t="n">
        <v>829866.517376501</v>
      </c>
      <c r="C4286" s="18" t="n">
        <v>35103.3088636271</v>
      </c>
      <c r="D4286" s="0" t="n">
        <v>1</v>
      </c>
    </row>
    <row r="4287" customFormat="false" ht="15" hidden="false" customHeight="false" outlineLevel="0" collapsed="false">
      <c r="A4287" s="0" t="n">
        <v>4286</v>
      </c>
      <c r="B4287" s="18" t="n">
        <v>1316931.99725622</v>
      </c>
      <c r="C4287" s="18" t="n">
        <v>0</v>
      </c>
      <c r="D4287" s="0" t="n">
        <v>0</v>
      </c>
      <c r="E4287" s="19" t="n">
        <v>39.0833333333333</v>
      </c>
    </row>
    <row r="4288" customFormat="false" ht="15" hidden="false" customHeight="false" outlineLevel="0" collapsed="false">
      <c r="A4288" s="0" t="n">
        <v>4287</v>
      </c>
      <c r="B4288" s="18" t="n">
        <v>1184930.50410919</v>
      </c>
      <c r="C4288" s="18" t="n">
        <v>0</v>
      </c>
      <c r="D4288" s="0" t="n">
        <v>0</v>
      </c>
      <c r="E4288" s="19" t="n">
        <v>47.75</v>
      </c>
    </row>
    <row r="4289" customFormat="false" ht="15" hidden="false" customHeight="false" outlineLevel="0" collapsed="false">
      <c r="A4289" s="0" t="n">
        <v>4288</v>
      </c>
      <c r="B4289" s="18" t="n">
        <v>504158.353895451</v>
      </c>
      <c r="C4289" s="18" t="n">
        <v>0</v>
      </c>
      <c r="D4289" s="0" t="n">
        <v>0</v>
      </c>
      <c r="E4289" s="19" t="n">
        <v>38.5</v>
      </c>
    </row>
    <row r="4290" customFormat="false" ht="15" hidden="false" customHeight="false" outlineLevel="0" collapsed="false">
      <c r="A4290" s="0" t="n">
        <v>4289</v>
      </c>
      <c r="B4290" s="18" t="n">
        <v>990896.870515318</v>
      </c>
      <c r="C4290" s="18" t="n">
        <v>0</v>
      </c>
      <c r="D4290" s="0" t="n">
        <v>0</v>
      </c>
      <c r="E4290" s="19" t="n">
        <v>52</v>
      </c>
    </row>
    <row r="4291" customFormat="false" ht="15" hidden="false" customHeight="false" outlineLevel="0" collapsed="false">
      <c r="A4291" s="0" t="n">
        <v>4290</v>
      </c>
      <c r="B4291" s="18" t="n">
        <v>1849895.92117859</v>
      </c>
      <c r="C4291" s="18" t="n">
        <v>0</v>
      </c>
      <c r="D4291" s="0" t="n">
        <v>0</v>
      </c>
      <c r="E4291" s="19" t="n">
        <v>44.8333333333333</v>
      </c>
    </row>
    <row r="4292" customFormat="false" ht="15" hidden="false" customHeight="false" outlineLevel="0" collapsed="false">
      <c r="A4292" s="0" t="n">
        <v>4291</v>
      </c>
      <c r="B4292" s="18" t="n">
        <v>1650102.09496308</v>
      </c>
      <c r="C4292" s="18" t="n">
        <v>14442552.343988</v>
      </c>
      <c r="D4292" s="0" t="n">
        <v>1</v>
      </c>
    </row>
    <row r="4293" customFormat="false" ht="15" hidden="false" customHeight="false" outlineLevel="0" collapsed="false">
      <c r="A4293" s="0" t="n">
        <v>4292</v>
      </c>
      <c r="B4293" s="18" t="n">
        <v>815584.293890077</v>
      </c>
      <c r="C4293" s="18" t="n">
        <v>10595751.0412335</v>
      </c>
      <c r="D4293" s="0" t="n">
        <v>1</v>
      </c>
    </row>
    <row r="4294" customFormat="false" ht="15" hidden="false" customHeight="false" outlineLevel="0" collapsed="false">
      <c r="A4294" s="0" t="n">
        <v>4293</v>
      </c>
      <c r="B4294" s="18" t="n">
        <v>1041914.4622714</v>
      </c>
      <c r="C4294" s="18" t="n">
        <v>0</v>
      </c>
      <c r="D4294" s="0" t="n">
        <v>0</v>
      </c>
      <c r="E4294" s="19" t="n">
        <v>38.8333333333333</v>
      </c>
    </row>
    <row r="4295" customFormat="false" ht="15" hidden="false" customHeight="false" outlineLevel="0" collapsed="false">
      <c r="A4295" s="0" t="n">
        <v>4294</v>
      </c>
      <c r="B4295" s="18" t="n">
        <v>1164432.93617829</v>
      </c>
      <c r="C4295" s="18" t="n">
        <v>0</v>
      </c>
      <c r="D4295" s="0" t="n">
        <v>0</v>
      </c>
      <c r="E4295" s="19" t="n">
        <v>48</v>
      </c>
    </row>
    <row r="4296" customFormat="false" ht="15" hidden="false" customHeight="false" outlineLevel="0" collapsed="false">
      <c r="A4296" s="0" t="n">
        <v>4295</v>
      </c>
      <c r="B4296" s="18" t="n">
        <v>370414.034619747</v>
      </c>
      <c r="C4296" s="18" t="n">
        <v>0</v>
      </c>
      <c r="D4296" s="0" t="n">
        <v>0</v>
      </c>
      <c r="E4296" s="19" t="n">
        <v>30.5833333333333</v>
      </c>
    </row>
    <row r="4297" customFormat="false" ht="15" hidden="false" customHeight="false" outlineLevel="0" collapsed="false">
      <c r="A4297" s="0" t="n">
        <v>4296</v>
      </c>
      <c r="B4297" s="18" t="n">
        <v>976291.325478491</v>
      </c>
      <c r="C4297" s="18" t="n">
        <v>0</v>
      </c>
      <c r="D4297" s="0" t="n">
        <v>0</v>
      </c>
      <c r="E4297" s="19" t="n">
        <v>45.3333333333333</v>
      </c>
    </row>
    <row r="4298" customFormat="false" ht="15" hidden="false" customHeight="false" outlineLevel="0" collapsed="false">
      <c r="A4298" s="0" t="n">
        <v>4297</v>
      </c>
      <c r="B4298" s="18" t="n">
        <v>2171900.56647173</v>
      </c>
      <c r="C4298" s="18" t="n">
        <v>2601510.88920889</v>
      </c>
      <c r="D4298" s="0" t="n">
        <v>1</v>
      </c>
    </row>
    <row r="4299" customFormat="false" ht="15" hidden="false" customHeight="false" outlineLevel="0" collapsed="false">
      <c r="A4299" s="0" t="n">
        <v>4298</v>
      </c>
      <c r="B4299" s="18" t="n">
        <v>487162.317105241</v>
      </c>
      <c r="C4299" s="18" t="n">
        <v>0</v>
      </c>
      <c r="D4299" s="0" t="n">
        <v>0</v>
      </c>
      <c r="E4299" s="19" t="n">
        <v>32.0833333333333</v>
      </c>
    </row>
    <row r="4300" customFormat="false" ht="15" hidden="false" customHeight="false" outlineLevel="0" collapsed="false">
      <c r="A4300" s="0" t="n">
        <v>4299</v>
      </c>
      <c r="B4300" s="18" t="n">
        <v>1225286.96966541</v>
      </c>
      <c r="C4300" s="18" t="n">
        <v>1368549.2607671</v>
      </c>
      <c r="D4300" s="0" t="n">
        <v>1</v>
      </c>
    </row>
    <row r="4301" customFormat="false" ht="15" hidden="false" customHeight="false" outlineLevel="0" collapsed="false">
      <c r="A4301" s="0" t="n">
        <v>4300</v>
      </c>
      <c r="B4301" s="18" t="n">
        <v>822936.20958716</v>
      </c>
      <c r="C4301" s="18" t="n">
        <v>3384277.94254293</v>
      </c>
      <c r="D4301" s="0" t="n">
        <v>1</v>
      </c>
    </row>
    <row r="4302" customFormat="false" ht="15" hidden="false" customHeight="false" outlineLevel="0" collapsed="false">
      <c r="A4302" s="0" t="n">
        <v>4301</v>
      </c>
      <c r="B4302" s="18" t="n">
        <v>474871.892464451</v>
      </c>
      <c r="C4302" s="18" t="n">
        <v>0</v>
      </c>
      <c r="D4302" s="0" t="n">
        <v>0</v>
      </c>
      <c r="E4302" s="19" t="n">
        <v>33.0833333333333</v>
      </c>
    </row>
    <row r="4303" customFormat="false" ht="15" hidden="false" customHeight="false" outlineLevel="0" collapsed="false">
      <c r="A4303" s="0" t="n">
        <v>4302</v>
      </c>
      <c r="B4303" s="18" t="n">
        <v>2835288.51183407</v>
      </c>
      <c r="C4303" s="18" t="n">
        <v>12286618.3980978</v>
      </c>
      <c r="D4303" s="0" t="n">
        <v>1</v>
      </c>
    </row>
    <row r="4304" customFormat="false" ht="15" hidden="false" customHeight="false" outlineLevel="0" collapsed="false">
      <c r="A4304" s="0" t="n">
        <v>4303</v>
      </c>
      <c r="B4304" s="18" t="n">
        <v>771688.878408448</v>
      </c>
      <c r="C4304" s="18" t="n">
        <v>0</v>
      </c>
      <c r="D4304" s="0" t="n">
        <v>0</v>
      </c>
      <c r="E4304" s="19" t="n">
        <v>53</v>
      </c>
    </row>
    <row r="4305" customFormat="false" ht="15" hidden="false" customHeight="false" outlineLevel="0" collapsed="false">
      <c r="A4305" s="0" t="n">
        <v>4304</v>
      </c>
      <c r="B4305" s="18" t="n">
        <v>1508338.51538818</v>
      </c>
      <c r="C4305" s="18" t="n">
        <v>3287118.11665708</v>
      </c>
      <c r="D4305" s="0" t="n">
        <v>1</v>
      </c>
    </row>
    <row r="4306" customFormat="false" ht="15" hidden="false" customHeight="false" outlineLevel="0" collapsed="false">
      <c r="A4306" s="0" t="n">
        <v>4305</v>
      </c>
      <c r="B4306" s="18" t="n">
        <v>600298.647730897</v>
      </c>
      <c r="C4306" s="18" t="n">
        <v>0</v>
      </c>
      <c r="D4306" s="0" t="n">
        <v>0</v>
      </c>
      <c r="E4306" s="19" t="n">
        <v>34.75</v>
      </c>
    </row>
    <row r="4307" customFormat="false" ht="15" hidden="false" customHeight="false" outlineLevel="0" collapsed="false">
      <c r="A4307" s="0" t="n">
        <v>4306</v>
      </c>
      <c r="B4307" s="18" t="n">
        <v>774266.343477774</v>
      </c>
      <c r="C4307" s="18" t="n">
        <v>410612.487225844</v>
      </c>
      <c r="D4307" s="0" t="n">
        <v>1</v>
      </c>
    </row>
    <row r="4308" customFormat="false" ht="15" hidden="false" customHeight="false" outlineLevel="0" collapsed="false">
      <c r="A4308" s="0" t="n">
        <v>4307</v>
      </c>
      <c r="B4308" s="18" t="n">
        <v>6591701.64640163</v>
      </c>
      <c r="C4308" s="18" t="n">
        <v>6884588.60542179</v>
      </c>
      <c r="D4308" s="0" t="n">
        <v>1</v>
      </c>
    </row>
    <row r="4309" customFormat="false" ht="15" hidden="false" customHeight="false" outlineLevel="0" collapsed="false">
      <c r="A4309" s="0" t="n">
        <v>4308</v>
      </c>
      <c r="B4309" s="18" t="n">
        <v>594297.85824801</v>
      </c>
      <c r="C4309" s="18" t="n">
        <v>0</v>
      </c>
      <c r="D4309" s="0" t="n">
        <v>0</v>
      </c>
      <c r="E4309" s="19" t="n">
        <v>44.6666666666667</v>
      </c>
    </row>
    <row r="4310" customFormat="false" ht="15" hidden="false" customHeight="false" outlineLevel="0" collapsed="false">
      <c r="A4310" s="0" t="n">
        <v>4309</v>
      </c>
      <c r="B4310" s="18" t="n">
        <v>1512557.82630029</v>
      </c>
      <c r="C4310" s="18" t="n">
        <v>1124540.94464142</v>
      </c>
      <c r="D4310" s="0" t="n">
        <v>1</v>
      </c>
    </row>
    <row r="4311" customFormat="false" ht="15" hidden="false" customHeight="false" outlineLevel="0" collapsed="false">
      <c r="A4311" s="0" t="n">
        <v>4310</v>
      </c>
      <c r="B4311" s="18" t="n">
        <v>574453.518169256</v>
      </c>
      <c r="C4311" s="18" t="n">
        <v>0</v>
      </c>
      <c r="D4311" s="0" t="n">
        <v>0</v>
      </c>
      <c r="E4311" s="19" t="n">
        <v>48</v>
      </c>
    </row>
    <row r="4312" customFormat="false" ht="15" hidden="false" customHeight="false" outlineLevel="0" collapsed="false">
      <c r="A4312" s="0" t="n">
        <v>4311</v>
      </c>
      <c r="B4312" s="18" t="n">
        <v>599428.747459346</v>
      </c>
      <c r="C4312" s="18" t="n">
        <v>0</v>
      </c>
      <c r="D4312" s="0" t="n">
        <v>0</v>
      </c>
      <c r="E4312" s="19" t="n">
        <v>42.5</v>
      </c>
    </row>
    <row r="4313" customFormat="false" ht="15" hidden="false" customHeight="false" outlineLevel="0" collapsed="false">
      <c r="A4313" s="0" t="n">
        <v>4312</v>
      </c>
      <c r="B4313" s="18" t="n">
        <v>976360.751673672</v>
      </c>
      <c r="C4313" s="18" t="n">
        <v>0</v>
      </c>
      <c r="D4313" s="0" t="n">
        <v>0</v>
      </c>
      <c r="E4313" s="19" t="n">
        <v>48.75</v>
      </c>
    </row>
    <row r="4314" customFormat="false" ht="15" hidden="false" customHeight="false" outlineLevel="0" collapsed="false">
      <c r="A4314" s="0" t="n">
        <v>4313</v>
      </c>
      <c r="B4314" s="18" t="n">
        <v>483996.722760727</v>
      </c>
      <c r="C4314" s="18" t="n">
        <v>0</v>
      </c>
      <c r="D4314" s="0" t="n">
        <v>0</v>
      </c>
      <c r="E4314" s="19" t="n">
        <v>34.9166666666667</v>
      </c>
    </row>
    <row r="4315" customFormat="false" ht="15" hidden="false" customHeight="false" outlineLevel="0" collapsed="false">
      <c r="A4315" s="0" t="n">
        <v>4314</v>
      </c>
      <c r="B4315" s="18" t="n">
        <v>471695.101635722</v>
      </c>
      <c r="C4315" s="18" t="n">
        <v>0</v>
      </c>
      <c r="D4315" s="0" t="n">
        <v>0</v>
      </c>
      <c r="E4315" s="19" t="n">
        <v>35.1666666666667</v>
      </c>
    </row>
    <row r="4316" customFormat="false" ht="15" hidden="false" customHeight="false" outlineLevel="0" collapsed="false">
      <c r="A4316" s="0" t="n">
        <v>4315</v>
      </c>
      <c r="B4316" s="18" t="n">
        <v>1156592.99015012</v>
      </c>
      <c r="C4316" s="18" t="n">
        <v>10902337.8575861</v>
      </c>
      <c r="D4316" s="0" t="n">
        <v>1</v>
      </c>
    </row>
    <row r="4317" customFormat="false" ht="15" hidden="false" customHeight="false" outlineLevel="0" collapsed="false">
      <c r="A4317" s="0" t="n">
        <v>4316</v>
      </c>
      <c r="B4317" s="18" t="n">
        <v>1201308.96242599</v>
      </c>
      <c r="C4317" s="18" t="n">
        <v>0</v>
      </c>
      <c r="D4317" s="0" t="n">
        <v>0</v>
      </c>
      <c r="E4317" s="19" t="n">
        <v>49.0833333333333</v>
      </c>
    </row>
    <row r="4318" customFormat="false" ht="15" hidden="false" customHeight="false" outlineLevel="0" collapsed="false">
      <c r="A4318" s="0" t="n">
        <v>4317</v>
      </c>
      <c r="B4318" s="18" t="n">
        <v>1193091.14615256</v>
      </c>
      <c r="C4318" s="18" t="n">
        <v>1598551.85140244</v>
      </c>
      <c r="D4318" s="0" t="n">
        <v>1</v>
      </c>
    </row>
    <row r="4319" customFormat="false" ht="15" hidden="false" customHeight="false" outlineLevel="0" collapsed="false">
      <c r="A4319" s="0" t="n">
        <v>4318</v>
      </c>
      <c r="B4319" s="18" t="n">
        <v>514849.437282214</v>
      </c>
      <c r="C4319" s="18" t="n">
        <v>0</v>
      </c>
      <c r="D4319" s="0" t="n">
        <v>0</v>
      </c>
      <c r="E4319" s="19" t="n">
        <v>34.5833333333333</v>
      </c>
    </row>
    <row r="4320" customFormat="false" ht="15" hidden="false" customHeight="false" outlineLevel="0" collapsed="false">
      <c r="A4320" s="0" t="n">
        <v>4319</v>
      </c>
      <c r="B4320" s="18" t="n">
        <v>1688808.13601114</v>
      </c>
      <c r="C4320" s="18" t="n">
        <v>2972625.6101906</v>
      </c>
      <c r="D4320" s="0" t="n">
        <v>1</v>
      </c>
    </row>
    <row r="4321" customFormat="false" ht="15" hidden="false" customHeight="false" outlineLevel="0" collapsed="false">
      <c r="A4321" s="0" t="n">
        <v>4320</v>
      </c>
      <c r="B4321" s="18" t="n">
        <v>652997.214323407</v>
      </c>
      <c r="C4321" s="18" t="n">
        <v>0</v>
      </c>
      <c r="D4321" s="0" t="n">
        <v>0</v>
      </c>
      <c r="E4321" s="19" t="n">
        <v>33.1666666666667</v>
      </c>
    </row>
    <row r="4322" customFormat="false" ht="15" hidden="false" customHeight="false" outlineLevel="0" collapsed="false">
      <c r="A4322" s="0" t="n">
        <v>4321</v>
      </c>
      <c r="B4322" s="18" t="n">
        <v>724190.416479845</v>
      </c>
      <c r="C4322" s="18" t="n">
        <v>0</v>
      </c>
      <c r="D4322" s="0" t="n">
        <v>0</v>
      </c>
      <c r="E4322" s="19" t="n">
        <v>40.75</v>
      </c>
    </row>
    <row r="4323" customFormat="false" ht="15" hidden="false" customHeight="false" outlineLevel="0" collapsed="false">
      <c r="A4323" s="0" t="n">
        <v>4322</v>
      </c>
      <c r="B4323" s="18" t="n">
        <v>1630273.0103707</v>
      </c>
      <c r="C4323" s="18" t="n">
        <v>0</v>
      </c>
      <c r="D4323" s="0" t="n">
        <v>0</v>
      </c>
      <c r="E4323" s="19" t="n">
        <v>52</v>
      </c>
    </row>
    <row r="4324" customFormat="false" ht="15" hidden="false" customHeight="false" outlineLevel="0" collapsed="false">
      <c r="A4324" s="0" t="n">
        <v>4323</v>
      </c>
      <c r="B4324" s="18" t="n">
        <v>571887.201581672</v>
      </c>
      <c r="C4324" s="18" t="n">
        <v>0</v>
      </c>
      <c r="D4324" s="0" t="n">
        <v>0</v>
      </c>
      <c r="E4324" s="19" t="n">
        <v>46.0833333333333</v>
      </c>
    </row>
    <row r="4325" customFormat="false" ht="15" hidden="false" customHeight="false" outlineLevel="0" collapsed="false">
      <c r="A4325" s="0" t="n">
        <v>4324</v>
      </c>
      <c r="B4325" s="18" t="n">
        <v>1425171.06897185</v>
      </c>
      <c r="C4325" s="18" t="n">
        <v>0</v>
      </c>
      <c r="D4325" s="0" t="n">
        <v>0</v>
      </c>
      <c r="E4325" s="19" t="n">
        <v>41.1666666666667</v>
      </c>
    </row>
    <row r="4326" customFormat="false" ht="15" hidden="false" customHeight="false" outlineLevel="0" collapsed="false">
      <c r="A4326" s="0" t="n">
        <v>4325</v>
      </c>
      <c r="B4326" s="18" t="n">
        <v>598994.187293054</v>
      </c>
      <c r="C4326" s="18" t="n">
        <v>0</v>
      </c>
      <c r="D4326" s="0" t="n">
        <v>0</v>
      </c>
      <c r="E4326" s="19" t="n">
        <v>33.8333333333333</v>
      </c>
    </row>
    <row r="4327" customFormat="false" ht="15" hidden="false" customHeight="false" outlineLevel="0" collapsed="false">
      <c r="A4327" s="0" t="n">
        <v>4326</v>
      </c>
      <c r="B4327" s="18" t="n">
        <v>1364666.15145051</v>
      </c>
      <c r="C4327" s="18" t="n">
        <v>2771303.51654876</v>
      </c>
      <c r="D4327" s="0" t="n">
        <v>1</v>
      </c>
    </row>
    <row r="4328" customFormat="false" ht="15" hidden="false" customHeight="false" outlineLevel="0" collapsed="false">
      <c r="A4328" s="0" t="n">
        <v>4327</v>
      </c>
      <c r="B4328" s="18" t="n">
        <v>514647.831027669</v>
      </c>
      <c r="C4328" s="18" t="n">
        <v>0</v>
      </c>
      <c r="D4328" s="0" t="n">
        <v>0</v>
      </c>
      <c r="E4328" s="19" t="n">
        <v>30.4166666666667</v>
      </c>
    </row>
    <row r="4329" customFormat="false" ht="15" hidden="false" customHeight="false" outlineLevel="0" collapsed="false">
      <c r="A4329" s="0" t="n">
        <v>4328</v>
      </c>
      <c r="B4329" s="18" t="n">
        <v>380967.44669706</v>
      </c>
      <c r="C4329" s="18" t="n">
        <v>0</v>
      </c>
      <c r="D4329" s="0" t="n">
        <v>0</v>
      </c>
      <c r="E4329" s="19" t="n">
        <v>30.1666666666667</v>
      </c>
    </row>
    <row r="4330" customFormat="false" ht="15" hidden="false" customHeight="false" outlineLevel="0" collapsed="false">
      <c r="A4330" s="0" t="n">
        <v>4329</v>
      </c>
      <c r="B4330" s="18" t="n">
        <v>735959.040749149</v>
      </c>
      <c r="C4330" s="18" t="n">
        <v>1161323.23980442</v>
      </c>
      <c r="D4330" s="0" t="n">
        <v>1</v>
      </c>
    </row>
    <row r="4331" customFormat="false" ht="15" hidden="false" customHeight="false" outlineLevel="0" collapsed="false">
      <c r="A4331" s="0" t="n">
        <v>4330</v>
      </c>
      <c r="B4331" s="18" t="n">
        <v>940763.551037011</v>
      </c>
      <c r="C4331" s="18" t="n">
        <v>0</v>
      </c>
      <c r="D4331" s="0" t="n">
        <v>0</v>
      </c>
      <c r="E4331" s="19" t="n">
        <v>54.6666666666667</v>
      </c>
    </row>
    <row r="4332" customFormat="false" ht="15" hidden="false" customHeight="false" outlineLevel="0" collapsed="false">
      <c r="A4332" s="0" t="n">
        <v>4331</v>
      </c>
      <c r="B4332" s="18" t="n">
        <v>1920743.66876086</v>
      </c>
      <c r="C4332" s="18" t="n">
        <v>28437580.9151187</v>
      </c>
      <c r="D4332" s="0" t="n">
        <v>1</v>
      </c>
    </row>
    <row r="4333" customFormat="false" ht="15" hidden="false" customHeight="false" outlineLevel="0" collapsed="false">
      <c r="A4333" s="0" t="n">
        <v>4332</v>
      </c>
      <c r="B4333" s="18" t="n">
        <v>1305121.52929217</v>
      </c>
      <c r="C4333" s="18" t="n">
        <v>1121743.79423357</v>
      </c>
      <c r="D4333" s="0" t="n">
        <v>1</v>
      </c>
    </row>
    <row r="4334" customFormat="false" ht="15" hidden="false" customHeight="false" outlineLevel="0" collapsed="false">
      <c r="A4334" s="0" t="n">
        <v>4333</v>
      </c>
      <c r="B4334" s="18" t="n">
        <v>1415066.6852045</v>
      </c>
      <c r="C4334" s="18" t="n">
        <v>2285605.18667102</v>
      </c>
      <c r="D4334" s="0" t="n">
        <v>1</v>
      </c>
    </row>
    <row r="4335" customFormat="false" ht="15" hidden="false" customHeight="false" outlineLevel="0" collapsed="false">
      <c r="A4335" s="0" t="n">
        <v>4334</v>
      </c>
      <c r="B4335" s="18" t="n">
        <v>562626.007428961</v>
      </c>
      <c r="C4335" s="18" t="n">
        <v>0</v>
      </c>
      <c r="D4335" s="0" t="n">
        <v>0</v>
      </c>
      <c r="E4335" s="19" t="n">
        <v>35.1666666666667</v>
      </c>
    </row>
    <row r="4336" customFormat="false" ht="15" hidden="false" customHeight="false" outlineLevel="0" collapsed="false">
      <c r="A4336" s="0" t="n">
        <v>4335</v>
      </c>
      <c r="B4336" s="18" t="n">
        <v>1190876.88709499</v>
      </c>
      <c r="C4336" s="18" t="n">
        <v>400024.311445672</v>
      </c>
      <c r="D4336" s="0" t="n">
        <v>1</v>
      </c>
    </row>
    <row r="4337" customFormat="false" ht="15" hidden="false" customHeight="false" outlineLevel="0" collapsed="false">
      <c r="A4337" s="0" t="n">
        <v>4336</v>
      </c>
      <c r="B4337" s="18" t="n">
        <v>957508.846624077</v>
      </c>
      <c r="C4337" s="18" t="n">
        <v>0</v>
      </c>
      <c r="D4337" s="0" t="n">
        <v>0</v>
      </c>
      <c r="E4337" s="19" t="n">
        <v>41.5833333333333</v>
      </c>
    </row>
    <row r="4338" customFormat="false" ht="15" hidden="false" customHeight="false" outlineLevel="0" collapsed="false">
      <c r="A4338" s="0" t="n">
        <v>4337</v>
      </c>
      <c r="B4338" s="18" t="n">
        <v>510635.783341524</v>
      </c>
      <c r="C4338" s="18" t="n">
        <v>0</v>
      </c>
      <c r="D4338" s="0" t="n">
        <v>0</v>
      </c>
      <c r="E4338" s="19" t="n">
        <v>37.25</v>
      </c>
    </row>
    <row r="4339" customFormat="false" ht="15" hidden="false" customHeight="false" outlineLevel="0" collapsed="false">
      <c r="A4339" s="0" t="n">
        <v>4338</v>
      </c>
      <c r="B4339" s="18" t="n">
        <v>572241.191625654</v>
      </c>
      <c r="C4339" s="18" t="n">
        <v>0</v>
      </c>
      <c r="D4339" s="0" t="n">
        <v>0</v>
      </c>
      <c r="E4339" s="19" t="n">
        <v>32.1666666666667</v>
      </c>
    </row>
    <row r="4340" customFormat="false" ht="15" hidden="false" customHeight="false" outlineLevel="0" collapsed="false">
      <c r="A4340" s="0" t="n">
        <v>4339</v>
      </c>
      <c r="B4340" s="18" t="n">
        <v>1398677.71063542</v>
      </c>
      <c r="C4340" s="18" t="n">
        <v>32436496.6649759</v>
      </c>
      <c r="D4340" s="0" t="n">
        <v>1</v>
      </c>
    </row>
    <row r="4341" customFormat="false" ht="15" hidden="false" customHeight="false" outlineLevel="0" collapsed="false">
      <c r="A4341" s="0" t="n">
        <v>4340</v>
      </c>
      <c r="B4341" s="18" t="n">
        <v>553996.119295672</v>
      </c>
      <c r="C4341" s="18" t="n">
        <v>0</v>
      </c>
      <c r="D4341" s="0" t="n">
        <v>0</v>
      </c>
      <c r="E4341" s="19" t="n">
        <v>38.25</v>
      </c>
    </row>
    <row r="4342" customFormat="false" ht="15" hidden="false" customHeight="false" outlineLevel="0" collapsed="false">
      <c r="A4342" s="0" t="n">
        <v>4341</v>
      </c>
      <c r="B4342" s="18" t="n">
        <v>1605975.02365136</v>
      </c>
      <c r="C4342" s="18" t="n">
        <v>2008052.05380059</v>
      </c>
      <c r="D4342" s="0" t="n">
        <v>1</v>
      </c>
    </row>
    <row r="4343" customFormat="false" ht="15" hidden="false" customHeight="false" outlineLevel="0" collapsed="false">
      <c r="A4343" s="0" t="n">
        <v>4342</v>
      </c>
      <c r="B4343" s="18" t="n">
        <v>1287442.92082968</v>
      </c>
      <c r="C4343" s="18" t="n">
        <v>6145091.16871699</v>
      </c>
      <c r="D4343" s="0" t="n">
        <v>1</v>
      </c>
    </row>
    <row r="4344" customFormat="false" ht="15" hidden="false" customHeight="false" outlineLevel="0" collapsed="false">
      <c r="A4344" s="0" t="n">
        <v>4343</v>
      </c>
      <c r="B4344" s="18" t="n">
        <v>471860.675411683</v>
      </c>
      <c r="C4344" s="18" t="n">
        <v>0</v>
      </c>
      <c r="D4344" s="0" t="n">
        <v>0</v>
      </c>
      <c r="E4344" s="19" t="n">
        <v>38.3333333333333</v>
      </c>
    </row>
    <row r="4345" customFormat="false" ht="15" hidden="false" customHeight="false" outlineLevel="0" collapsed="false">
      <c r="A4345" s="0" t="n">
        <v>4344</v>
      </c>
      <c r="B4345" s="18" t="n">
        <v>1107433.86347687</v>
      </c>
      <c r="C4345" s="18" t="n">
        <v>14088111.3337718</v>
      </c>
      <c r="D4345" s="0" t="n">
        <v>1</v>
      </c>
    </row>
    <row r="4346" customFormat="false" ht="15" hidden="false" customHeight="false" outlineLevel="0" collapsed="false">
      <c r="A4346" s="0" t="n">
        <v>4345</v>
      </c>
      <c r="B4346" s="18" t="n">
        <v>635596.130760509</v>
      </c>
      <c r="C4346" s="18" t="n">
        <v>172159.278369926</v>
      </c>
      <c r="D4346" s="0" t="n">
        <v>1</v>
      </c>
    </row>
    <row r="4347" customFormat="false" ht="15" hidden="false" customHeight="false" outlineLevel="0" collapsed="false">
      <c r="A4347" s="0" t="n">
        <v>4346</v>
      </c>
      <c r="B4347" s="18" t="n">
        <v>1056343.13427374</v>
      </c>
      <c r="C4347" s="18" t="n">
        <v>0</v>
      </c>
      <c r="D4347" s="0" t="n">
        <v>0</v>
      </c>
      <c r="E4347" s="19" t="n">
        <v>40.25</v>
      </c>
    </row>
    <row r="4348" customFormat="false" ht="15" hidden="false" customHeight="false" outlineLevel="0" collapsed="false">
      <c r="A4348" s="0" t="n">
        <v>4347</v>
      </c>
      <c r="B4348" s="18" t="n">
        <v>722039.92567202</v>
      </c>
      <c r="C4348" s="18" t="n">
        <v>0</v>
      </c>
      <c r="D4348" s="0" t="n">
        <v>0</v>
      </c>
      <c r="E4348" s="19" t="n">
        <v>39.6666666666667</v>
      </c>
    </row>
    <row r="4349" customFormat="false" ht="15" hidden="false" customHeight="false" outlineLevel="0" collapsed="false">
      <c r="A4349" s="0" t="n">
        <v>4348</v>
      </c>
      <c r="B4349" s="18" t="n">
        <v>2463698.80981352</v>
      </c>
      <c r="C4349" s="18" t="n">
        <v>971492.450045898</v>
      </c>
      <c r="D4349" s="0" t="n">
        <v>1</v>
      </c>
    </row>
    <row r="4350" customFormat="false" ht="15" hidden="false" customHeight="false" outlineLevel="0" collapsed="false">
      <c r="A4350" s="0" t="n">
        <v>4349</v>
      </c>
      <c r="B4350" s="18" t="n">
        <v>3605539.0490802</v>
      </c>
      <c r="C4350" s="18" t="n">
        <v>8895633.63981204</v>
      </c>
      <c r="D4350" s="0" t="n">
        <v>1</v>
      </c>
    </row>
    <row r="4351" customFormat="false" ht="15" hidden="false" customHeight="false" outlineLevel="0" collapsed="false">
      <c r="A4351" s="0" t="n">
        <v>4350</v>
      </c>
      <c r="B4351" s="18" t="n">
        <v>1375081.17968244</v>
      </c>
      <c r="C4351" s="18" t="n">
        <v>0</v>
      </c>
      <c r="D4351" s="0" t="n">
        <v>0</v>
      </c>
      <c r="E4351" s="19" t="n">
        <v>54.0833333333333</v>
      </c>
    </row>
    <row r="4352" customFormat="false" ht="15" hidden="false" customHeight="false" outlineLevel="0" collapsed="false">
      <c r="A4352" s="0" t="n">
        <v>4351</v>
      </c>
      <c r="B4352" s="18" t="n">
        <v>366774.235825226</v>
      </c>
      <c r="C4352" s="18" t="n">
        <v>0</v>
      </c>
      <c r="D4352" s="0" t="n">
        <v>0</v>
      </c>
      <c r="E4352" s="19" t="n">
        <v>31.8333333333333</v>
      </c>
    </row>
    <row r="4353" customFormat="false" ht="15" hidden="false" customHeight="false" outlineLevel="0" collapsed="false">
      <c r="A4353" s="0" t="n">
        <v>4352</v>
      </c>
      <c r="B4353" s="18" t="n">
        <v>713456.887147077</v>
      </c>
      <c r="C4353" s="18" t="n">
        <v>0</v>
      </c>
      <c r="D4353" s="0" t="n">
        <v>0</v>
      </c>
      <c r="E4353" s="19" t="n">
        <v>33.4166666666667</v>
      </c>
    </row>
    <row r="4354" customFormat="false" ht="15" hidden="false" customHeight="false" outlineLevel="0" collapsed="false">
      <c r="A4354" s="0" t="n">
        <v>4353</v>
      </c>
      <c r="B4354" s="18" t="n">
        <v>1183726.99277427</v>
      </c>
      <c r="C4354" s="18" t="n">
        <v>0</v>
      </c>
      <c r="D4354" s="0" t="n">
        <v>0</v>
      </c>
      <c r="E4354" s="19" t="n">
        <v>53.0833333333333</v>
      </c>
    </row>
    <row r="4355" customFormat="false" ht="15" hidden="false" customHeight="false" outlineLevel="0" collapsed="false">
      <c r="A4355" s="0" t="n">
        <v>4354</v>
      </c>
      <c r="B4355" s="18" t="n">
        <v>1124917.72632932</v>
      </c>
      <c r="C4355" s="18" t="n">
        <v>1288814.25083328</v>
      </c>
      <c r="D4355" s="0" t="n">
        <v>1</v>
      </c>
    </row>
    <row r="4356" customFormat="false" ht="15" hidden="false" customHeight="false" outlineLevel="0" collapsed="false">
      <c r="A4356" s="0" t="n">
        <v>4355</v>
      </c>
      <c r="B4356" s="18" t="n">
        <v>1095416.36102099</v>
      </c>
      <c r="C4356" s="18" t="n">
        <v>0</v>
      </c>
      <c r="D4356" s="0" t="n">
        <v>0</v>
      </c>
      <c r="E4356" s="19" t="n">
        <v>44.6666666666667</v>
      </c>
    </row>
    <row r="4357" customFormat="false" ht="15" hidden="false" customHeight="false" outlineLevel="0" collapsed="false">
      <c r="A4357" s="0" t="n">
        <v>4356</v>
      </c>
      <c r="B4357" s="18" t="n">
        <v>1251917.64283835</v>
      </c>
      <c r="C4357" s="18" t="n">
        <v>8972863.56244859</v>
      </c>
      <c r="D4357" s="0" t="n">
        <v>1</v>
      </c>
    </row>
    <row r="4358" customFormat="false" ht="15" hidden="false" customHeight="false" outlineLevel="0" collapsed="false">
      <c r="A4358" s="0" t="n">
        <v>4357</v>
      </c>
      <c r="B4358" s="18" t="n">
        <v>771521.204161491</v>
      </c>
      <c r="C4358" s="18" t="n">
        <v>0</v>
      </c>
      <c r="D4358" s="0" t="n">
        <v>0</v>
      </c>
      <c r="E4358" s="19" t="n">
        <v>42</v>
      </c>
    </row>
    <row r="4359" customFormat="false" ht="15" hidden="false" customHeight="false" outlineLevel="0" collapsed="false">
      <c r="A4359" s="0" t="n">
        <v>4358</v>
      </c>
      <c r="B4359" s="18" t="n">
        <v>1390324.75651996</v>
      </c>
      <c r="C4359" s="18" t="n">
        <v>7839308.23714279</v>
      </c>
      <c r="D4359" s="0" t="n">
        <v>1</v>
      </c>
    </row>
    <row r="4360" customFormat="false" ht="15" hidden="false" customHeight="false" outlineLevel="0" collapsed="false">
      <c r="A4360" s="0" t="n">
        <v>4359</v>
      </c>
      <c r="B4360" s="18" t="n">
        <v>1570919.07148839</v>
      </c>
      <c r="C4360" s="18" t="n">
        <v>1644033.23312999</v>
      </c>
      <c r="D4360" s="0" t="n">
        <v>1</v>
      </c>
    </row>
    <row r="4361" customFormat="false" ht="15" hidden="false" customHeight="false" outlineLevel="0" collapsed="false">
      <c r="A4361" s="0" t="n">
        <v>4360</v>
      </c>
      <c r="B4361" s="18" t="n">
        <v>1217697.70411301</v>
      </c>
      <c r="C4361" s="18" t="n">
        <v>1862870.80674069</v>
      </c>
      <c r="D4361" s="0" t="n">
        <v>1</v>
      </c>
    </row>
    <row r="4362" customFormat="false" ht="15" hidden="false" customHeight="false" outlineLevel="0" collapsed="false">
      <c r="A4362" s="0" t="n">
        <v>4361</v>
      </c>
      <c r="B4362" s="18" t="n">
        <v>1589840.80831314</v>
      </c>
      <c r="C4362" s="18" t="n">
        <v>4779253.01494376</v>
      </c>
      <c r="D4362" s="0" t="n">
        <v>1</v>
      </c>
    </row>
    <row r="4363" customFormat="false" ht="15" hidden="false" customHeight="false" outlineLevel="0" collapsed="false">
      <c r="A4363" s="0" t="n">
        <v>4362</v>
      </c>
      <c r="B4363" s="18" t="n">
        <v>1247362.6423351</v>
      </c>
      <c r="C4363" s="18" t="n">
        <v>0</v>
      </c>
      <c r="D4363" s="0" t="n">
        <v>0</v>
      </c>
      <c r="E4363" s="19" t="n">
        <v>41.8333333333333</v>
      </c>
    </row>
    <row r="4364" customFormat="false" ht="15" hidden="false" customHeight="false" outlineLevel="0" collapsed="false">
      <c r="A4364" s="0" t="n">
        <v>4363</v>
      </c>
      <c r="B4364" s="18" t="n">
        <v>2351337.28466416</v>
      </c>
      <c r="C4364" s="18" t="n">
        <v>21526838.5288497</v>
      </c>
      <c r="D4364" s="0" t="n">
        <v>1</v>
      </c>
    </row>
    <row r="4365" customFormat="false" ht="15" hidden="false" customHeight="false" outlineLevel="0" collapsed="false">
      <c r="A4365" s="0" t="n">
        <v>4364</v>
      </c>
      <c r="B4365" s="18" t="n">
        <v>559220.43778893</v>
      </c>
      <c r="C4365" s="18" t="n">
        <v>0</v>
      </c>
      <c r="D4365" s="0" t="n">
        <v>0</v>
      </c>
      <c r="E4365" s="19" t="n">
        <v>36.8333333333333</v>
      </c>
    </row>
    <row r="4366" customFormat="false" ht="15" hidden="false" customHeight="false" outlineLevel="0" collapsed="false">
      <c r="A4366" s="0" t="n">
        <v>4365</v>
      </c>
      <c r="B4366" s="18" t="n">
        <v>427310.882678399</v>
      </c>
      <c r="C4366" s="18" t="n">
        <v>0</v>
      </c>
      <c r="D4366" s="0" t="n">
        <v>0</v>
      </c>
      <c r="E4366" s="19" t="n">
        <v>31.3333333333333</v>
      </c>
    </row>
    <row r="4367" customFormat="false" ht="15" hidden="false" customHeight="false" outlineLevel="0" collapsed="false">
      <c r="A4367" s="0" t="n">
        <v>4366</v>
      </c>
      <c r="B4367" s="18" t="n">
        <v>1250344.34808045</v>
      </c>
      <c r="C4367" s="18" t="n">
        <v>0</v>
      </c>
      <c r="D4367" s="0" t="n">
        <v>0</v>
      </c>
      <c r="E4367" s="19" t="n">
        <v>45.3333333333333</v>
      </c>
    </row>
    <row r="4368" customFormat="false" ht="15" hidden="false" customHeight="false" outlineLevel="0" collapsed="false">
      <c r="A4368" s="0" t="n">
        <v>4367</v>
      </c>
      <c r="B4368" s="18" t="n">
        <v>479767.310062766</v>
      </c>
      <c r="C4368" s="18" t="n">
        <v>0</v>
      </c>
      <c r="D4368" s="0" t="n">
        <v>0</v>
      </c>
      <c r="E4368" s="19" t="n">
        <v>35.6666666666667</v>
      </c>
    </row>
    <row r="4369" customFormat="false" ht="15" hidden="false" customHeight="false" outlineLevel="0" collapsed="false">
      <c r="A4369" s="0" t="n">
        <v>4368</v>
      </c>
      <c r="B4369" s="18" t="n">
        <v>613936.51775848</v>
      </c>
      <c r="C4369" s="18" t="n">
        <v>0</v>
      </c>
      <c r="D4369" s="0" t="n">
        <v>0</v>
      </c>
      <c r="E4369" s="19" t="n">
        <v>35.25</v>
      </c>
    </row>
    <row r="4370" customFormat="false" ht="15" hidden="false" customHeight="false" outlineLevel="0" collapsed="false">
      <c r="A4370" s="0" t="n">
        <v>4369</v>
      </c>
      <c r="B4370" s="18" t="n">
        <v>856669.625435118</v>
      </c>
      <c r="C4370" s="18" t="n">
        <v>0</v>
      </c>
      <c r="D4370" s="0" t="n">
        <v>0</v>
      </c>
      <c r="E4370" s="19" t="n">
        <v>49.8333333333333</v>
      </c>
    </row>
    <row r="4371" customFormat="false" ht="15" hidden="false" customHeight="false" outlineLevel="0" collapsed="false">
      <c r="A4371" s="0" t="n">
        <v>4370</v>
      </c>
      <c r="B4371" s="18" t="n">
        <v>645385.025219621</v>
      </c>
      <c r="C4371" s="18" t="n">
        <v>0</v>
      </c>
      <c r="D4371" s="0" t="n">
        <v>0</v>
      </c>
      <c r="E4371" s="19" t="n">
        <v>39.5833333333333</v>
      </c>
    </row>
    <row r="4372" customFormat="false" ht="15" hidden="false" customHeight="false" outlineLevel="0" collapsed="false">
      <c r="A4372" s="0" t="n">
        <v>4371</v>
      </c>
      <c r="B4372" s="18" t="n">
        <v>807396.484443907</v>
      </c>
      <c r="C4372" s="18" t="n">
        <v>0</v>
      </c>
      <c r="D4372" s="0" t="n">
        <v>0</v>
      </c>
      <c r="E4372" s="19" t="n">
        <v>54.8333333333333</v>
      </c>
    </row>
    <row r="4373" customFormat="false" ht="15" hidden="false" customHeight="false" outlineLevel="0" collapsed="false">
      <c r="A4373" s="0" t="n">
        <v>4372</v>
      </c>
      <c r="B4373" s="18" t="n">
        <v>665707.082946901</v>
      </c>
      <c r="C4373" s="18" t="n">
        <v>0</v>
      </c>
      <c r="D4373" s="0" t="n">
        <v>0</v>
      </c>
      <c r="E4373" s="19" t="n">
        <v>44.0833333333333</v>
      </c>
    </row>
    <row r="4374" customFormat="false" ht="15" hidden="false" customHeight="false" outlineLevel="0" collapsed="false">
      <c r="A4374" s="0" t="n">
        <v>4373</v>
      </c>
      <c r="B4374" s="18" t="n">
        <v>836610.262495634</v>
      </c>
      <c r="C4374" s="18" t="n">
        <v>0</v>
      </c>
      <c r="D4374" s="0" t="n">
        <v>0</v>
      </c>
      <c r="E4374" s="19" t="n">
        <v>44.25</v>
      </c>
    </row>
    <row r="4375" customFormat="false" ht="15" hidden="false" customHeight="false" outlineLevel="0" collapsed="false">
      <c r="A4375" s="0" t="n">
        <v>4374</v>
      </c>
      <c r="B4375" s="18" t="n">
        <v>1240016.623759</v>
      </c>
      <c r="C4375" s="18" t="n">
        <v>11698858.0438527</v>
      </c>
      <c r="D4375" s="0" t="n">
        <v>1</v>
      </c>
    </row>
    <row r="4376" customFormat="false" ht="15" hidden="false" customHeight="false" outlineLevel="0" collapsed="false">
      <c r="A4376" s="0" t="n">
        <v>4375</v>
      </c>
      <c r="B4376" s="18" t="n">
        <v>2225030.23493214</v>
      </c>
      <c r="C4376" s="18" t="n">
        <v>3345430.62131507</v>
      </c>
      <c r="D4376" s="0" t="n">
        <v>1</v>
      </c>
    </row>
    <row r="4377" customFormat="false" ht="15" hidden="false" customHeight="false" outlineLevel="0" collapsed="false">
      <c r="A4377" s="0" t="n">
        <v>4376</v>
      </c>
      <c r="B4377" s="18" t="n">
        <v>725079.542820296</v>
      </c>
      <c r="C4377" s="18" t="n">
        <v>0</v>
      </c>
      <c r="D4377" s="0" t="n">
        <v>0</v>
      </c>
      <c r="E4377" s="19" t="n">
        <v>39.9166666666667</v>
      </c>
    </row>
    <row r="4378" customFormat="false" ht="15" hidden="false" customHeight="false" outlineLevel="0" collapsed="false">
      <c r="A4378" s="0" t="n">
        <v>4377</v>
      </c>
      <c r="B4378" s="18" t="n">
        <v>798868.629433709</v>
      </c>
      <c r="C4378" s="18" t="n">
        <v>896593.186787704</v>
      </c>
      <c r="D4378" s="0" t="n">
        <v>1</v>
      </c>
    </row>
    <row r="4379" customFormat="false" ht="15" hidden="false" customHeight="false" outlineLevel="0" collapsed="false">
      <c r="A4379" s="0" t="n">
        <v>4378</v>
      </c>
      <c r="B4379" s="18" t="n">
        <v>338979.907506158</v>
      </c>
      <c r="C4379" s="18" t="n">
        <v>0</v>
      </c>
      <c r="D4379" s="0" t="n">
        <v>0</v>
      </c>
      <c r="E4379" s="19" t="n">
        <v>30.9166666666667</v>
      </c>
    </row>
    <row r="4380" customFormat="false" ht="15" hidden="false" customHeight="false" outlineLevel="0" collapsed="false">
      <c r="A4380" s="0" t="n">
        <v>4379</v>
      </c>
      <c r="B4380" s="18" t="n">
        <v>1533572.34500587</v>
      </c>
      <c r="C4380" s="18" t="n">
        <v>4151366.96279878</v>
      </c>
      <c r="D4380" s="0" t="n">
        <v>1</v>
      </c>
    </row>
    <row r="4381" customFormat="false" ht="15" hidden="false" customHeight="false" outlineLevel="0" collapsed="false">
      <c r="A4381" s="0" t="n">
        <v>4380</v>
      </c>
      <c r="B4381" s="18" t="n">
        <v>683138.810106766</v>
      </c>
      <c r="C4381" s="18" t="n">
        <v>1347947.34736612</v>
      </c>
      <c r="D4381" s="0" t="n">
        <v>1</v>
      </c>
    </row>
    <row r="4382" customFormat="false" ht="15" hidden="false" customHeight="false" outlineLevel="0" collapsed="false">
      <c r="A4382" s="0" t="n">
        <v>4381</v>
      </c>
      <c r="B4382" s="18" t="n">
        <v>704210.167919247</v>
      </c>
      <c r="C4382" s="18" t="n">
        <v>14807.2279566494</v>
      </c>
      <c r="D4382" s="0" t="n">
        <v>1</v>
      </c>
    </row>
    <row r="4383" customFormat="false" ht="15" hidden="false" customHeight="false" outlineLevel="0" collapsed="false">
      <c r="A4383" s="0" t="n">
        <v>4382</v>
      </c>
      <c r="B4383" s="18" t="n">
        <v>1138483.98772234</v>
      </c>
      <c r="C4383" s="18" t="n">
        <v>0</v>
      </c>
      <c r="D4383" s="0" t="n">
        <v>0</v>
      </c>
      <c r="E4383" s="19" t="n">
        <v>50.8333333333333</v>
      </c>
    </row>
    <row r="4384" customFormat="false" ht="15" hidden="false" customHeight="false" outlineLevel="0" collapsed="false">
      <c r="A4384" s="0" t="n">
        <v>4383</v>
      </c>
      <c r="B4384" s="18" t="n">
        <v>589942.043144464</v>
      </c>
      <c r="C4384" s="18" t="n">
        <v>0</v>
      </c>
      <c r="D4384" s="0" t="n">
        <v>0</v>
      </c>
      <c r="E4384" s="19" t="n">
        <v>43.1666666666667</v>
      </c>
    </row>
    <row r="4385" customFormat="false" ht="15" hidden="false" customHeight="false" outlineLevel="0" collapsed="false">
      <c r="A4385" s="0" t="n">
        <v>4384</v>
      </c>
      <c r="B4385" s="18" t="n">
        <v>1524776.18153456</v>
      </c>
      <c r="C4385" s="18" t="n">
        <v>12013002.5217317</v>
      </c>
      <c r="D4385" s="0" t="n">
        <v>1</v>
      </c>
    </row>
    <row r="4386" customFormat="false" ht="15" hidden="false" customHeight="false" outlineLevel="0" collapsed="false">
      <c r="A4386" s="0" t="n">
        <v>4385</v>
      </c>
      <c r="B4386" s="18" t="n">
        <v>2777930.12488144</v>
      </c>
      <c r="C4386" s="18" t="n">
        <v>1873702.63653559</v>
      </c>
      <c r="D4386" s="0" t="n">
        <v>1</v>
      </c>
    </row>
    <row r="4387" customFormat="false" ht="15" hidden="false" customHeight="false" outlineLevel="0" collapsed="false">
      <c r="A4387" s="0" t="n">
        <v>4386</v>
      </c>
      <c r="B4387" s="18" t="n">
        <v>718734.828165647</v>
      </c>
      <c r="C4387" s="18" t="n">
        <v>68373.923886983</v>
      </c>
      <c r="D4387" s="0" t="n">
        <v>1</v>
      </c>
    </row>
    <row r="4388" customFormat="false" ht="15" hidden="false" customHeight="false" outlineLevel="0" collapsed="false">
      <c r="A4388" s="0" t="n">
        <v>4387</v>
      </c>
      <c r="B4388" s="18" t="n">
        <v>1252878.31967065</v>
      </c>
      <c r="C4388" s="18" t="n">
        <v>1174182.74292136</v>
      </c>
      <c r="D4388" s="0" t="n">
        <v>1</v>
      </c>
    </row>
    <row r="4389" customFormat="false" ht="15" hidden="false" customHeight="false" outlineLevel="0" collapsed="false">
      <c r="A4389" s="0" t="n">
        <v>4388</v>
      </c>
      <c r="B4389" s="18" t="n">
        <v>1232778.79621802</v>
      </c>
      <c r="C4389" s="18" t="n">
        <v>0</v>
      </c>
      <c r="D4389" s="0" t="n">
        <v>0</v>
      </c>
      <c r="E4389" s="19" t="n">
        <v>47.75</v>
      </c>
    </row>
    <row r="4390" customFormat="false" ht="15" hidden="false" customHeight="false" outlineLevel="0" collapsed="false">
      <c r="A4390" s="0" t="n">
        <v>4389</v>
      </c>
      <c r="B4390" s="18" t="n">
        <v>417842.928689383</v>
      </c>
      <c r="C4390" s="18" t="n">
        <v>0</v>
      </c>
      <c r="D4390" s="0" t="n">
        <v>0</v>
      </c>
      <c r="E4390" s="19" t="n">
        <v>34.8333333333333</v>
      </c>
    </row>
    <row r="4391" customFormat="false" ht="15" hidden="false" customHeight="false" outlineLevel="0" collapsed="false">
      <c r="A4391" s="0" t="n">
        <v>4390</v>
      </c>
      <c r="B4391" s="18" t="n">
        <v>867110.519260789</v>
      </c>
      <c r="C4391" s="18" t="n">
        <v>0</v>
      </c>
      <c r="D4391" s="0" t="n">
        <v>0</v>
      </c>
      <c r="E4391" s="19" t="n">
        <v>53.9166666666667</v>
      </c>
    </row>
    <row r="4392" customFormat="false" ht="15" hidden="false" customHeight="false" outlineLevel="0" collapsed="false">
      <c r="A4392" s="0" t="n">
        <v>4391</v>
      </c>
      <c r="B4392" s="18" t="n">
        <v>655093.309266324</v>
      </c>
      <c r="C4392" s="18" t="n">
        <v>0</v>
      </c>
      <c r="D4392" s="0" t="n">
        <v>0</v>
      </c>
      <c r="E4392" s="19" t="n">
        <v>40.8333333333333</v>
      </c>
    </row>
    <row r="4393" customFormat="false" ht="15" hidden="false" customHeight="false" outlineLevel="0" collapsed="false">
      <c r="A4393" s="0" t="n">
        <v>4392</v>
      </c>
      <c r="B4393" s="18" t="n">
        <v>888327.158196169</v>
      </c>
      <c r="C4393" s="18" t="n">
        <v>8986501.36534824</v>
      </c>
      <c r="D4393" s="0" t="n">
        <v>1</v>
      </c>
    </row>
    <row r="4394" customFormat="false" ht="15" hidden="false" customHeight="false" outlineLevel="0" collapsed="false">
      <c r="A4394" s="0" t="n">
        <v>4393</v>
      </c>
      <c r="B4394" s="18" t="n">
        <v>819442.951848346</v>
      </c>
      <c r="C4394" s="18" t="n">
        <v>2958282.16754229</v>
      </c>
      <c r="D4394" s="0" t="n">
        <v>1</v>
      </c>
    </row>
    <row r="4395" customFormat="false" ht="15" hidden="false" customHeight="false" outlineLevel="0" collapsed="false">
      <c r="A4395" s="0" t="n">
        <v>4394</v>
      </c>
      <c r="B4395" s="18" t="n">
        <v>1050531.48302435</v>
      </c>
      <c r="C4395" s="18" t="n">
        <v>0</v>
      </c>
      <c r="D4395" s="0" t="n">
        <v>0</v>
      </c>
      <c r="E4395" s="19" t="n">
        <v>34.6666666666667</v>
      </c>
    </row>
    <row r="4396" customFormat="false" ht="15" hidden="false" customHeight="false" outlineLevel="0" collapsed="false">
      <c r="A4396" s="0" t="n">
        <v>4395</v>
      </c>
      <c r="B4396" s="18" t="n">
        <v>1327297.71284414</v>
      </c>
      <c r="C4396" s="18" t="n">
        <v>11386377.1366</v>
      </c>
      <c r="D4396" s="0" t="n">
        <v>1</v>
      </c>
    </row>
    <row r="4397" customFormat="false" ht="15" hidden="false" customHeight="false" outlineLevel="0" collapsed="false">
      <c r="A4397" s="0" t="n">
        <v>4396</v>
      </c>
      <c r="B4397" s="18" t="n">
        <v>396989.999587228</v>
      </c>
      <c r="C4397" s="18" t="n">
        <v>0</v>
      </c>
      <c r="D4397" s="0" t="n">
        <v>0</v>
      </c>
      <c r="E4397" s="19" t="n">
        <v>31.0833333333333</v>
      </c>
    </row>
    <row r="4398" customFormat="false" ht="15" hidden="false" customHeight="false" outlineLevel="0" collapsed="false">
      <c r="A4398" s="0" t="n">
        <v>4397</v>
      </c>
      <c r="B4398" s="18" t="n">
        <v>934931.968698724</v>
      </c>
      <c r="C4398" s="18" t="n">
        <v>3841109.59607649</v>
      </c>
      <c r="D4398" s="0" t="n">
        <v>1</v>
      </c>
    </row>
    <row r="4399" customFormat="false" ht="15" hidden="false" customHeight="false" outlineLevel="0" collapsed="false">
      <c r="A4399" s="0" t="n">
        <v>4398</v>
      </c>
      <c r="B4399" s="18" t="n">
        <v>833375.339831541</v>
      </c>
      <c r="C4399" s="18" t="n">
        <v>0</v>
      </c>
      <c r="D4399" s="0" t="n">
        <v>0</v>
      </c>
      <c r="E4399" s="19" t="n">
        <v>39.0833333333333</v>
      </c>
    </row>
    <row r="4400" customFormat="false" ht="15" hidden="false" customHeight="false" outlineLevel="0" collapsed="false">
      <c r="A4400" s="0" t="n">
        <v>4399</v>
      </c>
      <c r="B4400" s="18" t="n">
        <v>761343.950225287</v>
      </c>
      <c r="C4400" s="18" t="n">
        <v>0</v>
      </c>
      <c r="D4400" s="0" t="n">
        <v>0</v>
      </c>
      <c r="E4400" s="19" t="n">
        <v>51.3333333333333</v>
      </c>
    </row>
    <row r="4401" customFormat="false" ht="15" hidden="false" customHeight="false" outlineLevel="0" collapsed="false">
      <c r="A4401" s="0" t="n">
        <v>4400</v>
      </c>
      <c r="B4401" s="18" t="n">
        <v>641743.482692561</v>
      </c>
      <c r="C4401" s="18" t="n">
        <v>0</v>
      </c>
      <c r="D4401" s="0" t="n">
        <v>0</v>
      </c>
      <c r="E4401" s="19" t="n">
        <v>37</v>
      </c>
    </row>
    <row r="4402" customFormat="false" ht="15" hidden="false" customHeight="false" outlineLevel="0" collapsed="false">
      <c r="A4402" s="0" t="n">
        <v>4401</v>
      </c>
      <c r="B4402" s="18" t="n">
        <v>1737970.95016285</v>
      </c>
      <c r="C4402" s="18" t="n">
        <v>0</v>
      </c>
      <c r="D4402" s="0" t="n">
        <v>0</v>
      </c>
      <c r="E4402" s="19" t="n">
        <v>48.4166666666667</v>
      </c>
    </row>
    <row r="4403" customFormat="false" ht="15" hidden="false" customHeight="false" outlineLevel="0" collapsed="false">
      <c r="A4403" s="0" t="n">
        <v>4402</v>
      </c>
      <c r="B4403" s="18" t="n">
        <v>1444940.64244923</v>
      </c>
      <c r="C4403" s="18" t="n">
        <v>0</v>
      </c>
      <c r="D4403" s="0" t="n">
        <v>0</v>
      </c>
      <c r="E4403" s="19" t="n">
        <v>51.1666666666667</v>
      </c>
    </row>
    <row r="4404" customFormat="false" ht="15" hidden="false" customHeight="false" outlineLevel="0" collapsed="false">
      <c r="A4404" s="0" t="n">
        <v>4403</v>
      </c>
      <c r="B4404" s="18" t="n">
        <v>1016342.4975623</v>
      </c>
      <c r="C4404" s="18" t="n">
        <v>0</v>
      </c>
      <c r="D4404" s="0" t="n">
        <v>0</v>
      </c>
      <c r="E4404" s="19" t="n">
        <v>47.4166666666667</v>
      </c>
    </row>
    <row r="4405" customFormat="false" ht="15" hidden="false" customHeight="false" outlineLevel="0" collapsed="false">
      <c r="A4405" s="0" t="n">
        <v>4404</v>
      </c>
      <c r="B4405" s="18" t="n">
        <v>325421.972282034</v>
      </c>
      <c r="C4405" s="18" t="n">
        <v>0</v>
      </c>
      <c r="D4405" s="0" t="n">
        <v>0</v>
      </c>
      <c r="E4405" s="19" t="n">
        <v>29.5</v>
      </c>
    </row>
    <row r="4406" customFormat="false" ht="15" hidden="false" customHeight="false" outlineLevel="0" collapsed="false">
      <c r="A4406" s="0" t="n">
        <v>4405</v>
      </c>
      <c r="B4406" s="18" t="n">
        <v>564487.303060692</v>
      </c>
      <c r="C4406" s="18" t="n">
        <v>0</v>
      </c>
      <c r="D4406" s="0" t="n">
        <v>0</v>
      </c>
      <c r="E4406" s="19" t="n">
        <v>36.8333333333333</v>
      </c>
    </row>
    <row r="4407" customFormat="false" ht="15" hidden="false" customHeight="false" outlineLevel="0" collapsed="false">
      <c r="A4407" s="0" t="n">
        <v>4406</v>
      </c>
      <c r="B4407" s="18" t="n">
        <v>792156.739040798</v>
      </c>
      <c r="C4407" s="18" t="n">
        <v>0</v>
      </c>
      <c r="D4407" s="0" t="n">
        <v>0</v>
      </c>
      <c r="E4407" s="19" t="n">
        <v>37.75</v>
      </c>
    </row>
    <row r="4408" customFormat="false" ht="15" hidden="false" customHeight="false" outlineLevel="0" collapsed="false">
      <c r="A4408" s="0" t="n">
        <v>4407</v>
      </c>
      <c r="B4408" s="18" t="n">
        <v>819568.440125665</v>
      </c>
      <c r="C4408" s="18" t="n">
        <v>0</v>
      </c>
      <c r="D4408" s="0" t="n">
        <v>0</v>
      </c>
      <c r="E4408" s="19" t="n">
        <v>40.8333333333333</v>
      </c>
    </row>
    <row r="4409" customFormat="false" ht="15" hidden="false" customHeight="false" outlineLevel="0" collapsed="false">
      <c r="A4409" s="0" t="n">
        <v>4408</v>
      </c>
      <c r="B4409" s="18" t="n">
        <v>1043753.80232731</v>
      </c>
      <c r="C4409" s="18" t="n">
        <v>0</v>
      </c>
      <c r="D4409" s="0" t="n">
        <v>0</v>
      </c>
      <c r="E4409" s="19" t="n">
        <v>48.4166666666667</v>
      </c>
    </row>
    <row r="4410" customFormat="false" ht="15" hidden="false" customHeight="false" outlineLevel="0" collapsed="false">
      <c r="A4410" s="0" t="n">
        <v>4409</v>
      </c>
      <c r="B4410" s="18" t="n">
        <v>489394.551308717</v>
      </c>
      <c r="C4410" s="18" t="n">
        <v>0</v>
      </c>
      <c r="D4410" s="0" t="n">
        <v>0</v>
      </c>
      <c r="E4410" s="19" t="n">
        <v>42.0833333333333</v>
      </c>
    </row>
    <row r="4411" customFormat="false" ht="15" hidden="false" customHeight="false" outlineLevel="0" collapsed="false">
      <c r="A4411" s="0" t="n">
        <v>4410</v>
      </c>
      <c r="B4411" s="18" t="n">
        <v>889609.022036124</v>
      </c>
      <c r="C4411" s="18" t="n">
        <v>235906.656102656</v>
      </c>
      <c r="D4411" s="0" t="n">
        <v>1</v>
      </c>
    </row>
    <row r="4412" customFormat="false" ht="15" hidden="false" customHeight="false" outlineLevel="0" collapsed="false">
      <c r="A4412" s="0" t="n">
        <v>4411</v>
      </c>
      <c r="B4412" s="18" t="n">
        <v>1019138.40574035</v>
      </c>
      <c r="C4412" s="18" t="n">
        <v>9002045.89174442</v>
      </c>
      <c r="D4412" s="0" t="n">
        <v>1</v>
      </c>
    </row>
    <row r="4413" customFormat="false" ht="15" hidden="false" customHeight="false" outlineLevel="0" collapsed="false">
      <c r="A4413" s="0" t="n">
        <v>4412</v>
      </c>
      <c r="B4413" s="18" t="n">
        <v>1012041.83251551</v>
      </c>
      <c r="C4413" s="18" t="n">
        <v>0</v>
      </c>
      <c r="D4413" s="0" t="n">
        <v>0</v>
      </c>
      <c r="E4413" s="19" t="n">
        <v>41.75</v>
      </c>
    </row>
    <row r="4414" customFormat="false" ht="15" hidden="false" customHeight="false" outlineLevel="0" collapsed="false">
      <c r="A4414" s="0" t="n">
        <v>4413</v>
      </c>
      <c r="B4414" s="18" t="n">
        <v>658766.720559347</v>
      </c>
      <c r="C4414" s="18" t="n">
        <v>0</v>
      </c>
      <c r="D4414" s="0" t="n">
        <v>0</v>
      </c>
      <c r="E4414" s="19" t="n">
        <v>35.4166666666667</v>
      </c>
    </row>
    <row r="4415" customFormat="false" ht="15" hidden="false" customHeight="false" outlineLevel="0" collapsed="false">
      <c r="A4415" s="0" t="n">
        <v>4414</v>
      </c>
      <c r="B4415" s="18" t="n">
        <v>409802.540127493</v>
      </c>
      <c r="C4415" s="18" t="n">
        <v>0</v>
      </c>
      <c r="D4415" s="0" t="n">
        <v>0</v>
      </c>
      <c r="E4415" s="19" t="n">
        <v>31.6666666666667</v>
      </c>
    </row>
    <row r="4416" customFormat="false" ht="15" hidden="false" customHeight="false" outlineLevel="0" collapsed="false">
      <c r="A4416" s="0" t="n">
        <v>4415</v>
      </c>
      <c r="B4416" s="18" t="n">
        <v>548777.527790294</v>
      </c>
      <c r="C4416" s="18" t="n">
        <v>0</v>
      </c>
      <c r="D4416" s="0" t="n">
        <v>0</v>
      </c>
      <c r="E4416" s="19" t="n">
        <v>38.3333333333333</v>
      </c>
    </row>
    <row r="4417" customFormat="false" ht="15" hidden="false" customHeight="false" outlineLevel="0" collapsed="false">
      <c r="A4417" s="0" t="n">
        <v>4416</v>
      </c>
      <c r="B4417" s="18" t="n">
        <v>336303.926939919</v>
      </c>
      <c r="C4417" s="18" t="n">
        <v>0</v>
      </c>
      <c r="D4417" s="0" t="n">
        <v>0</v>
      </c>
      <c r="E4417" s="19" t="n">
        <v>31.5</v>
      </c>
    </row>
    <row r="4418" customFormat="false" ht="15" hidden="false" customHeight="false" outlineLevel="0" collapsed="false">
      <c r="A4418" s="0" t="n">
        <v>4417</v>
      </c>
      <c r="B4418" s="18" t="n">
        <v>837668.415112047</v>
      </c>
      <c r="C4418" s="18" t="n">
        <v>0</v>
      </c>
      <c r="D4418" s="0" t="n">
        <v>0</v>
      </c>
      <c r="E4418" s="19" t="n">
        <v>39.75</v>
      </c>
    </row>
    <row r="4419" customFormat="false" ht="15" hidden="false" customHeight="false" outlineLevel="0" collapsed="false">
      <c r="A4419" s="0" t="n">
        <v>4418</v>
      </c>
      <c r="B4419" s="18" t="n">
        <v>684043.380658324</v>
      </c>
      <c r="C4419" s="18" t="n">
        <v>28057.5985228474</v>
      </c>
      <c r="D4419" s="0" t="n">
        <v>1</v>
      </c>
    </row>
    <row r="4420" customFormat="false" ht="15" hidden="false" customHeight="false" outlineLevel="0" collapsed="false">
      <c r="A4420" s="0" t="n">
        <v>4419</v>
      </c>
      <c r="B4420" s="18" t="n">
        <v>548906.767805494</v>
      </c>
      <c r="C4420" s="18" t="n">
        <v>0</v>
      </c>
      <c r="D4420" s="0" t="n">
        <v>0</v>
      </c>
      <c r="E4420" s="19" t="n">
        <v>34.9166666666667</v>
      </c>
    </row>
    <row r="4421" customFormat="false" ht="15" hidden="false" customHeight="false" outlineLevel="0" collapsed="false">
      <c r="A4421" s="0" t="n">
        <v>4420</v>
      </c>
      <c r="B4421" s="18" t="n">
        <v>890821.138088924</v>
      </c>
      <c r="C4421" s="18" t="n">
        <v>0</v>
      </c>
      <c r="D4421" s="0" t="n">
        <v>0</v>
      </c>
      <c r="E4421" s="19" t="n">
        <v>53.6666666666667</v>
      </c>
    </row>
    <row r="4422" customFormat="false" ht="15" hidden="false" customHeight="false" outlineLevel="0" collapsed="false">
      <c r="A4422" s="0" t="n">
        <v>4421</v>
      </c>
      <c r="B4422" s="18" t="n">
        <v>308856.736325724</v>
      </c>
      <c r="C4422" s="18" t="n">
        <v>0</v>
      </c>
      <c r="D4422" s="0" t="n">
        <v>0</v>
      </c>
      <c r="E4422" s="19" t="n">
        <v>31</v>
      </c>
    </row>
    <row r="4423" customFormat="false" ht="15" hidden="false" customHeight="false" outlineLevel="0" collapsed="false">
      <c r="A4423" s="0" t="n">
        <v>4422</v>
      </c>
      <c r="B4423" s="18" t="n">
        <v>388837.55863159</v>
      </c>
      <c r="C4423" s="18" t="n">
        <v>0</v>
      </c>
      <c r="D4423" s="0" t="n">
        <v>0</v>
      </c>
      <c r="E4423" s="19" t="n">
        <v>33.8333333333333</v>
      </c>
    </row>
    <row r="4424" customFormat="false" ht="15" hidden="false" customHeight="false" outlineLevel="0" collapsed="false">
      <c r="A4424" s="0" t="n">
        <v>4423</v>
      </c>
      <c r="B4424" s="18" t="n">
        <v>462192.026311554</v>
      </c>
      <c r="C4424" s="18" t="n">
        <v>0</v>
      </c>
      <c r="D4424" s="0" t="n">
        <v>0</v>
      </c>
      <c r="E4424" s="19" t="n">
        <v>38.6666666666667</v>
      </c>
    </row>
    <row r="4425" customFormat="false" ht="15" hidden="false" customHeight="false" outlineLevel="0" collapsed="false">
      <c r="A4425" s="0" t="n">
        <v>4424</v>
      </c>
      <c r="B4425" s="18" t="n">
        <v>855124.466789797</v>
      </c>
      <c r="C4425" s="18" t="n">
        <v>11389190.4568263</v>
      </c>
      <c r="D4425" s="0" t="n">
        <v>1</v>
      </c>
    </row>
    <row r="4426" customFormat="false" ht="15" hidden="false" customHeight="false" outlineLevel="0" collapsed="false">
      <c r="A4426" s="0" t="n">
        <v>4425</v>
      </c>
      <c r="B4426" s="18" t="n">
        <v>1345261.42620029</v>
      </c>
      <c r="C4426" s="18" t="n">
        <v>1073360.77709149</v>
      </c>
      <c r="D4426" s="0" t="n">
        <v>1</v>
      </c>
    </row>
    <row r="4427" customFormat="false" ht="15" hidden="false" customHeight="false" outlineLevel="0" collapsed="false">
      <c r="A4427" s="0" t="n">
        <v>4426</v>
      </c>
      <c r="B4427" s="18" t="n">
        <v>678892.904147413</v>
      </c>
      <c r="C4427" s="18" t="n">
        <v>0</v>
      </c>
      <c r="D4427" s="0" t="n">
        <v>0</v>
      </c>
      <c r="E4427" s="19" t="n">
        <v>34.25</v>
      </c>
    </row>
    <row r="4428" customFormat="false" ht="15" hidden="false" customHeight="false" outlineLevel="0" collapsed="false">
      <c r="A4428" s="0" t="n">
        <v>4427</v>
      </c>
      <c r="B4428" s="18" t="n">
        <v>1191109.23734295</v>
      </c>
      <c r="C4428" s="18" t="n">
        <v>196608.422043497</v>
      </c>
      <c r="D4428" s="0" t="n">
        <v>1</v>
      </c>
    </row>
    <row r="4429" customFormat="false" ht="15" hidden="false" customHeight="false" outlineLevel="0" collapsed="false">
      <c r="A4429" s="0" t="n">
        <v>4428</v>
      </c>
      <c r="B4429" s="18" t="n">
        <v>449966.914619294</v>
      </c>
      <c r="C4429" s="18" t="n">
        <v>0</v>
      </c>
      <c r="D4429" s="0" t="n">
        <v>0</v>
      </c>
      <c r="E4429" s="19" t="n">
        <v>47.1666666666667</v>
      </c>
    </row>
    <row r="4430" customFormat="false" ht="15" hidden="false" customHeight="false" outlineLevel="0" collapsed="false">
      <c r="A4430" s="0" t="n">
        <v>4429</v>
      </c>
      <c r="B4430" s="18" t="n">
        <v>2282925.90791553</v>
      </c>
      <c r="C4430" s="18" t="n">
        <v>6967703.79408105</v>
      </c>
      <c r="D4430" s="0" t="n">
        <v>1</v>
      </c>
    </row>
    <row r="4431" customFormat="false" ht="15" hidden="false" customHeight="false" outlineLevel="0" collapsed="false">
      <c r="A4431" s="0" t="n">
        <v>4430</v>
      </c>
      <c r="B4431" s="18" t="n">
        <v>670691.833168861</v>
      </c>
      <c r="C4431" s="18" t="n">
        <v>0</v>
      </c>
      <c r="D4431" s="0" t="n">
        <v>0</v>
      </c>
      <c r="E4431" s="19" t="n">
        <v>36.5833333333333</v>
      </c>
    </row>
    <row r="4432" customFormat="false" ht="15" hidden="false" customHeight="false" outlineLevel="0" collapsed="false">
      <c r="A4432" s="0" t="n">
        <v>4431</v>
      </c>
      <c r="B4432" s="18" t="n">
        <v>501075.167568457</v>
      </c>
      <c r="C4432" s="18" t="n">
        <v>0</v>
      </c>
      <c r="D4432" s="0" t="n">
        <v>0</v>
      </c>
      <c r="E4432" s="19" t="n">
        <v>33.8333333333333</v>
      </c>
    </row>
    <row r="4433" customFormat="false" ht="15" hidden="false" customHeight="false" outlineLevel="0" collapsed="false">
      <c r="A4433" s="0" t="n">
        <v>4432</v>
      </c>
      <c r="B4433" s="18" t="n">
        <v>521065.0781515</v>
      </c>
      <c r="C4433" s="18" t="n">
        <v>0</v>
      </c>
      <c r="D4433" s="0" t="n">
        <v>0</v>
      </c>
      <c r="E4433" s="19" t="n">
        <v>34.1666666666667</v>
      </c>
    </row>
    <row r="4434" customFormat="false" ht="15" hidden="false" customHeight="false" outlineLevel="0" collapsed="false">
      <c r="A4434" s="0" t="n">
        <v>4433</v>
      </c>
      <c r="B4434" s="18" t="n">
        <v>1227345.04596717</v>
      </c>
      <c r="C4434" s="18" t="n">
        <v>0</v>
      </c>
      <c r="D4434" s="0" t="n">
        <v>0</v>
      </c>
      <c r="E4434" s="19" t="n">
        <v>48.1666666666667</v>
      </c>
    </row>
    <row r="4435" customFormat="false" ht="15" hidden="false" customHeight="false" outlineLevel="0" collapsed="false">
      <c r="A4435" s="0" t="n">
        <v>4434</v>
      </c>
      <c r="B4435" s="18" t="n">
        <v>857147.979934358</v>
      </c>
      <c r="C4435" s="18" t="n">
        <v>0</v>
      </c>
      <c r="D4435" s="0" t="n">
        <v>0</v>
      </c>
      <c r="E4435" s="19" t="n">
        <v>45.8333333333333</v>
      </c>
    </row>
    <row r="4436" customFormat="false" ht="15" hidden="false" customHeight="false" outlineLevel="0" collapsed="false">
      <c r="A4436" s="0" t="n">
        <v>4435</v>
      </c>
      <c r="B4436" s="18" t="n">
        <v>1344268.71078078</v>
      </c>
      <c r="C4436" s="18" t="n">
        <v>0</v>
      </c>
      <c r="D4436" s="0" t="n">
        <v>0</v>
      </c>
      <c r="E4436" s="19" t="n">
        <v>42.4166666666667</v>
      </c>
    </row>
    <row r="4437" customFormat="false" ht="15" hidden="false" customHeight="false" outlineLevel="0" collapsed="false">
      <c r="A4437" s="0" t="n">
        <v>4436</v>
      </c>
      <c r="B4437" s="18" t="n">
        <v>634873.441058491</v>
      </c>
      <c r="C4437" s="18" t="n">
        <v>0</v>
      </c>
      <c r="D4437" s="0" t="n">
        <v>0</v>
      </c>
      <c r="E4437" s="19" t="n">
        <v>39.6666666666667</v>
      </c>
    </row>
    <row r="4438" customFormat="false" ht="15" hidden="false" customHeight="false" outlineLevel="0" collapsed="false">
      <c r="A4438" s="0" t="n">
        <v>4437</v>
      </c>
      <c r="B4438" s="18" t="n">
        <v>1314678.74797736</v>
      </c>
      <c r="C4438" s="18" t="n">
        <v>0</v>
      </c>
      <c r="D4438" s="0" t="n">
        <v>0</v>
      </c>
      <c r="E4438" s="19" t="n">
        <v>49.75</v>
      </c>
    </row>
    <row r="4439" customFormat="false" ht="15" hidden="false" customHeight="false" outlineLevel="0" collapsed="false">
      <c r="A4439" s="0" t="n">
        <v>4438</v>
      </c>
      <c r="B4439" s="18" t="n">
        <v>558533.964829708</v>
      </c>
      <c r="C4439" s="18" t="n">
        <v>0</v>
      </c>
      <c r="D4439" s="0" t="n">
        <v>0</v>
      </c>
      <c r="E4439" s="19" t="n">
        <v>36</v>
      </c>
    </row>
    <row r="4440" customFormat="false" ht="15" hidden="false" customHeight="false" outlineLevel="0" collapsed="false">
      <c r="A4440" s="0" t="n">
        <v>4439</v>
      </c>
      <c r="B4440" s="18" t="n">
        <v>773445.858874299</v>
      </c>
      <c r="C4440" s="18" t="n">
        <v>0</v>
      </c>
      <c r="D4440" s="0" t="n">
        <v>0</v>
      </c>
      <c r="E4440" s="19" t="n">
        <v>46.5833333333333</v>
      </c>
    </row>
    <row r="4441" customFormat="false" ht="15" hidden="false" customHeight="false" outlineLevel="0" collapsed="false">
      <c r="A4441" s="0" t="n">
        <v>4440</v>
      </c>
      <c r="B4441" s="18" t="n">
        <v>377693.799806153</v>
      </c>
      <c r="C4441" s="18" t="n">
        <v>0</v>
      </c>
      <c r="D4441" s="0" t="n">
        <v>0</v>
      </c>
      <c r="E4441" s="19" t="n">
        <v>34.9166666666667</v>
      </c>
    </row>
    <row r="4442" customFormat="false" ht="15" hidden="false" customHeight="false" outlineLevel="0" collapsed="false">
      <c r="A4442" s="0" t="n">
        <v>4441</v>
      </c>
      <c r="B4442" s="18" t="n">
        <v>509486.286899186</v>
      </c>
      <c r="C4442" s="18" t="n">
        <v>0</v>
      </c>
      <c r="D4442" s="0" t="n">
        <v>0</v>
      </c>
      <c r="E4442" s="19" t="n">
        <v>31.6666666666667</v>
      </c>
    </row>
    <row r="4443" customFormat="false" ht="15" hidden="false" customHeight="false" outlineLevel="0" collapsed="false">
      <c r="A4443" s="0" t="n">
        <v>4442</v>
      </c>
      <c r="B4443" s="18" t="n">
        <v>818832.328400525</v>
      </c>
      <c r="C4443" s="18" t="n">
        <v>0</v>
      </c>
      <c r="D4443" s="0" t="n">
        <v>0</v>
      </c>
      <c r="E4443" s="19" t="n">
        <v>42.5833333333333</v>
      </c>
    </row>
    <row r="4444" customFormat="false" ht="15" hidden="false" customHeight="false" outlineLevel="0" collapsed="false">
      <c r="A4444" s="0" t="n">
        <v>4443</v>
      </c>
      <c r="B4444" s="18" t="n">
        <v>1139739.32112382</v>
      </c>
      <c r="C4444" s="18" t="n">
        <v>0</v>
      </c>
      <c r="D4444" s="0" t="n">
        <v>0</v>
      </c>
      <c r="E4444" s="19" t="n">
        <v>47.5</v>
      </c>
    </row>
    <row r="4445" customFormat="false" ht="15" hidden="false" customHeight="false" outlineLevel="0" collapsed="false">
      <c r="A4445" s="0" t="n">
        <v>4444</v>
      </c>
      <c r="B4445" s="18" t="n">
        <v>853486.877153175</v>
      </c>
      <c r="C4445" s="18" t="n">
        <v>0</v>
      </c>
      <c r="D4445" s="0" t="n">
        <v>0</v>
      </c>
      <c r="E4445" s="19" t="n">
        <v>41.5833333333333</v>
      </c>
    </row>
    <row r="4446" customFormat="false" ht="15" hidden="false" customHeight="false" outlineLevel="0" collapsed="false">
      <c r="A4446" s="0" t="n">
        <v>4445</v>
      </c>
      <c r="B4446" s="18" t="n">
        <v>918839.212352119</v>
      </c>
      <c r="C4446" s="18" t="n">
        <v>0</v>
      </c>
      <c r="D4446" s="0" t="n">
        <v>0</v>
      </c>
      <c r="E4446" s="19" t="n">
        <v>33.4166666666667</v>
      </c>
    </row>
    <row r="4447" customFormat="false" ht="15" hidden="false" customHeight="false" outlineLevel="0" collapsed="false">
      <c r="A4447" s="0" t="n">
        <v>4446</v>
      </c>
      <c r="B4447" s="18" t="n">
        <v>373716.23975726</v>
      </c>
      <c r="C4447" s="18" t="n">
        <v>0</v>
      </c>
      <c r="D4447" s="0" t="n">
        <v>0</v>
      </c>
      <c r="E4447" s="19" t="n">
        <v>33.3333333333333</v>
      </c>
    </row>
    <row r="4448" customFormat="false" ht="15" hidden="false" customHeight="false" outlineLevel="0" collapsed="false">
      <c r="A4448" s="0" t="n">
        <v>4447</v>
      </c>
      <c r="B4448" s="18" t="n">
        <v>2040353.87811237</v>
      </c>
      <c r="C4448" s="18" t="n">
        <v>5188913.65200329</v>
      </c>
      <c r="D4448" s="0" t="n">
        <v>1</v>
      </c>
    </row>
    <row r="4449" customFormat="false" ht="15" hidden="false" customHeight="false" outlineLevel="0" collapsed="false">
      <c r="A4449" s="0" t="n">
        <v>4448</v>
      </c>
      <c r="B4449" s="18" t="n">
        <v>740886.506886877</v>
      </c>
      <c r="C4449" s="18" t="n">
        <v>0</v>
      </c>
      <c r="D4449" s="0" t="n">
        <v>0</v>
      </c>
      <c r="E4449" s="19" t="n">
        <v>36.25</v>
      </c>
    </row>
    <row r="4450" customFormat="false" ht="15" hidden="false" customHeight="false" outlineLevel="0" collapsed="false">
      <c r="A4450" s="0" t="n">
        <v>4449</v>
      </c>
      <c r="B4450" s="18" t="n">
        <v>522547.321211933</v>
      </c>
      <c r="C4450" s="18" t="n">
        <v>1185677.38896031</v>
      </c>
      <c r="D4450" s="0" t="n">
        <v>1</v>
      </c>
    </row>
    <row r="4451" customFormat="false" ht="15" hidden="false" customHeight="false" outlineLevel="0" collapsed="false">
      <c r="A4451" s="0" t="n">
        <v>4450</v>
      </c>
      <c r="B4451" s="18" t="n">
        <v>2113662.22205939</v>
      </c>
      <c r="C4451" s="18" t="n">
        <v>2447108.26583871</v>
      </c>
      <c r="D4451" s="0" t="n">
        <v>1</v>
      </c>
    </row>
    <row r="4452" customFormat="false" ht="15" hidden="false" customHeight="false" outlineLevel="0" collapsed="false">
      <c r="A4452" s="0" t="n">
        <v>4451</v>
      </c>
      <c r="B4452" s="18" t="n">
        <v>850391.543870945</v>
      </c>
      <c r="C4452" s="18" t="n">
        <v>0</v>
      </c>
      <c r="D4452" s="0" t="n">
        <v>0</v>
      </c>
      <c r="E4452" s="19" t="n">
        <v>37.5833333333333</v>
      </c>
    </row>
    <row r="4453" customFormat="false" ht="15" hidden="false" customHeight="false" outlineLevel="0" collapsed="false">
      <c r="A4453" s="0" t="n">
        <v>4452</v>
      </c>
      <c r="B4453" s="18" t="n">
        <v>1076610.61952013</v>
      </c>
      <c r="C4453" s="18" t="n">
        <v>1235462.59773359</v>
      </c>
      <c r="D4453" s="0" t="n">
        <v>1</v>
      </c>
    </row>
    <row r="4454" customFormat="false" ht="15" hidden="false" customHeight="false" outlineLevel="0" collapsed="false">
      <c r="A4454" s="0" t="n">
        <v>4453</v>
      </c>
      <c r="B4454" s="18" t="n">
        <v>636563.049032338</v>
      </c>
      <c r="C4454" s="18" t="n">
        <v>0</v>
      </c>
      <c r="D4454" s="0" t="n">
        <v>0</v>
      </c>
      <c r="E4454" s="19" t="n">
        <v>39.25</v>
      </c>
    </row>
    <row r="4455" customFormat="false" ht="15" hidden="false" customHeight="false" outlineLevel="0" collapsed="false">
      <c r="A4455" s="0" t="n">
        <v>4454</v>
      </c>
      <c r="B4455" s="18" t="n">
        <v>865681.415913695</v>
      </c>
      <c r="C4455" s="18" t="n">
        <v>0</v>
      </c>
      <c r="D4455" s="0" t="n">
        <v>0</v>
      </c>
      <c r="E4455" s="19" t="n">
        <v>37.8333333333333</v>
      </c>
    </row>
    <row r="4456" customFormat="false" ht="15" hidden="false" customHeight="false" outlineLevel="0" collapsed="false">
      <c r="A4456" s="0" t="n">
        <v>4455</v>
      </c>
      <c r="B4456" s="18" t="n">
        <v>1801280.80111142</v>
      </c>
      <c r="C4456" s="18" t="n">
        <v>32704830.3160958</v>
      </c>
      <c r="D4456" s="0" t="n">
        <v>1</v>
      </c>
    </row>
    <row r="4457" customFormat="false" ht="15" hidden="false" customHeight="false" outlineLevel="0" collapsed="false">
      <c r="A4457" s="0" t="n">
        <v>4456</v>
      </c>
      <c r="B4457" s="18" t="n">
        <v>492515.445620987</v>
      </c>
      <c r="C4457" s="18" t="n">
        <v>0</v>
      </c>
      <c r="D4457" s="0" t="n">
        <v>0</v>
      </c>
      <c r="E4457" s="19" t="n">
        <v>31.75</v>
      </c>
    </row>
    <row r="4458" customFormat="false" ht="15" hidden="false" customHeight="false" outlineLevel="0" collapsed="false">
      <c r="A4458" s="0" t="n">
        <v>4457</v>
      </c>
      <c r="B4458" s="18" t="n">
        <v>1107940.11198414</v>
      </c>
      <c r="C4458" s="18" t="n">
        <v>88548.1457534571</v>
      </c>
      <c r="D4458" s="0" t="n">
        <v>1</v>
      </c>
    </row>
    <row r="4459" customFormat="false" ht="15" hidden="false" customHeight="false" outlineLevel="0" collapsed="false">
      <c r="A4459" s="0" t="n">
        <v>4458</v>
      </c>
      <c r="B4459" s="18" t="n">
        <v>2186813.30316066</v>
      </c>
      <c r="C4459" s="18" t="n">
        <v>8751606.35383087</v>
      </c>
      <c r="D4459" s="0" t="n">
        <v>1</v>
      </c>
    </row>
    <row r="4460" customFormat="false" ht="15" hidden="false" customHeight="false" outlineLevel="0" collapsed="false">
      <c r="A4460" s="0" t="n">
        <v>4459</v>
      </c>
      <c r="B4460" s="18" t="n">
        <v>1149330.57375872</v>
      </c>
      <c r="C4460" s="18" t="n">
        <v>1029657.19134546</v>
      </c>
      <c r="D4460" s="0" t="n">
        <v>1</v>
      </c>
    </row>
    <row r="4461" customFormat="false" ht="15" hidden="false" customHeight="false" outlineLevel="0" collapsed="false">
      <c r="A4461" s="0" t="n">
        <v>4460</v>
      </c>
      <c r="B4461" s="18" t="n">
        <v>1393785.80448936</v>
      </c>
      <c r="C4461" s="18" t="n">
        <v>1827471.35934299</v>
      </c>
      <c r="D4461" s="0" t="n">
        <v>1</v>
      </c>
    </row>
    <row r="4462" customFormat="false" ht="15" hidden="false" customHeight="false" outlineLevel="0" collapsed="false">
      <c r="A4462" s="0" t="n">
        <v>4461</v>
      </c>
      <c r="B4462" s="18" t="n">
        <v>1165150.68644398</v>
      </c>
      <c r="C4462" s="18" t="n">
        <v>0</v>
      </c>
      <c r="D4462" s="0" t="n">
        <v>0</v>
      </c>
      <c r="E4462" s="19" t="n">
        <v>38.8333333333333</v>
      </c>
    </row>
    <row r="4463" customFormat="false" ht="15" hidden="false" customHeight="false" outlineLevel="0" collapsed="false">
      <c r="A4463" s="0" t="n">
        <v>4462</v>
      </c>
      <c r="B4463" s="18" t="n">
        <v>1877200.9720199</v>
      </c>
      <c r="C4463" s="18" t="n">
        <v>30109032.3199911</v>
      </c>
      <c r="D4463" s="0" t="n">
        <v>1</v>
      </c>
    </row>
    <row r="4464" customFormat="false" ht="15" hidden="false" customHeight="false" outlineLevel="0" collapsed="false">
      <c r="A4464" s="0" t="n">
        <v>4463</v>
      </c>
      <c r="B4464" s="18" t="n">
        <v>879574.66268065</v>
      </c>
      <c r="C4464" s="18" t="n">
        <v>0</v>
      </c>
      <c r="D4464" s="0" t="n">
        <v>0</v>
      </c>
      <c r="E4464" s="19" t="n">
        <v>40</v>
      </c>
    </row>
    <row r="4465" customFormat="false" ht="15" hidden="false" customHeight="false" outlineLevel="0" collapsed="false">
      <c r="A4465" s="0" t="n">
        <v>4464</v>
      </c>
      <c r="B4465" s="18" t="n">
        <v>1283097.38682683</v>
      </c>
      <c r="C4465" s="18" t="n">
        <v>50374.141476582</v>
      </c>
      <c r="D4465" s="0" t="n">
        <v>1</v>
      </c>
    </row>
    <row r="4466" customFormat="false" ht="15" hidden="false" customHeight="false" outlineLevel="0" collapsed="false">
      <c r="A4466" s="0" t="n">
        <v>4465</v>
      </c>
      <c r="B4466" s="18" t="n">
        <v>219872.447690326</v>
      </c>
      <c r="C4466" s="18" t="n">
        <v>0</v>
      </c>
      <c r="D4466" s="0" t="n">
        <v>0</v>
      </c>
      <c r="E4466" s="19" t="n">
        <v>29.0833333333333</v>
      </c>
    </row>
    <row r="4467" customFormat="false" ht="15" hidden="false" customHeight="false" outlineLevel="0" collapsed="false">
      <c r="A4467" s="0" t="n">
        <v>4466</v>
      </c>
      <c r="B4467" s="18" t="n">
        <v>502166.07686003</v>
      </c>
      <c r="C4467" s="18" t="n">
        <v>0</v>
      </c>
      <c r="D4467" s="0" t="n">
        <v>0</v>
      </c>
      <c r="E4467" s="19" t="n">
        <v>33.25</v>
      </c>
    </row>
    <row r="4468" customFormat="false" ht="15" hidden="false" customHeight="false" outlineLevel="0" collapsed="false">
      <c r="A4468" s="0" t="n">
        <v>4467</v>
      </c>
      <c r="B4468" s="18" t="n">
        <v>549855.130698281</v>
      </c>
      <c r="C4468" s="18" t="n">
        <v>0</v>
      </c>
      <c r="D4468" s="0" t="n">
        <v>0</v>
      </c>
      <c r="E4468" s="19" t="n">
        <v>31.3333333333333</v>
      </c>
    </row>
    <row r="4469" customFormat="false" ht="15" hidden="false" customHeight="false" outlineLevel="0" collapsed="false">
      <c r="A4469" s="0" t="n">
        <v>4468</v>
      </c>
      <c r="B4469" s="18" t="n">
        <v>594601.508148889</v>
      </c>
      <c r="C4469" s="18" t="n">
        <v>0</v>
      </c>
      <c r="D4469" s="0" t="n">
        <v>0</v>
      </c>
      <c r="E4469" s="19" t="n">
        <v>39.75</v>
      </c>
    </row>
    <row r="4470" customFormat="false" ht="15" hidden="false" customHeight="false" outlineLevel="0" collapsed="false">
      <c r="A4470" s="0" t="n">
        <v>4469</v>
      </c>
      <c r="B4470" s="18" t="n">
        <v>1143452.56261604</v>
      </c>
      <c r="C4470" s="18" t="n">
        <v>0</v>
      </c>
      <c r="D4470" s="0" t="n">
        <v>0</v>
      </c>
      <c r="E4470" s="19" t="n">
        <v>34.4166666666667</v>
      </c>
    </row>
    <row r="4471" customFormat="false" ht="15" hidden="false" customHeight="false" outlineLevel="0" collapsed="false">
      <c r="A4471" s="0" t="n">
        <v>4470</v>
      </c>
      <c r="B4471" s="18" t="n">
        <v>366468.695898252</v>
      </c>
      <c r="C4471" s="18" t="n">
        <v>0</v>
      </c>
      <c r="D4471" s="0" t="n">
        <v>0</v>
      </c>
      <c r="E4471" s="19" t="n">
        <v>35.1666666666667</v>
      </c>
    </row>
    <row r="4472" customFormat="false" ht="15" hidden="false" customHeight="false" outlineLevel="0" collapsed="false">
      <c r="A4472" s="0" t="n">
        <v>4471</v>
      </c>
      <c r="B4472" s="18" t="n">
        <v>512434.146714811</v>
      </c>
      <c r="C4472" s="18" t="n">
        <v>0</v>
      </c>
      <c r="D4472" s="0" t="n">
        <v>0</v>
      </c>
      <c r="E4472" s="19" t="n">
        <v>41.8333333333333</v>
      </c>
    </row>
    <row r="4473" customFormat="false" ht="15" hidden="false" customHeight="false" outlineLevel="0" collapsed="false">
      <c r="A4473" s="0" t="n">
        <v>4472</v>
      </c>
      <c r="B4473" s="18" t="n">
        <v>2076886.744104</v>
      </c>
      <c r="C4473" s="18" t="n">
        <v>0</v>
      </c>
      <c r="D4473" s="0" t="n">
        <v>0</v>
      </c>
      <c r="E4473" s="19" t="n">
        <v>49.25</v>
      </c>
    </row>
    <row r="4474" customFormat="false" ht="15" hidden="false" customHeight="false" outlineLevel="0" collapsed="false">
      <c r="A4474" s="0" t="n">
        <v>4473</v>
      </c>
      <c r="B4474" s="18" t="n">
        <v>1309547.35507961</v>
      </c>
      <c r="C4474" s="18" t="n">
        <v>0</v>
      </c>
      <c r="D4474" s="0" t="n">
        <v>0</v>
      </c>
      <c r="E4474" s="19" t="n">
        <v>44.8333333333333</v>
      </c>
    </row>
    <row r="4475" customFormat="false" ht="15" hidden="false" customHeight="false" outlineLevel="0" collapsed="false">
      <c r="A4475" s="0" t="n">
        <v>4474</v>
      </c>
      <c r="B4475" s="18" t="n">
        <v>1142470.4901908</v>
      </c>
      <c r="C4475" s="18" t="n">
        <v>0</v>
      </c>
      <c r="D4475" s="0" t="n">
        <v>0</v>
      </c>
      <c r="E4475" s="19" t="n">
        <v>45.75</v>
      </c>
    </row>
    <row r="4476" customFormat="false" ht="15" hidden="false" customHeight="false" outlineLevel="0" collapsed="false">
      <c r="A4476" s="0" t="n">
        <v>4475</v>
      </c>
      <c r="B4476" s="18" t="n">
        <v>2909040.53746328</v>
      </c>
      <c r="C4476" s="18" t="n">
        <v>4553610.05231469</v>
      </c>
      <c r="D4476" s="0" t="n">
        <v>1</v>
      </c>
    </row>
    <row r="4477" customFormat="false" ht="15" hidden="false" customHeight="false" outlineLevel="0" collapsed="false">
      <c r="A4477" s="0" t="n">
        <v>4476</v>
      </c>
      <c r="B4477" s="18" t="n">
        <v>338014.093657284</v>
      </c>
      <c r="C4477" s="18" t="n">
        <v>0</v>
      </c>
      <c r="D4477" s="0" t="n">
        <v>0</v>
      </c>
      <c r="E4477" s="19" t="n">
        <v>33.6666666666667</v>
      </c>
    </row>
    <row r="4478" customFormat="false" ht="15" hidden="false" customHeight="false" outlineLevel="0" collapsed="false">
      <c r="A4478" s="0" t="n">
        <v>4477</v>
      </c>
      <c r="B4478" s="18" t="n">
        <v>2801378.64447028</v>
      </c>
      <c r="C4478" s="18" t="n">
        <v>12812320.9897049</v>
      </c>
      <c r="D4478" s="0" t="n">
        <v>1</v>
      </c>
    </row>
    <row r="4479" customFormat="false" ht="15" hidden="false" customHeight="false" outlineLevel="0" collapsed="false">
      <c r="A4479" s="0" t="n">
        <v>4478</v>
      </c>
      <c r="B4479" s="18" t="n">
        <v>524871.459845228</v>
      </c>
      <c r="C4479" s="18" t="n">
        <v>0</v>
      </c>
      <c r="D4479" s="0" t="n">
        <v>0</v>
      </c>
      <c r="E4479" s="19" t="n">
        <v>35.5833333333333</v>
      </c>
    </row>
    <row r="4480" customFormat="false" ht="15" hidden="false" customHeight="false" outlineLevel="0" collapsed="false">
      <c r="A4480" s="0" t="n">
        <v>4479</v>
      </c>
      <c r="B4480" s="18" t="n">
        <v>2173642.39575445</v>
      </c>
      <c r="C4480" s="18" t="n">
        <v>902954.311972368</v>
      </c>
      <c r="D4480" s="0" t="n">
        <v>1</v>
      </c>
    </row>
    <row r="4481" customFormat="false" ht="15" hidden="false" customHeight="false" outlineLevel="0" collapsed="false">
      <c r="A4481" s="0" t="n">
        <v>4480</v>
      </c>
      <c r="B4481" s="18" t="n">
        <v>391207.27963434</v>
      </c>
      <c r="C4481" s="18" t="n">
        <v>0</v>
      </c>
      <c r="D4481" s="0" t="n">
        <v>0</v>
      </c>
      <c r="E4481" s="19" t="n">
        <v>34.0833333333333</v>
      </c>
    </row>
    <row r="4482" customFormat="false" ht="15" hidden="false" customHeight="false" outlineLevel="0" collapsed="false">
      <c r="A4482" s="0" t="n">
        <v>4481</v>
      </c>
      <c r="B4482" s="18" t="n">
        <v>452409.126782808</v>
      </c>
      <c r="C4482" s="18" t="n">
        <v>0</v>
      </c>
      <c r="D4482" s="0" t="n">
        <v>0</v>
      </c>
      <c r="E4482" s="19" t="n">
        <v>44.4166666666667</v>
      </c>
    </row>
    <row r="4483" customFormat="false" ht="15" hidden="false" customHeight="false" outlineLevel="0" collapsed="false">
      <c r="A4483" s="0" t="n">
        <v>4482</v>
      </c>
      <c r="B4483" s="18" t="n">
        <v>564127.636730241</v>
      </c>
      <c r="C4483" s="18" t="n">
        <v>0</v>
      </c>
      <c r="D4483" s="0" t="n">
        <v>0</v>
      </c>
      <c r="E4483" s="19" t="n">
        <v>33.25</v>
      </c>
    </row>
    <row r="4484" customFormat="false" ht="15" hidden="false" customHeight="false" outlineLevel="0" collapsed="false">
      <c r="A4484" s="0" t="n">
        <v>4483</v>
      </c>
      <c r="B4484" s="18" t="n">
        <v>633910.42407274</v>
      </c>
      <c r="C4484" s="18" t="n">
        <v>0</v>
      </c>
      <c r="D4484" s="0" t="n">
        <v>0</v>
      </c>
      <c r="E4484" s="19" t="n">
        <v>39</v>
      </c>
    </row>
    <row r="4485" customFormat="false" ht="15" hidden="false" customHeight="false" outlineLevel="0" collapsed="false">
      <c r="A4485" s="0" t="n">
        <v>4484</v>
      </c>
      <c r="B4485" s="18" t="n">
        <v>1002028.06220736</v>
      </c>
      <c r="C4485" s="18" t="n">
        <v>4672358.39724145</v>
      </c>
      <c r="D4485" s="0" t="n">
        <v>1</v>
      </c>
    </row>
    <row r="4486" customFormat="false" ht="15" hidden="false" customHeight="false" outlineLevel="0" collapsed="false">
      <c r="A4486" s="0" t="n">
        <v>4485</v>
      </c>
      <c r="B4486" s="18" t="n">
        <v>1191486.3956489</v>
      </c>
      <c r="C4486" s="18" t="n">
        <v>30733546.3642814</v>
      </c>
      <c r="D4486" s="0" t="n">
        <v>1</v>
      </c>
    </row>
    <row r="4487" customFormat="false" ht="15" hidden="false" customHeight="false" outlineLevel="0" collapsed="false">
      <c r="A4487" s="0" t="n">
        <v>4486</v>
      </c>
      <c r="B4487" s="18" t="n">
        <v>805371.547909035</v>
      </c>
      <c r="C4487" s="18" t="n">
        <v>0</v>
      </c>
      <c r="D4487" s="0" t="n">
        <v>0</v>
      </c>
      <c r="E4487" s="19" t="n">
        <v>41.0833333333333</v>
      </c>
    </row>
    <row r="4488" customFormat="false" ht="15" hidden="false" customHeight="false" outlineLevel="0" collapsed="false">
      <c r="A4488" s="0" t="n">
        <v>4487</v>
      </c>
      <c r="B4488" s="18" t="n">
        <v>901191.215385683</v>
      </c>
      <c r="C4488" s="18" t="n">
        <v>218434.876988884</v>
      </c>
      <c r="D4488" s="0" t="n">
        <v>1</v>
      </c>
    </row>
    <row r="4489" customFormat="false" ht="15" hidden="false" customHeight="false" outlineLevel="0" collapsed="false">
      <c r="A4489" s="0" t="n">
        <v>4488</v>
      </c>
      <c r="B4489" s="18" t="n">
        <v>2260240.61644632</v>
      </c>
      <c r="C4489" s="18" t="n">
        <v>17663314.5341865</v>
      </c>
      <c r="D4489" s="0" t="n">
        <v>1</v>
      </c>
    </row>
    <row r="4490" customFormat="false" ht="15" hidden="false" customHeight="false" outlineLevel="0" collapsed="false">
      <c r="A4490" s="0" t="n">
        <v>4489</v>
      </c>
      <c r="B4490" s="18" t="n">
        <v>684335.344520363</v>
      </c>
      <c r="C4490" s="18" t="n">
        <v>0</v>
      </c>
      <c r="D4490" s="0" t="n">
        <v>0</v>
      </c>
      <c r="E4490" s="19" t="n">
        <v>34.3333333333333</v>
      </c>
    </row>
    <row r="4491" customFormat="false" ht="15" hidden="false" customHeight="false" outlineLevel="0" collapsed="false">
      <c r="A4491" s="0" t="n">
        <v>4490</v>
      </c>
      <c r="B4491" s="18" t="n">
        <v>694124.35382638</v>
      </c>
      <c r="C4491" s="18" t="n">
        <v>0</v>
      </c>
      <c r="D4491" s="0" t="n">
        <v>0</v>
      </c>
      <c r="E4491" s="19" t="n">
        <v>46.5833333333333</v>
      </c>
    </row>
    <row r="4492" customFormat="false" ht="15" hidden="false" customHeight="false" outlineLevel="0" collapsed="false">
      <c r="A4492" s="0" t="n">
        <v>4491</v>
      </c>
      <c r="B4492" s="18" t="n">
        <v>493682.754116769</v>
      </c>
      <c r="C4492" s="18" t="n">
        <v>0</v>
      </c>
      <c r="D4492" s="0" t="n">
        <v>0</v>
      </c>
      <c r="E4492" s="19" t="n">
        <v>31.3333333333333</v>
      </c>
    </row>
    <row r="4493" customFormat="false" ht="15" hidden="false" customHeight="false" outlineLevel="0" collapsed="false">
      <c r="A4493" s="0" t="n">
        <v>4492</v>
      </c>
      <c r="B4493" s="18" t="n">
        <v>564243.935092627</v>
      </c>
      <c r="C4493" s="18" t="n">
        <v>0</v>
      </c>
      <c r="D4493" s="0" t="n">
        <v>0</v>
      </c>
      <c r="E4493" s="19" t="n">
        <v>38.75</v>
      </c>
    </row>
    <row r="4494" customFormat="false" ht="15" hidden="false" customHeight="false" outlineLevel="0" collapsed="false">
      <c r="A4494" s="0" t="n">
        <v>4493</v>
      </c>
      <c r="B4494" s="18" t="n">
        <v>1562602.14955986</v>
      </c>
      <c r="C4494" s="18" t="n">
        <v>0</v>
      </c>
      <c r="D4494" s="0" t="n">
        <v>0</v>
      </c>
      <c r="E4494" s="19" t="n">
        <v>43.25</v>
      </c>
    </row>
    <row r="4495" customFormat="false" ht="15" hidden="false" customHeight="false" outlineLevel="0" collapsed="false">
      <c r="A4495" s="0" t="n">
        <v>4494</v>
      </c>
      <c r="B4495" s="18" t="n">
        <v>716404.397675676</v>
      </c>
      <c r="C4495" s="18" t="n">
        <v>0</v>
      </c>
      <c r="D4495" s="0" t="n">
        <v>0</v>
      </c>
      <c r="E4495" s="19" t="n">
        <v>40.4166666666667</v>
      </c>
    </row>
    <row r="4496" customFormat="false" ht="15" hidden="false" customHeight="false" outlineLevel="0" collapsed="false">
      <c r="A4496" s="0" t="n">
        <v>4495</v>
      </c>
      <c r="B4496" s="18" t="n">
        <v>978737.581403254</v>
      </c>
      <c r="C4496" s="18" t="n">
        <v>0</v>
      </c>
      <c r="D4496" s="0" t="n">
        <v>0</v>
      </c>
      <c r="E4496" s="19" t="n">
        <v>35.6666666666667</v>
      </c>
    </row>
    <row r="4497" customFormat="false" ht="15" hidden="false" customHeight="false" outlineLevel="0" collapsed="false">
      <c r="A4497" s="0" t="n">
        <v>4496</v>
      </c>
      <c r="B4497" s="18" t="n">
        <v>860505.538287859</v>
      </c>
      <c r="C4497" s="18" t="n">
        <v>2233030.28137991</v>
      </c>
      <c r="D4497" s="0" t="n">
        <v>1</v>
      </c>
    </row>
    <row r="4498" customFormat="false" ht="15" hidden="false" customHeight="false" outlineLevel="0" collapsed="false">
      <c r="A4498" s="0" t="n">
        <v>4497</v>
      </c>
      <c r="B4498" s="18" t="n">
        <v>446509.119024363</v>
      </c>
      <c r="C4498" s="18" t="n">
        <v>0</v>
      </c>
      <c r="D4498" s="0" t="n">
        <v>0</v>
      </c>
      <c r="E4498" s="19" t="n">
        <v>34.0833333333333</v>
      </c>
    </row>
    <row r="4499" customFormat="false" ht="15" hidden="false" customHeight="false" outlineLevel="0" collapsed="false">
      <c r="A4499" s="0" t="n">
        <v>4498</v>
      </c>
      <c r="B4499" s="18" t="n">
        <v>743137.955145913</v>
      </c>
      <c r="C4499" s="18" t="n">
        <v>0</v>
      </c>
      <c r="D4499" s="0" t="n">
        <v>0</v>
      </c>
      <c r="E4499" s="19" t="n">
        <v>42.5</v>
      </c>
    </row>
    <row r="4500" customFormat="false" ht="15" hidden="false" customHeight="false" outlineLevel="0" collapsed="false">
      <c r="A4500" s="0" t="n">
        <v>4499</v>
      </c>
      <c r="B4500" s="18" t="n">
        <v>2772556.12146168</v>
      </c>
      <c r="C4500" s="18" t="n">
        <v>47228174.5754822</v>
      </c>
      <c r="D4500" s="0" t="n">
        <v>1</v>
      </c>
    </row>
    <row r="4501" customFormat="false" ht="15" hidden="false" customHeight="false" outlineLevel="0" collapsed="false">
      <c r="A4501" s="0" t="n">
        <v>4500</v>
      </c>
      <c r="B4501" s="18" t="n">
        <v>390510.399552793</v>
      </c>
      <c r="C4501" s="18" t="n">
        <v>0</v>
      </c>
      <c r="D4501" s="0" t="n">
        <v>0</v>
      </c>
      <c r="E4501" s="19" t="n">
        <v>32.25</v>
      </c>
    </row>
    <row r="4502" customFormat="false" ht="15" hidden="false" customHeight="false" outlineLevel="0" collapsed="false">
      <c r="A4502" s="0" t="n">
        <v>4501</v>
      </c>
      <c r="B4502" s="18" t="n">
        <v>427792.556578002</v>
      </c>
      <c r="C4502" s="18" t="n">
        <v>0</v>
      </c>
      <c r="D4502" s="0" t="n">
        <v>0</v>
      </c>
      <c r="E4502" s="19" t="n">
        <v>31.0833333333333</v>
      </c>
    </row>
    <row r="4503" customFormat="false" ht="15" hidden="false" customHeight="false" outlineLevel="0" collapsed="false">
      <c r="A4503" s="0" t="n">
        <v>4502</v>
      </c>
      <c r="B4503" s="18" t="n">
        <v>401031.24700286</v>
      </c>
      <c r="C4503" s="18" t="n">
        <v>0</v>
      </c>
      <c r="D4503" s="0" t="n">
        <v>0</v>
      </c>
      <c r="E4503" s="19" t="n">
        <v>35.1666666666667</v>
      </c>
    </row>
    <row r="4504" customFormat="false" ht="15" hidden="false" customHeight="false" outlineLevel="0" collapsed="false">
      <c r="A4504" s="0" t="n">
        <v>4503</v>
      </c>
      <c r="B4504" s="18" t="n">
        <v>1233363.28299656</v>
      </c>
      <c r="C4504" s="18" t="n">
        <v>2984483.39601932</v>
      </c>
      <c r="D4504" s="0" t="n">
        <v>1</v>
      </c>
    </row>
    <row r="4505" customFormat="false" ht="15" hidden="false" customHeight="false" outlineLevel="0" collapsed="false">
      <c r="A4505" s="0" t="n">
        <v>4504</v>
      </c>
      <c r="B4505" s="18" t="n">
        <v>851755.38328326</v>
      </c>
      <c r="C4505" s="18" t="n">
        <v>0</v>
      </c>
      <c r="D4505" s="0" t="n">
        <v>0</v>
      </c>
      <c r="E4505" s="19" t="n">
        <v>38.6666666666667</v>
      </c>
    </row>
    <row r="4506" customFormat="false" ht="15" hidden="false" customHeight="false" outlineLevel="0" collapsed="false">
      <c r="A4506" s="0" t="n">
        <v>4505</v>
      </c>
      <c r="B4506" s="18" t="n">
        <v>386412.244148132</v>
      </c>
      <c r="C4506" s="18" t="n">
        <v>0</v>
      </c>
      <c r="D4506" s="0" t="n">
        <v>0</v>
      </c>
      <c r="E4506" s="19" t="n">
        <v>32.25</v>
      </c>
    </row>
    <row r="4507" customFormat="false" ht="15" hidden="false" customHeight="false" outlineLevel="0" collapsed="false">
      <c r="A4507" s="0" t="n">
        <v>4506</v>
      </c>
      <c r="B4507" s="18" t="n">
        <v>299531.820139393</v>
      </c>
      <c r="C4507" s="18" t="n">
        <v>0</v>
      </c>
      <c r="D4507" s="0" t="n">
        <v>0</v>
      </c>
      <c r="E4507" s="19" t="n">
        <v>32.8333333333333</v>
      </c>
    </row>
    <row r="4508" customFormat="false" ht="15" hidden="false" customHeight="false" outlineLevel="0" collapsed="false">
      <c r="A4508" s="0" t="n">
        <v>4507</v>
      </c>
      <c r="B4508" s="18" t="n">
        <v>658192.252777515</v>
      </c>
      <c r="C4508" s="18" t="n">
        <v>0</v>
      </c>
      <c r="D4508" s="0" t="n">
        <v>0</v>
      </c>
      <c r="E4508" s="19" t="n">
        <v>41.0833333333333</v>
      </c>
    </row>
    <row r="4509" customFormat="false" ht="15" hidden="false" customHeight="false" outlineLevel="0" collapsed="false">
      <c r="A4509" s="0" t="n">
        <v>4508</v>
      </c>
      <c r="B4509" s="18" t="n">
        <v>346757.067778014</v>
      </c>
      <c r="C4509" s="18" t="n">
        <v>0</v>
      </c>
      <c r="D4509" s="0" t="n">
        <v>0</v>
      </c>
      <c r="E4509" s="19" t="n">
        <v>31.4166666666667</v>
      </c>
    </row>
    <row r="4510" customFormat="false" ht="15" hidden="false" customHeight="false" outlineLevel="0" collapsed="false">
      <c r="A4510" s="0" t="n">
        <v>4509</v>
      </c>
      <c r="B4510" s="18" t="n">
        <v>712492.801913706</v>
      </c>
      <c r="C4510" s="18" t="n">
        <v>0</v>
      </c>
      <c r="D4510" s="0" t="n">
        <v>0</v>
      </c>
      <c r="E4510" s="19" t="n">
        <v>46.4166666666667</v>
      </c>
    </row>
    <row r="4511" customFormat="false" ht="15" hidden="false" customHeight="false" outlineLevel="0" collapsed="false">
      <c r="A4511" s="0" t="n">
        <v>4510</v>
      </c>
      <c r="B4511" s="18" t="n">
        <v>593725.992900769</v>
      </c>
      <c r="C4511" s="18" t="n">
        <v>0</v>
      </c>
      <c r="D4511" s="0" t="n">
        <v>0</v>
      </c>
      <c r="E4511" s="19" t="n">
        <v>32.3333333333333</v>
      </c>
    </row>
    <row r="4512" customFormat="false" ht="15" hidden="false" customHeight="false" outlineLevel="0" collapsed="false">
      <c r="A4512" s="0" t="n">
        <v>4511</v>
      </c>
      <c r="B4512" s="18" t="n">
        <v>1125581.8638588</v>
      </c>
      <c r="C4512" s="18" t="n">
        <v>0</v>
      </c>
      <c r="D4512" s="0" t="n">
        <v>0</v>
      </c>
      <c r="E4512" s="19" t="n">
        <v>35.6666666666667</v>
      </c>
    </row>
    <row r="4513" customFormat="false" ht="15" hidden="false" customHeight="false" outlineLevel="0" collapsed="false">
      <c r="A4513" s="0" t="n">
        <v>4512</v>
      </c>
      <c r="B4513" s="18" t="n">
        <v>1338201.43313725</v>
      </c>
      <c r="C4513" s="18" t="n">
        <v>359826.806008308</v>
      </c>
      <c r="D4513" s="0" t="n">
        <v>1</v>
      </c>
    </row>
    <row r="4514" customFormat="false" ht="15" hidden="false" customHeight="false" outlineLevel="0" collapsed="false">
      <c r="A4514" s="0" t="n">
        <v>4513</v>
      </c>
      <c r="B4514" s="18" t="n">
        <v>707846.7506326</v>
      </c>
      <c r="C4514" s="18" t="n">
        <v>0</v>
      </c>
      <c r="D4514" s="0" t="n">
        <v>0</v>
      </c>
      <c r="E4514" s="19" t="n">
        <v>35.4166666666667</v>
      </c>
    </row>
    <row r="4515" customFormat="false" ht="15" hidden="false" customHeight="false" outlineLevel="0" collapsed="false">
      <c r="A4515" s="0" t="n">
        <v>4514</v>
      </c>
      <c r="B4515" s="18" t="n">
        <v>1232177.98630109</v>
      </c>
      <c r="C4515" s="18" t="n">
        <v>0</v>
      </c>
      <c r="D4515" s="0" t="n">
        <v>0</v>
      </c>
      <c r="E4515" s="19" t="n">
        <v>53.8333333333333</v>
      </c>
    </row>
    <row r="4516" customFormat="false" ht="15" hidden="false" customHeight="false" outlineLevel="0" collapsed="false">
      <c r="A4516" s="0" t="n">
        <v>4515</v>
      </c>
      <c r="B4516" s="18" t="n">
        <v>762288.312066934</v>
      </c>
      <c r="C4516" s="18" t="n">
        <v>0</v>
      </c>
      <c r="D4516" s="0" t="n">
        <v>0</v>
      </c>
      <c r="E4516" s="19" t="n">
        <v>44.4166666666667</v>
      </c>
    </row>
    <row r="4517" customFormat="false" ht="15" hidden="false" customHeight="false" outlineLevel="0" collapsed="false">
      <c r="A4517" s="0" t="n">
        <v>4516</v>
      </c>
      <c r="B4517" s="18" t="n">
        <v>1278337.40719421</v>
      </c>
      <c r="C4517" s="18" t="n">
        <v>242386.411158255</v>
      </c>
      <c r="D4517" s="0" t="n">
        <v>1</v>
      </c>
    </row>
    <row r="4518" customFormat="false" ht="15" hidden="false" customHeight="false" outlineLevel="0" collapsed="false">
      <c r="A4518" s="0" t="n">
        <v>4517</v>
      </c>
      <c r="B4518" s="18" t="n">
        <v>922417.437245853</v>
      </c>
      <c r="C4518" s="18" t="n">
        <v>0</v>
      </c>
      <c r="D4518" s="0" t="n">
        <v>0</v>
      </c>
      <c r="E4518" s="19" t="n">
        <v>42.6666666666667</v>
      </c>
    </row>
    <row r="4519" customFormat="false" ht="15" hidden="false" customHeight="false" outlineLevel="0" collapsed="false">
      <c r="A4519" s="0" t="n">
        <v>4518</v>
      </c>
      <c r="B4519" s="18" t="n">
        <v>957979.281583076</v>
      </c>
      <c r="C4519" s="18" t="n">
        <v>3813216.27595844</v>
      </c>
      <c r="D4519" s="0" t="n">
        <v>1</v>
      </c>
    </row>
    <row r="4520" customFormat="false" ht="15" hidden="false" customHeight="false" outlineLevel="0" collapsed="false">
      <c r="A4520" s="0" t="n">
        <v>4519</v>
      </c>
      <c r="B4520" s="18" t="n">
        <v>840471.452982952</v>
      </c>
      <c r="C4520" s="18" t="n">
        <v>0</v>
      </c>
      <c r="D4520" s="0" t="n">
        <v>0</v>
      </c>
      <c r="E4520" s="19" t="n">
        <v>46.4166666666667</v>
      </c>
    </row>
    <row r="4521" customFormat="false" ht="15" hidden="false" customHeight="false" outlineLevel="0" collapsed="false">
      <c r="A4521" s="0" t="n">
        <v>4520</v>
      </c>
      <c r="B4521" s="18" t="n">
        <v>1088454.18211815</v>
      </c>
      <c r="C4521" s="18" t="n">
        <v>0</v>
      </c>
      <c r="D4521" s="0" t="n">
        <v>0</v>
      </c>
      <c r="E4521" s="19" t="n">
        <v>39.0833333333333</v>
      </c>
    </row>
    <row r="4522" customFormat="false" ht="15" hidden="false" customHeight="false" outlineLevel="0" collapsed="false">
      <c r="A4522" s="0" t="n">
        <v>4521</v>
      </c>
      <c r="B4522" s="18" t="n">
        <v>499842.162281729</v>
      </c>
      <c r="C4522" s="18" t="n">
        <v>0</v>
      </c>
      <c r="D4522" s="0" t="n">
        <v>0</v>
      </c>
      <c r="E4522" s="19" t="n">
        <v>36.8333333333333</v>
      </c>
    </row>
    <row r="4523" customFormat="false" ht="15" hidden="false" customHeight="false" outlineLevel="0" collapsed="false">
      <c r="A4523" s="0" t="n">
        <v>4522</v>
      </c>
      <c r="B4523" s="18" t="n">
        <v>684021.465132762</v>
      </c>
      <c r="C4523" s="18" t="n">
        <v>0</v>
      </c>
      <c r="D4523" s="0" t="n">
        <v>0</v>
      </c>
      <c r="E4523" s="19" t="n">
        <v>34.5</v>
      </c>
    </row>
    <row r="4524" customFormat="false" ht="15" hidden="false" customHeight="false" outlineLevel="0" collapsed="false">
      <c r="A4524" s="0" t="n">
        <v>4523</v>
      </c>
      <c r="B4524" s="18" t="n">
        <v>502993.945932124</v>
      </c>
      <c r="C4524" s="18" t="n">
        <v>0</v>
      </c>
      <c r="D4524" s="0" t="n">
        <v>0</v>
      </c>
      <c r="E4524" s="19" t="n">
        <v>35</v>
      </c>
    </row>
    <row r="4525" customFormat="false" ht="15" hidden="false" customHeight="false" outlineLevel="0" collapsed="false">
      <c r="A4525" s="0" t="n">
        <v>4524</v>
      </c>
      <c r="B4525" s="18" t="n">
        <v>2028656.77912292</v>
      </c>
      <c r="C4525" s="18" t="n">
        <v>8032067.29717624</v>
      </c>
      <c r="D4525" s="0" t="n">
        <v>1</v>
      </c>
    </row>
    <row r="4526" customFormat="false" ht="15" hidden="false" customHeight="false" outlineLevel="0" collapsed="false">
      <c r="A4526" s="0" t="n">
        <v>4525</v>
      </c>
      <c r="B4526" s="18" t="n">
        <v>1747829.49813189</v>
      </c>
      <c r="C4526" s="18" t="n">
        <v>6179699.46355941</v>
      </c>
      <c r="D4526" s="0" t="n">
        <v>1</v>
      </c>
    </row>
    <row r="4527" customFormat="false" ht="15" hidden="false" customHeight="false" outlineLevel="0" collapsed="false">
      <c r="A4527" s="0" t="n">
        <v>4526</v>
      </c>
      <c r="B4527" s="18" t="n">
        <v>712207.153725926</v>
      </c>
      <c r="C4527" s="18" t="n">
        <v>0</v>
      </c>
      <c r="D4527" s="0" t="n">
        <v>0</v>
      </c>
      <c r="E4527" s="19" t="n">
        <v>41.75</v>
      </c>
    </row>
    <row r="4528" customFormat="false" ht="15" hidden="false" customHeight="false" outlineLevel="0" collapsed="false">
      <c r="A4528" s="0" t="n">
        <v>4527</v>
      </c>
      <c r="B4528" s="18" t="n">
        <v>994803.387497696</v>
      </c>
      <c r="C4528" s="18" t="n">
        <v>0</v>
      </c>
      <c r="D4528" s="0" t="n">
        <v>0</v>
      </c>
      <c r="E4528" s="19" t="n">
        <v>42.25</v>
      </c>
    </row>
    <row r="4529" customFormat="false" ht="15" hidden="false" customHeight="false" outlineLevel="0" collapsed="false">
      <c r="A4529" s="0" t="n">
        <v>4528</v>
      </c>
      <c r="B4529" s="18" t="n">
        <v>905761.218258233</v>
      </c>
      <c r="C4529" s="18" t="n">
        <v>3329795.76171994</v>
      </c>
      <c r="D4529" s="0" t="n">
        <v>1</v>
      </c>
    </row>
    <row r="4530" customFormat="false" ht="15" hidden="false" customHeight="false" outlineLevel="0" collapsed="false">
      <c r="A4530" s="0" t="n">
        <v>4529</v>
      </c>
      <c r="B4530" s="18" t="n">
        <v>415264.088941149</v>
      </c>
      <c r="C4530" s="18" t="n">
        <v>0</v>
      </c>
      <c r="D4530" s="0" t="n">
        <v>0</v>
      </c>
      <c r="E4530" s="19" t="n">
        <v>33.9166666666667</v>
      </c>
    </row>
    <row r="4531" customFormat="false" ht="15" hidden="false" customHeight="false" outlineLevel="0" collapsed="false">
      <c r="A4531" s="0" t="n">
        <v>4530</v>
      </c>
      <c r="B4531" s="18" t="n">
        <v>464272.778675723</v>
      </c>
      <c r="C4531" s="18" t="n">
        <v>0</v>
      </c>
      <c r="D4531" s="0" t="n">
        <v>0</v>
      </c>
      <c r="E4531" s="19" t="n">
        <v>34.3333333333333</v>
      </c>
    </row>
    <row r="4532" customFormat="false" ht="15" hidden="false" customHeight="false" outlineLevel="0" collapsed="false">
      <c r="A4532" s="0" t="n">
        <v>4531</v>
      </c>
      <c r="B4532" s="18" t="n">
        <v>1467496.77399065</v>
      </c>
      <c r="C4532" s="18" t="n">
        <v>2222471.99545654</v>
      </c>
      <c r="D4532" s="0" t="n">
        <v>1</v>
      </c>
    </row>
    <row r="4533" customFormat="false" ht="15" hidden="false" customHeight="false" outlineLevel="0" collapsed="false">
      <c r="A4533" s="0" t="n">
        <v>4532</v>
      </c>
      <c r="B4533" s="18" t="n">
        <v>604902.959912488</v>
      </c>
      <c r="C4533" s="18" t="n">
        <v>0</v>
      </c>
      <c r="D4533" s="0" t="n">
        <v>0</v>
      </c>
      <c r="E4533" s="19" t="n">
        <v>45.6666666666667</v>
      </c>
    </row>
    <row r="4534" customFormat="false" ht="15" hidden="false" customHeight="false" outlineLevel="0" collapsed="false">
      <c r="A4534" s="0" t="n">
        <v>4533</v>
      </c>
      <c r="B4534" s="18" t="n">
        <v>761343.671730192</v>
      </c>
      <c r="C4534" s="18" t="n">
        <v>0</v>
      </c>
      <c r="D4534" s="0" t="n">
        <v>0</v>
      </c>
      <c r="E4534" s="19" t="n">
        <v>39.1666666666667</v>
      </c>
    </row>
    <row r="4535" customFormat="false" ht="15" hidden="false" customHeight="false" outlineLevel="0" collapsed="false">
      <c r="A4535" s="0" t="n">
        <v>4534</v>
      </c>
      <c r="B4535" s="18" t="n">
        <v>640788.888678656</v>
      </c>
      <c r="C4535" s="18" t="n">
        <v>0</v>
      </c>
      <c r="D4535" s="0" t="n">
        <v>0</v>
      </c>
      <c r="E4535" s="19" t="n">
        <v>43.0833333333333</v>
      </c>
    </row>
    <row r="4536" customFormat="false" ht="15" hidden="false" customHeight="false" outlineLevel="0" collapsed="false">
      <c r="A4536" s="0" t="n">
        <v>4535</v>
      </c>
      <c r="B4536" s="18" t="n">
        <v>698758.733740516</v>
      </c>
      <c r="C4536" s="18" t="n">
        <v>0</v>
      </c>
      <c r="D4536" s="0" t="n">
        <v>0</v>
      </c>
      <c r="E4536" s="19" t="n">
        <v>46.4166666666667</v>
      </c>
    </row>
    <row r="4537" customFormat="false" ht="15" hidden="false" customHeight="false" outlineLevel="0" collapsed="false">
      <c r="A4537" s="0" t="n">
        <v>4536</v>
      </c>
      <c r="B4537" s="18" t="n">
        <v>1348619.02690371</v>
      </c>
      <c r="C4537" s="18" t="n">
        <v>0</v>
      </c>
      <c r="D4537" s="0" t="n">
        <v>0</v>
      </c>
      <c r="E4537" s="19" t="n">
        <v>40.1666666666667</v>
      </c>
    </row>
    <row r="4538" customFormat="false" ht="15" hidden="false" customHeight="false" outlineLevel="0" collapsed="false">
      <c r="A4538" s="0" t="n">
        <v>4537</v>
      </c>
      <c r="B4538" s="18" t="n">
        <v>1721635.83919613</v>
      </c>
      <c r="C4538" s="18" t="n">
        <v>3321307.06791673</v>
      </c>
      <c r="D4538" s="0" t="n">
        <v>1</v>
      </c>
    </row>
    <row r="4539" customFormat="false" ht="15" hidden="false" customHeight="false" outlineLevel="0" collapsed="false">
      <c r="A4539" s="0" t="n">
        <v>4538</v>
      </c>
      <c r="B4539" s="18" t="n">
        <v>501368.824789562</v>
      </c>
      <c r="C4539" s="18" t="n">
        <v>0</v>
      </c>
      <c r="D4539" s="0" t="n">
        <v>0</v>
      </c>
      <c r="E4539" s="19" t="n">
        <v>31.25</v>
      </c>
    </row>
    <row r="4540" customFormat="false" ht="15" hidden="false" customHeight="false" outlineLevel="0" collapsed="false">
      <c r="A4540" s="0" t="n">
        <v>4539</v>
      </c>
      <c r="B4540" s="18" t="n">
        <v>985383.525492533</v>
      </c>
      <c r="C4540" s="18" t="n">
        <v>761929.089790899</v>
      </c>
      <c r="D4540" s="0" t="n">
        <v>1</v>
      </c>
    </row>
    <row r="4541" customFormat="false" ht="15" hidden="false" customHeight="false" outlineLevel="0" collapsed="false">
      <c r="A4541" s="0" t="n">
        <v>4540</v>
      </c>
      <c r="B4541" s="18" t="n">
        <v>767583.555051633</v>
      </c>
      <c r="C4541" s="18" t="n">
        <v>0</v>
      </c>
      <c r="D4541" s="0" t="n">
        <v>0</v>
      </c>
      <c r="E4541" s="19" t="n">
        <v>52.3333333333333</v>
      </c>
    </row>
    <row r="4542" customFormat="false" ht="15" hidden="false" customHeight="false" outlineLevel="0" collapsed="false">
      <c r="A4542" s="0" t="n">
        <v>4541</v>
      </c>
      <c r="B4542" s="18" t="n">
        <v>691875.954074063</v>
      </c>
      <c r="C4542" s="18" t="n">
        <v>0</v>
      </c>
      <c r="D4542" s="0" t="n">
        <v>0</v>
      </c>
      <c r="E4542" s="19" t="n">
        <v>37.25</v>
      </c>
    </row>
    <row r="4543" customFormat="false" ht="15" hidden="false" customHeight="false" outlineLevel="0" collapsed="false">
      <c r="A4543" s="0" t="n">
        <v>4542</v>
      </c>
      <c r="B4543" s="18" t="n">
        <v>1464844.37197941</v>
      </c>
      <c r="C4543" s="18" t="n">
        <v>9139314.72935875</v>
      </c>
      <c r="D4543" s="0" t="n">
        <v>1</v>
      </c>
    </row>
    <row r="4544" customFormat="false" ht="15" hidden="false" customHeight="false" outlineLevel="0" collapsed="false">
      <c r="A4544" s="0" t="n">
        <v>4543</v>
      </c>
      <c r="B4544" s="18" t="n">
        <v>3658980.13914833</v>
      </c>
      <c r="C4544" s="18" t="n">
        <v>16660031.0146013</v>
      </c>
      <c r="D4544" s="0" t="n">
        <v>1</v>
      </c>
    </row>
    <row r="4545" customFormat="false" ht="15" hidden="false" customHeight="false" outlineLevel="0" collapsed="false">
      <c r="A4545" s="0" t="n">
        <v>4544</v>
      </c>
      <c r="B4545" s="18" t="n">
        <v>972894.822519485</v>
      </c>
      <c r="C4545" s="18" t="n">
        <v>0</v>
      </c>
      <c r="D4545" s="0" t="n">
        <v>0</v>
      </c>
      <c r="E4545" s="19" t="n">
        <v>52.4166666666667</v>
      </c>
    </row>
    <row r="4546" customFormat="false" ht="15" hidden="false" customHeight="false" outlineLevel="0" collapsed="false">
      <c r="A4546" s="0" t="n">
        <v>4545</v>
      </c>
      <c r="B4546" s="18" t="n">
        <v>799498.330315952</v>
      </c>
      <c r="C4546" s="18" t="n">
        <v>0</v>
      </c>
      <c r="D4546" s="0" t="n">
        <v>0</v>
      </c>
      <c r="E4546" s="19" t="n">
        <v>40.5833333333333</v>
      </c>
    </row>
    <row r="4547" customFormat="false" ht="15" hidden="false" customHeight="false" outlineLevel="0" collapsed="false">
      <c r="A4547" s="0" t="n">
        <v>4546</v>
      </c>
      <c r="B4547" s="18" t="n">
        <v>1463296.64294181</v>
      </c>
      <c r="C4547" s="18" t="n">
        <v>13939161.8631584</v>
      </c>
      <c r="D4547" s="0" t="n">
        <v>1</v>
      </c>
    </row>
    <row r="4548" customFormat="false" ht="15" hidden="false" customHeight="false" outlineLevel="0" collapsed="false">
      <c r="A4548" s="0" t="n">
        <v>4547</v>
      </c>
      <c r="B4548" s="18" t="n">
        <v>1306340.46206485</v>
      </c>
      <c r="C4548" s="18" t="n">
        <v>667948.206832454</v>
      </c>
      <c r="D4548" s="0" t="n">
        <v>1</v>
      </c>
    </row>
    <row r="4549" customFormat="false" ht="15" hidden="false" customHeight="false" outlineLevel="0" collapsed="false">
      <c r="A4549" s="0" t="n">
        <v>4548</v>
      </c>
      <c r="B4549" s="18" t="n">
        <v>808477.262686389</v>
      </c>
      <c r="C4549" s="18" t="n">
        <v>0</v>
      </c>
      <c r="D4549" s="0" t="n">
        <v>0</v>
      </c>
      <c r="E4549" s="19" t="n">
        <v>40.6666666666667</v>
      </c>
    </row>
    <row r="4550" customFormat="false" ht="15" hidden="false" customHeight="false" outlineLevel="0" collapsed="false">
      <c r="A4550" s="0" t="n">
        <v>4549</v>
      </c>
      <c r="B4550" s="18" t="n">
        <v>247020.756096795</v>
      </c>
      <c r="C4550" s="18" t="n">
        <v>0</v>
      </c>
      <c r="D4550" s="0" t="n">
        <v>0</v>
      </c>
      <c r="E4550" s="19" t="n">
        <v>29.5833333333333</v>
      </c>
    </row>
    <row r="4551" customFormat="false" ht="15" hidden="false" customHeight="false" outlineLevel="0" collapsed="false">
      <c r="A4551" s="0" t="n">
        <v>4550</v>
      </c>
      <c r="B4551" s="18" t="n">
        <v>2509259.24610939</v>
      </c>
      <c r="C4551" s="18" t="n">
        <v>0</v>
      </c>
      <c r="D4551" s="0" t="n">
        <v>0</v>
      </c>
      <c r="E4551" s="19" t="n">
        <v>52.25</v>
      </c>
    </row>
    <row r="4552" customFormat="false" ht="15" hidden="false" customHeight="false" outlineLevel="0" collapsed="false">
      <c r="A4552" s="0" t="n">
        <v>4551</v>
      </c>
      <c r="B4552" s="18" t="n">
        <v>525475.129522331</v>
      </c>
      <c r="C4552" s="18" t="n">
        <v>0</v>
      </c>
      <c r="D4552" s="0" t="n">
        <v>0</v>
      </c>
      <c r="E4552" s="19" t="n">
        <v>37.4166666666667</v>
      </c>
    </row>
    <row r="4553" customFormat="false" ht="15" hidden="false" customHeight="false" outlineLevel="0" collapsed="false">
      <c r="A4553" s="0" t="n">
        <v>4552</v>
      </c>
      <c r="B4553" s="18" t="n">
        <v>919456.211308462</v>
      </c>
      <c r="C4553" s="18" t="n">
        <v>4278273.62110693</v>
      </c>
      <c r="D4553" s="0" t="n">
        <v>1</v>
      </c>
    </row>
    <row r="4554" customFormat="false" ht="15" hidden="false" customHeight="false" outlineLevel="0" collapsed="false">
      <c r="A4554" s="0" t="n">
        <v>4553</v>
      </c>
      <c r="B4554" s="18" t="n">
        <v>965509.536737527</v>
      </c>
      <c r="C4554" s="18" t="n">
        <v>0</v>
      </c>
      <c r="D4554" s="0" t="n">
        <v>0</v>
      </c>
      <c r="E4554" s="19" t="n">
        <v>45.75</v>
      </c>
    </row>
    <row r="4555" customFormat="false" ht="15" hidden="false" customHeight="false" outlineLevel="0" collapsed="false">
      <c r="A4555" s="0" t="n">
        <v>4554</v>
      </c>
      <c r="B4555" s="18" t="n">
        <v>1410572.60996174</v>
      </c>
      <c r="C4555" s="18" t="n">
        <v>1475074.9732548</v>
      </c>
      <c r="D4555" s="0" t="n">
        <v>1</v>
      </c>
    </row>
    <row r="4556" customFormat="false" ht="15" hidden="false" customHeight="false" outlineLevel="0" collapsed="false">
      <c r="A4556" s="0" t="n">
        <v>4555</v>
      </c>
      <c r="B4556" s="18" t="n">
        <v>581305.237750251</v>
      </c>
      <c r="C4556" s="18" t="n">
        <v>0</v>
      </c>
      <c r="D4556" s="0" t="n">
        <v>0</v>
      </c>
      <c r="E4556" s="19" t="n">
        <v>33.0833333333333</v>
      </c>
    </row>
    <row r="4557" customFormat="false" ht="15" hidden="false" customHeight="false" outlineLevel="0" collapsed="false">
      <c r="A4557" s="0" t="n">
        <v>4556</v>
      </c>
      <c r="B4557" s="18" t="n">
        <v>1639245.90529472</v>
      </c>
      <c r="C4557" s="18" t="n">
        <v>2309409.51071849</v>
      </c>
      <c r="D4557" s="0" t="n">
        <v>1</v>
      </c>
    </row>
    <row r="4558" customFormat="false" ht="15" hidden="false" customHeight="false" outlineLevel="0" collapsed="false">
      <c r="A4558" s="0" t="n">
        <v>4557</v>
      </c>
      <c r="B4558" s="18" t="n">
        <v>794138.55913473</v>
      </c>
      <c r="C4558" s="18" t="n">
        <v>0</v>
      </c>
      <c r="D4558" s="0" t="n">
        <v>0</v>
      </c>
      <c r="E4558" s="19" t="n">
        <v>45.0833333333333</v>
      </c>
    </row>
    <row r="4559" customFormat="false" ht="15" hidden="false" customHeight="false" outlineLevel="0" collapsed="false">
      <c r="A4559" s="0" t="n">
        <v>4558</v>
      </c>
      <c r="B4559" s="18" t="n">
        <v>1601281.39397515</v>
      </c>
      <c r="C4559" s="18" t="n">
        <v>1683407.09682253</v>
      </c>
      <c r="D4559" s="0" t="n">
        <v>1</v>
      </c>
    </row>
    <row r="4560" customFormat="false" ht="15" hidden="false" customHeight="false" outlineLevel="0" collapsed="false">
      <c r="A4560" s="0" t="n">
        <v>4559</v>
      </c>
      <c r="B4560" s="18" t="n">
        <v>715769.0632376</v>
      </c>
      <c r="C4560" s="18" t="n">
        <v>0</v>
      </c>
      <c r="D4560" s="0" t="n">
        <v>0</v>
      </c>
      <c r="E4560" s="19" t="n">
        <v>53.25</v>
      </c>
    </row>
    <row r="4561" customFormat="false" ht="15" hidden="false" customHeight="false" outlineLevel="0" collapsed="false">
      <c r="A4561" s="0" t="n">
        <v>4560</v>
      </c>
      <c r="B4561" s="18" t="n">
        <v>1570784.81905674</v>
      </c>
      <c r="C4561" s="18" t="n">
        <v>1166105.8011804</v>
      </c>
      <c r="D4561" s="0" t="n">
        <v>1</v>
      </c>
    </row>
    <row r="4562" customFormat="false" ht="15" hidden="false" customHeight="false" outlineLevel="0" collapsed="false">
      <c r="A4562" s="0" t="n">
        <v>4561</v>
      </c>
      <c r="B4562" s="18" t="n">
        <v>654999.256332311</v>
      </c>
      <c r="C4562" s="18" t="n">
        <v>0</v>
      </c>
      <c r="D4562" s="0" t="n">
        <v>0</v>
      </c>
      <c r="E4562" s="19" t="n">
        <v>37.3333333333333</v>
      </c>
    </row>
    <row r="4563" customFormat="false" ht="15" hidden="false" customHeight="false" outlineLevel="0" collapsed="false">
      <c r="A4563" s="0" t="n">
        <v>4562</v>
      </c>
      <c r="B4563" s="18" t="n">
        <v>2800193.09127267</v>
      </c>
      <c r="C4563" s="18" t="n">
        <v>3610053.75810801</v>
      </c>
      <c r="D4563" s="0" t="n">
        <v>1</v>
      </c>
    </row>
    <row r="4564" customFormat="false" ht="15" hidden="false" customHeight="false" outlineLevel="0" collapsed="false">
      <c r="A4564" s="0" t="n">
        <v>4563</v>
      </c>
      <c r="B4564" s="18" t="n">
        <v>1969474.90437173</v>
      </c>
      <c r="C4564" s="18" t="n">
        <v>2945792.47403528</v>
      </c>
      <c r="D4564" s="0" t="n">
        <v>1</v>
      </c>
    </row>
    <row r="4565" customFormat="false" ht="15" hidden="false" customHeight="false" outlineLevel="0" collapsed="false">
      <c r="A4565" s="0" t="n">
        <v>4564</v>
      </c>
      <c r="B4565" s="18" t="n">
        <v>2249084.23936842</v>
      </c>
      <c r="C4565" s="18" t="n">
        <v>5163749.89374696</v>
      </c>
      <c r="D4565" s="0" t="n">
        <v>1</v>
      </c>
    </row>
    <row r="4566" customFormat="false" ht="15" hidden="false" customHeight="false" outlineLevel="0" collapsed="false">
      <c r="A4566" s="0" t="n">
        <v>4565</v>
      </c>
      <c r="B4566" s="18" t="n">
        <v>451057.629575301</v>
      </c>
      <c r="C4566" s="18" t="n">
        <v>0</v>
      </c>
      <c r="D4566" s="0" t="n">
        <v>0</v>
      </c>
      <c r="E4566" s="19" t="n">
        <v>35.4166666666667</v>
      </c>
    </row>
    <row r="4567" customFormat="false" ht="15" hidden="false" customHeight="false" outlineLevel="0" collapsed="false">
      <c r="A4567" s="0" t="n">
        <v>4566</v>
      </c>
      <c r="B4567" s="18" t="n">
        <v>523811.225705346</v>
      </c>
      <c r="C4567" s="18" t="n">
        <v>0</v>
      </c>
      <c r="D4567" s="0" t="n">
        <v>0</v>
      </c>
      <c r="E4567" s="19" t="n">
        <v>35</v>
      </c>
    </row>
    <row r="4568" customFormat="false" ht="15" hidden="false" customHeight="false" outlineLevel="0" collapsed="false">
      <c r="A4568" s="0" t="n">
        <v>4567</v>
      </c>
      <c r="B4568" s="18" t="n">
        <v>348270.085653975</v>
      </c>
      <c r="C4568" s="18" t="n">
        <v>0</v>
      </c>
      <c r="D4568" s="0" t="n">
        <v>0</v>
      </c>
      <c r="E4568" s="19" t="n">
        <v>29.75</v>
      </c>
    </row>
    <row r="4569" customFormat="false" ht="15" hidden="false" customHeight="false" outlineLevel="0" collapsed="false">
      <c r="A4569" s="0" t="n">
        <v>4568</v>
      </c>
      <c r="B4569" s="18" t="n">
        <v>2515189.25832112</v>
      </c>
      <c r="C4569" s="18" t="n">
        <v>24500318.543535</v>
      </c>
      <c r="D4569" s="0" t="n">
        <v>1</v>
      </c>
    </row>
    <row r="4570" customFormat="false" ht="15" hidden="false" customHeight="false" outlineLevel="0" collapsed="false">
      <c r="A4570" s="0" t="n">
        <v>4569</v>
      </c>
      <c r="B4570" s="18" t="n">
        <v>885189.456194616</v>
      </c>
      <c r="C4570" s="18" t="n">
        <v>0</v>
      </c>
      <c r="D4570" s="0" t="n">
        <v>0</v>
      </c>
      <c r="E4570" s="19" t="n">
        <v>35.3333333333333</v>
      </c>
    </row>
    <row r="4571" customFormat="false" ht="15" hidden="false" customHeight="false" outlineLevel="0" collapsed="false">
      <c r="A4571" s="0" t="n">
        <v>4570</v>
      </c>
      <c r="B4571" s="18" t="n">
        <v>2372927.32895285</v>
      </c>
      <c r="C4571" s="18" t="n">
        <v>64058.8663766392</v>
      </c>
      <c r="D4571" s="0" t="n">
        <v>1</v>
      </c>
    </row>
    <row r="4572" customFormat="false" ht="15" hidden="false" customHeight="false" outlineLevel="0" collapsed="false">
      <c r="A4572" s="0" t="n">
        <v>4571</v>
      </c>
      <c r="B4572" s="18" t="n">
        <v>953112.591081253</v>
      </c>
      <c r="C4572" s="18" t="n">
        <v>0</v>
      </c>
      <c r="D4572" s="0" t="n">
        <v>0</v>
      </c>
      <c r="E4572" s="19" t="n">
        <v>42.0833333333333</v>
      </c>
    </row>
    <row r="4573" customFormat="false" ht="15" hidden="false" customHeight="false" outlineLevel="0" collapsed="false">
      <c r="A4573" s="0" t="n">
        <v>4572</v>
      </c>
      <c r="B4573" s="18" t="n">
        <v>1296250.97214446</v>
      </c>
      <c r="C4573" s="18" t="n">
        <v>0</v>
      </c>
      <c r="D4573" s="0" t="n">
        <v>0</v>
      </c>
      <c r="E4573" s="19" t="n">
        <v>54.5</v>
      </c>
    </row>
    <row r="4574" customFormat="false" ht="15" hidden="false" customHeight="false" outlineLevel="0" collapsed="false">
      <c r="A4574" s="0" t="n">
        <v>4573</v>
      </c>
      <c r="B4574" s="18" t="n">
        <v>1441009.04012405</v>
      </c>
      <c r="C4574" s="18" t="n">
        <v>3575619.74701134</v>
      </c>
      <c r="D4574" s="0" t="n">
        <v>1</v>
      </c>
    </row>
    <row r="4575" customFormat="false" ht="15" hidden="false" customHeight="false" outlineLevel="0" collapsed="false">
      <c r="A4575" s="0" t="n">
        <v>4574</v>
      </c>
      <c r="B4575" s="18" t="n">
        <v>459001.724352659</v>
      </c>
      <c r="C4575" s="18" t="n">
        <v>1358008.2604183</v>
      </c>
      <c r="D4575" s="0" t="n">
        <v>1</v>
      </c>
    </row>
    <row r="4576" customFormat="false" ht="15" hidden="false" customHeight="false" outlineLevel="0" collapsed="false">
      <c r="A4576" s="0" t="n">
        <v>4575</v>
      </c>
      <c r="B4576" s="18" t="n">
        <v>919453.668992485</v>
      </c>
      <c r="C4576" s="18" t="n">
        <v>0</v>
      </c>
      <c r="D4576" s="0" t="n">
        <v>0</v>
      </c>
      <c r="E4576" s="19" t="n">
        <v>36.8333333333333</v>
      </c>
    </row>
    <row r="4577" customFormat="false" ht="15" hidden="false" customHeight="false" outlineLevel="0" collapsed="false">
      <c r="A4577" s="0" t="n">
        <v>4576</v>
      </c>
      <c r="B4577" s="18" t="n">
        <v>1711566.77700391</v>
      </c>
      <c r="C4577" s="18" t="n">
        <v>8003952.82723252</v>
      </c>
      <c r="D4577" s="0" t="n">
        <v>1</v>
      </c>
    </row>
    <row r="4578" customFormat="false" ht="15" hidden="false" customHeight="false" outlineLevel="0" collapsed="false">
      <c r="A4578" s="0" t="n">
        <v>4577</v>
      </c>
      <c r="B4578" s="18" t="n">
        <v>715701.104921969</v>
      </c>
      <c r="C4578" s="18" t="n">
        <v>0</v>
      </c>
      <c r="D4578" s="0" t="n">
        <v>0</v>
      </c>
      <c r="E4578" s="19" t="n">
        <v>35</v>
      </c>
    </row>
    <row r="4579" customFormat="false" ht="15" hidden="false" customHeight="false" outlineLevel="0" collapsed="false">
      <c r="A4579" s="0" t="n">
        <v>4578</v>
      </c>
      <c r="B4579" s="18" t="n">
        <v>591777.808296452</v>
      </c>
      <c r="C4579" s="18" t="n">
        <v>0</v>
      </c>
      <c r="D4579" s="0" t="n">
        <v>0</v>
      </c>
      <c r="E4579" s="19" t="n">
        <v>37</v>
      </c>
    </row>
    <row r="4580" customFormat="false" ht="15" hidden="false" customHeight="false" outlineLevel="0" collapsed="false">
      <c r="A4580" s="0" t="n">
        <v>4579</v>
      </c>
      <c r="B4580" s="18" t="n">
        <v>855884.091893416</v>
      </c>
      <c r="C4580" s="18" t="n">
        <v>972930.842354115</v>
      </c>
      <c r="D4580" s="0" t="n">
        <v>1</v>
      </c>
    </row>
    <row r="4581" customFormat="false" ht="15" hidden="false" customHeight="false" outlineLevel="0" collapsed="false">
      <c r="A4581" s="0" t="n">
        <v>4580</v>
      </c>
      <c r="B4581" s="18" t="n">
        <v>566888.492370388</v>
      </c>
      <c r="C4581" s="18" t="n">
        <v>0</v>
      </c>
      <c r="D4581" s="0" t="n">
        <v>0</v>
      </c>
      <c r="E4581" s="19" t="n">
        <v>35.3333333333333</v>
      </c>
    </row>
    <row r="4582" customFormat="false" ht="15" hidden="false" customHeight="false" outlineLevel="0" collapsed="false">
      <c r="A4582" s="0" t="n">
        <v>4581</v>
      </c>
      <c r="B4582" s="18" t="n">
        <v>1436010.80789007</v>
      </c>
      <c r="C4582" s="18" t="n">
        <v>6478571.43643838</v>
      </c>
      <c r="D4582" s="0" t="n">
        <v>1</v>
      </c>
    </row>
    <row r="4583" customFormat="false" ht="15" hidden="false" customHeight="false" outlineLevel="0" collapsed="false">
      <c r="A4583" s="0" t="n">
        <v>4582</v>
      </c>
      <c r="B4583" s="18" t="n">
        <v>527723.615122582</v>
      </c>
      <c r="C4583" s="18" t="n">
        <v>0</v>
      </c>
      <c r="D4583" s="0" t="n">
        <v>0</v>
      </c>
      <c r="E4583" s="19" t="n">
        <v>35.5833333333333</v>
      </c>
    </row>
    <row r="4584" customFormat="false" ht="15" hidden="false" customHeight="false" outlineLevel="0" collapsed="false">
      <c r="A4584" s="0" t="n">
        <v>4583</v>
      </c>
      <c r="B4584" s="18" t="n">
        <v>385077.655418441</v>
      </c>
      <c r="C4584" s="18" t="n">
        <v>0</v>
      </c>
      <c r="D4584" s="0" t="n">
        <v>0</v>
      </c>
      <c r="E4584" s="19" t="n">
        <v>33.6666666666667</v>
      </c>
    </row>
    <row r="4585" customFormat="false" ht="15" hidden="false" customHeight="false" outlineLevel="0" collapsed="false">
      <c r="A4585" s="0" t="n">
        <v>4584</v>
      </c>
      <c r="B4585" s="18" t="n">
        <v>737034.141805941</v>
      </c>
      <c r="C4585" s="18" t="n">
        <v>0</v>
      </c>
      <c r="D4585" s="0" t="n">
        <v>0</v>
      </c>
      <c r="E4585" s="19" t="n">
        <v>39.1666666666667</v>
      </c>
    </row>
    <row r="4586" customFormat="false" ht="15" hidden="false" customHeight="false" outlineLevel="0" collapsed="false">
      <c r="A4586" s="0" t="n">
        <v>4585</v>
      </c>
      <c r="B4586" s="18" t="n">
        <v>554482.218088253</v>
      </c>
      <c r="C4586" s="18" t="n">
        <v>0</v>
      </c>
      <c r="D4586" s="0" t="n">
        <v>0</v>
      </c>
      <c r="E4586" s="19" t="n">
        <v>45.6666666666667</v>
      </c>
    </row>
    <row r="4587" customFormat="false" ht="15" hidden="false" customHeight="false" outlineLevel="0" collapsed="false">
      <c r="A4587" s="0" t="n">
        <v>4586</v>
      </c>
      <c r="B4587" s="18" t="n">
        <v>718083.287276904</v>
      </c>
      <c r="C4587" s="18" t="n">
        <v>0</v>
      </c>
      <c r="D4587" s="0" t="n">
        <v>0</v>
      </c>
      <c r="E4587" s="19" t="n">
        <v>36.25</v>
      </c>
    </row>
    <row r="4588" customFormat="false" ht="15" hidden="false" customHeight="false" outlineLevel="0" collapsed="false">
      <c r="A4588" s="0" t="n">
        <v>4587</v>
      </c>
      <c r="B4588" s="18" t="n">
        <v>436762.980347425</v>
      </c>
      <c r="C4588" s="18" t="n">
        <v>0</v>
      </c>
      <c r="D4588" s="0" t="n">
        <v>0</v>
      </c>
      <c r="E4588" s="19" t="n">
        <v>36.1666666666667</v>
      </c>
    </row>
    <row r="4589" customFormat="false" ht="15" hidden="false" customHeight="false" outlineLevel="0" collapsed="false">
      <c r="A4589" s="0" t="n">
        <v>4588</v>
      </c>
      <c r="B4589" s="18" t="n">
        <v>902592.596586509</v>
      </c>
      <c r="C4589" s="18" t="n">
        <v>0</v>
      </c>
      <c r="D4589" s="0" t="n">
        <v>0</v>
      </c>
      <c r="E4589" s="19" t="n">
        <v>42.5833333333333</v>
      </c>
    </row>
    <row r="4590" customFormat="false" ht="15" hidden="false" customHeight="false" outlineLevel="0" collapsed="false">
      <c r="A4590" s="0" t="n">
        <v>4589</v>
      </c>
      <c r="B4590" s="18" t="n">
        <v>1300800.22671883</v>
      </c>
      <c r="C4590" s="18" t="n">
        <v>4966734.58166999</v>
      </c>
      <c r="D4590" s="0" t="n">
        <v>1</v>
      </c>
    </row>
    <row r="4591" customFormat="false" ht="15" hidden="false" customHeight="false" outlineLevel="0" collapsed="false">
      <c r="A4591" s="0" t="n">
        <v>4590</v>
      </c>
      <c r="B4591" s="18" t="n">
        <v>681736.867159387</v>
      </c>
      <c r="C4591" s="18" t="n">
        <v>0</v>
      </c>
      <c r="D4591" s="0" t="n">
        <v>0</v>
      </c>
      <c r="E4591" s="19" t="n">
        <v>45.5833333333333</v>
      </c>
    </row>
    <row r="4592" customFormat="false" ht="15" hidden="false" customHeight="false" outlineLevel="0" collapsed="false">
      <c r="A4592" s="0" t="n">
        <v>4591</v>
      </c>
      <c r="B4592" s="18" t="n">
        <v>1147297.18996719</v>
      </c>
      <c r="C4592" s="18" t="n">
        <v>8332322.98948969</v>
      </c>
      <c r="D4592" s="0" t="n">
        <v>1</v>
      </c>
    </row>
    <row r="4593" customFormat="false" ht="15" hidden="false" customHeight="false" outlineLevel="0" collapsed="false">
      <c r="A4593" s="0" t="n">
        <v>4592</v>
      </c>
      <c r="B4593" s="18" t="n">
        <v>706949.901164608</v>
      </c>
      <c r="C4593" s="18" t="n">
        <v>0</v>
      </c>
      <c r="D4593" s="0" t="n">
        <v>0</v>
      </c>
      <c r="E4593" s="19" t="n">
        <v>41.9166666666667</v>
      </c>
    </row>
    <row r="4594" customFormat="false" ht="15" hidden="false" customHeight="false" outlineLevel="0" collapsed="false">
      <c r="A4594" s="0" t="n">
        <v>4593</v>
      </c>
      <c r="B4594" s="18" t="n">
        <v>735748.776764772</v>
      </c>
      <c r="C4594" s="18" t="n">
        <v>0</v>
      </c>
      <c r="D4594" s="0" t="n">
        <v>0</v>
      </c>
      <c r="E4594" s="19" t="n">
        <v>35</v>
      </c>
    </row>
    <row r="4595" customFormat="false" ht="15" hidden="false" customHeight="false" outlineLevel="0" collapsed="false">
      <c r="A4595" s="0" t="n">
        <v>4594</v>
      </c>
      <c r="B4595" s="18" t="n">
        <v>969855.056137616</v>
      </c>
      <c r="C4595" s="18" t="n">
        <v>0</v>
      </c>
      <c r="D4595" s="0" t="n">
        <v>0</v>
      </c>
      <c r="E4595" s="19" t="n">
        <v>42.0833333333333</v>
      </c>
    </row>
    <row r="4596" customFormat="false" ht="15" hidden="false" customHeight="false" outlineLevel="0" collapsed="false">
      <c r="A4596" s="0" t="n">
        <v>4595</v>
      </c>
      <c r="B4596" s="18" t="n">
        <v>1075759.3718904</v>
      </c>
      <c r="C4596" s="18" t="n">
        <v>0</v>
      </c>
      <c r="D4596" s="0" t="n">
        <v>0</v>
      </c>
      <c r="E4596" s="19" t="n">
        <v>48.75</v>
      </c>
    </row>
    <row r="4597" customFormat="false" ht="15" hidden="false" customHeight="false" outlineLevel="0" collapsed="false">
      <c r="A4597" s="0" t="n">
        <v>4596</v>
      </c>
      <c r="B4597" s="18" t="n">
        <v>561906.6699093</v>
      </c>
      <c r="C4597" s="18" t="n">
        <v>0</v>
      </c>
      <c r="D4597" s="0" t="n">
        <v>0</v>
      </c>
      <c r="E4597" s="19" t="n">
        <v>35.8333333333333</v>
      </c>
    </row>
    <row r="4598" customFormat="false" ht="15" hidden="false" customHeight="false" outlineLevel="0" collapsed="false">
      <c r="A4598" s="0" t="n">
        <v>4597</v>
      </c>
      <c r="B4598" s="18" t="n">
        <v>756864.899584945</v>
      </c>
      <c r="C4598" s="18" t="n">
        <v>0</v>
      </c>
      <c r="D4598" s="0" t="n">
        <v>0</v>
      </c>
      <c r="E4598" s="19" t="n">
        <v>42.4166666666667</v>
      </c>
    </row>
    <row r="4599" customFormat="false" ht="15" hidden="false" customHeight="false" outlineLevel="0" collapsed="false">
      <c r="A4599" s="0" t="n">
        <v>4598</v>
      </c>
      <c r="B4599" s="18" t="n">
        <v>398701.148956986</v>
      </c>
      <c r="C4599" s="18" t="n">
        <v>0</v>
      </c>
      <c r="D4599" s="0" t="n">
        <v>0</v>
      </c>
      <c r="E4599" s="19" t="n">
        <v>32.5833333333333</v>
      </c>
    </row>
    <row r="4600" customFormat="false" ht="15" hidden="false" customHeight="false" outlineLevel="0" collapsed="false">
      <c r="A4600" s="0" t="n">
        <v>4599</v>
      </c>
      <c r="B4600" s="18" t="n">
        <v>1119694.46175378</v>
      </c>
      <c r="C4600" s="18" t="n">
        <v>0</v>
      </c>
      <c r="D4600" s="0" t="n">
        <v>0</v>
      </c>
      <c r="E4600" s="19" t="n">
        <v>51.8333333333333</v>
      </c>
    </row>
    <row r="4601" customFormat="false" ht="15" hidden="false" customHeight="false" outlineLevel="0" collapsed="false">
      <c r="A4601" s="0" t="n">
        <v>4600</v>
      </c>
      <c r="B4601" s="18" t="n">
        <v>760134.517061139</v>
      </c>
      <c r="C4601" s="18" t="n">
        <v>0</v>
      </c>
      <c r="D4601" s="0" t="n">
        <v>0</v>
      </c>
      <c r="E4601" s="19" t="n">
        <v>47.6666666666667</v>
      </c>
    </row>
    <row r="4602" customFormat="false" ht="15" hidden="false" customHeight="false" outlineLevel="0" collapsed="false">
      <c r="A4602" s="0" t="n">
        <v>4601</v>
      </c>
      <c r="B4602" s="18" t="n">
        <v>600800.120281575</v>
      </c>
      <c r="C4602" s="18" t="n">
        <v>0</v>
      </c>
      <c r="D4602" s="0" t="n">
        <v>0</v>
      </c>
      <c r="E4602" s="19" t="n">
        <v>37.6666666666667</v>
      </c>
    </row>
    <row r="4603" customFormat="false" ht="15" hidden="false" customHeight="false" outlineLevel="0" collapsed="false">
      <c r="A4603" s="0" t="n">
        <v>4602</v>
      </c>
      <c r="B4603" s="18" t="n">
        <v>608174.954383944</v>
      </c>
      <c r="C4603" s="18" t="n">
        <v>0</v>
      </c>
      <c r="D4603" s="0" t="n">
        <v>0</v>
      </c>
      <c r="E4603" s="19" t="n">
        <v>41.75</v>
      </c>
    </row>
    <row r="4604" customFormat="false" ht="15" hidden="false" customHeight="false" outlineLevel="0" collapsed="false">
      <c r="A4604" s="0" t="n">
        <v>4603</v>
      </c>
      <c r="B4604" s="18" t="n">
        <v>865475.441204336</v>
      </c>
      <c r="C4604" s="18" t="n">
        <v>0</v>
      </c>
      <c r="D4604" s="0" t="n">
        <v>0</v>
      </c>
      <c r="E4604" s="19" t="n">
        <v>48.1666666666667</v>
      </c>
    </row>
    <row r="4605" customFormat="false" ht="15" hidden="false" customHeight="false" outlineLevel="0" collapsed="false">
      <c r="A4605" s="0" t="n">
        <v>4604</v>
      </c>
      <c r="B4605" s="18" t="n">
        <v>1769587.75617672</v>
      </c>
      <c r="C4605" s="18" t="n">
        <v>20256095.2253126</v>
      </c>
      <c r="D4605" s="0" t="n">
        <v>1</v>
      </c>
    </row>
    <row r="4606" customFormat="false" ht="15" hidden="false" customHeight="false" outlineLevel="0" collapsed="false">
      <c r="A4606" s="0" t="n">
        <v>4605</v>
      </c>
      <c r="B4606" s="18" t="n">
        <v>1135499.10488088</v>
      </c>
      <c r="C4606" s="18" t="n">
        <v>0</v>
      </c>
      <c r="D4606" s="0" t="n">
        <v>0</v>
      </c>
      <c r="E4606" s="19" t="n">
        <v>42.1666666666667</v>
      </c>
    </row>
    <row r="4607" customFormat="false" ht="15" hidden="false" customHeight="false" outlineLevel="0" collapsed="false">
      <c r="A4607" s="0" t="n">
        <v>4606</v>
      </c>
      <c r="B4607" s="18" t="n">
        <v>1139628.28039792</v>
      </c>
      <c r="C4607" s="18" t="n">
        <v>1738187.36516748</v>
      </c>
      <c r="D4607" s="0" t="n">
        <v>1</v>
      </c>
    </row>
    <row r="4608" customFormat="false" ht="15" hidden="false" customHeight="false" outlineLevel="0" collapsed="false">
      <c r="A4608" s="0" t="n">
        <v>4607</v>
      </c>
      <c r="B4608" s="18" t="n">
        <v>1822904.29117946</v>
      </c>
      <c r="C4608" s="18" t="n">
        <v>13538537.7466483</v>
      </c>
      <c r="D4608" s="0" t="n">
        <v>1</v>
      </c>
    </row>
    <row r="4609" customFormat="false" ht="15" hidden="false" customHeight="false" outlineLevel="0" collapsed="false">
      <c r="A4609" s="0" t="n">
        <v>4608</v>
      </c>
      <c r="B4609" s="18" t="n">
        <v>791375.395937659</v>
      </c>
      <c r="C4609" s="18" t="n">
        <v>0</v>
      </c>
      <c r="D4609" s="0" t="n">
        <v>0</v>
      </c>
      <c r="E4609" s="19" t="n">
        <v>46.3333333333333</v>
      </c>
    </row>
    <row r="4610" customFormat="false" ht="15" hidden="false" customHeight="false" outlineLevel="0" collapsed="false">
      <c r="A4610" s="0" t="n">
        <v>4609</v>
      </c>
      <c r="B4610" s="18" t="n">
        <v>571274.243665861</v>
      </c>
      <c r="C4610" s="18" t="n">
        <v>0</v>
      </c>
      <c r="D4610" s="0" t="n">
        <v>0</v>
      </c>
      <c r="E4610" s="19" t="n">
        <v>36.5</v>
      </c>
    </row>
    <row r="4611" customFormat="false" ht="15" hidden="false" customHeight="false" outlineLevel="0" collapsed="false">
      <c r="A4611" s="0" t="n">
        <v>4610</v>
      </c>
      <c r="B4611" s="18" t="n">
        <v>2642513.50367753</v>
      </c>
      <c r="C4611" s="18" t="n">
        <v>3686439.66943535</v>
      </c>
      <c r="D4611" s="0" t="n">
        <v>1</v>
      </c>
    </row>
    <row r="4612" customFormat="false" ht="15" hidden="false" customHeight="false" outlineLevel="0" collapsed="false">
      <c r="A4612" s="0" t="n">
        <v>4611</v>
      </c>
      <c r="B4612" s="18" t="n">
        <v>1679724.22351848</v>
      </c>
      <c r="C4612" s="18" t="n">
        <v>440619.423464724</v>
      </c>
      <c r="D4612" s="0" t="n">
        <v>1</v>
      </c>
    </row>
    <row r="4613" customFormat="false" ht="15" hidden="false" customHeight="false" outlineLevel="0" collapsed="false">
      <c r="A4613" s="0" t="n">
        <v>4612</v>
      </c>
      <c r="B4613" s="18" t="n">
        <v>715116.350206116</v>
      </c>
      <c r="C4613" s="18" t="n">
        <v>0</v>
      </c>
      <c r="D4613" s="0" t="n">
        <v>0</v>
      </c>
      <c r="E4613" s="19" t="n">
        <v>35.3333333333333</v>
      </c>
    </row>
    <row r="4614" customFormat="false" ht="15" hidden="false" customHeight="false" outlineLevel="0" collapsed="false">
      <c r="A4614" s="0" t="n">
        <v>4613</v>
      </c>
      <c r="B4614" s="18" t="n">
        <v>1150986.79354344</v>
      </c>
      <c r="C4614" s="18" t="n">
        <v>212442.334242346</v>
      </c>
      <c r="D4614" s="0" t="n">
        <v>1</v>
      </c>
    </row>
    <row r="4615" customFormat="false" ht="15" hidden="false" customHeight="false" outlineLevel="0" collapsed="false">
      <c r="A4615" s="0" t="n">
        <v>4614</v>
      </c>
      <c r="B4615" s="18" t="n">
        <v>1077574.0033214</v>
      </c>
      <c r="C4615" s="18" t="n">
        <v>3382187.22162239</v>
      </c>
      <c r="D4615" s="0" t="n">
        <v>1</v>
      </c>
    </row>
    <row r="4616" customFormat="false" ht="15" hidden="false" customHeight="false" outlineLevel="0" collapsed="false">
      <c r="A4616" s="0" t="n">
        <v>4615</v>
      </c>
      <c r="B4616" s="18" t="n">
        <v>1221227.2620785</v>
      </c>
      <c r="C4616" s="18" t="n">
        <v>1173043.08369684</v>
      </c>
      <c r="D4616" s="0" t="n">
        <v>1</v>
      </c>
    </row>
    <row r="4617" customFormat="false" ht="15" hidden="false" customHeight="false" outlineLevel="0" collapsed="false">
      <c r="A4617" s="0" t="n">
        <v>4616</v>
      </c>
      <c r="B4617" s="18" t="n">
        <v>813931.616599091</v>
      </c>
      <c r="C4617" s="18" t="n">
        <v>414728.916962496</v>
      </c>
      <c r="D4617" s="0" t="n">
        <v>1</v>
      </c>
    </row>
    <row r="4618" customFormat="false" ht="15" hidden="false" customHeight="false" outlineLevel="0" collapsed="false">
      <c r="A4618" s="0" t="n">
        <v>4617</v>
      </c>
      <c r="B4618" s="18" t="n">
        <v>692971.791891354</v>
      </c>
      <c r="C4618" s="18" t="n">
        <v>0</v>
      </c>
      <c r="D4618" s="0" t="n">
        <v>0</v>
      </c>
      <c r="E4618" s="19" t="n">
        <v>35.1666666666667</v>
      </c>
    </row>
    <row r="4619" customFormat="false" ht="15" hidden="false" customHeight="false" outlineLevel="0" collapsed="false">
      <c r="A4619" s="0" t="n">
        <v>4618</v>
      </c>
      <c r="B4619" s="18" t="n">
        <v>668421.513672219</v>
      </c>
      <c r="C4619" s="18" t="n">
        <v>0</v>
      </c>
      <c r="D4619" s="0" t="n">
        <v>0</v>
      </c>
      <c r="E4619" s="19" t="n">
        <v>36.25</v>
      </c>
    </row>
    <row r="4620" customFormat="false" ht="15" hidden="false" customHeight="false" outlineLevel="0" collapsed="false">
      <c r="A4620" s="0" t="n">
        <v>4619</v>
      </c>
      <c r="B4620" s="18" t="n">
        <v>2084294.11659821</v>
      </c>
      <c r="C4620" s="18" t="n">
        <v>7032884.34352438</v>
      </c>
      <c r="D4620" s="0" t="n">
        <v>1</v>
      </c>
    </row>
    <row r="4621" customFormat="false" ht="15" hidden="false" customHeight="false" outlineLevel="0" collapsed="false">
      <c r="A4621" s="0" t="n">
        <v>4620</v>
      </c>
      <c r="B4621" s="18" t="n">
        <v>1815864.56361092</v>
      </c>
      <c r="C4621" s="18" t="n">
        <v>4436841.62714825</v>
      </c>
      <c r="D4621" s="0" t="n">
        <v>1</v>
      </c>
    </row>
    <row r="4622" customFormat="false" ht="15" hidden="false" customHeight="false" outlineLevel="0" collapsed="false">
      <c r="A4622" s="0" t="n">
        <v>4621</v>
      </c>
      <c r="B4622" s="18" t="n">
        <v>933411.63946759</v>
      </c>
      <c r="C4622" s="18" t="n">
        <v>0</v>
      </c>
      <c r="D4622" s="0" t="n">
        <v>0</v>
      </c>
      <c r="E4622" s="19" t="n">
        <v>45.6666666666667</v>
      </c>
    </row>
    <row r="4623" customFormat="false" ht="15" hidden="false" customHeight="false" outlineLevel="0" collapsed="false">
      <c r="A4623" s="0" t="n">
        <v>4622</v>
      </c>
      <c r="B4623" s="18" t="n">
        <v>2396653.32578674</v>
      </c>
      <c r="C4623" s="18" t="n">
        <v>2827152.95220639</v>
      </c>
      <c r="D4623" s="0" t="n">
        <v>1</v>
      </c>
    </row>
    <row r="4624" customFormat="false" ht="15" hidden="false" customHeight="false" outlineLevel="0" collapsed="false">
      <c r="A4624" s="0" t="n">
        <v>4623</v>
      </c>
      <c r="B4624" s="18" t="n">
        <v>417830.665773342</v>
      </c>
      <c r="C4624" s="18" t="n">
        <v>0</v>
      </c>
      <c r="D4624" s="0" t="n">
        <v>0</v>
      </c>
      <c r="E4624" s="19" t="n">
        <v>41.1666666666667</v>
      </c>
    </row>
    <row r="4625" customFormat="false" ht="15" hidden="false" customHeight="false" outlineLevel="0" collapsed="false">
      <c r="A4625" s="0" t="n">
        <v>4624</v>
      </c>
      <c r="B4625" s="18" t="n">
        <v>637846.751131071</v>
      </c>
      <c r="C4625" s="18" t="n">
        <v>0</v>
      </c>
      <c r="D4625" s="0" t="n">
        <v>0</v>
      </c>
      <c r="E4625" s="19" t="n">
        <v>35.0833333333333</v>
      </c>
    </row>
    <row r="4626" customFormat="false" ht="15" hidden="false" customHeight="false" outlineLevel="0" collapsed="false">
      <c r="A4626" s="0" t="n">
        <v>4625</v>
      </c>
      <c r="B4626" s="18" t="n">
        <v>484439.152216977</v>
      </c>
      <c r="C4626" s="18" t="n">
        <v>0</v>
      </c>
      <c r="D4626" s="0" t="n">
        <v>0</v>
      </c>
      <c r="E4626" s="19" t="n">
        <v>32.4166666666667</v>
      </c>
    </row>
    <row r="4627" customFormat="false" ht="15" hidden="false" customHeight="false" outlineLevel="0" collapsed="false">
      <c r="A4627" s="0" t="n">
        <v>4626</v>
      </c>
      <c r="B4627" s="18" t="n">
        <v>1141787.56720232</v>
      </c>
      <c r="C4627" s="18" t="n">
        <v>0</v>
      </c>
      <c r="D4627" s="0" t="n">
        <v>0</v>
      </c>
      <c r="E4627" s="19" t="n">
        <v>45.25</v>
      </c>
    </row>
    <row r="4628" customFormat="false" ht="15" hidden="false" customHeight="false" outlineLevel="0" collapsed="false">
      <c r="A4628" s="0" t="n">
        <v>4627</v>
      </c>
      <c r="B4628" s="18" t="n">
        <v>627917.573228217</v>
      </c>
      <c r="C4628" s="18" t="n">
        <v>0</v>
      </c>
      <c r="D4628" s="0" t="n">
        <v>0</v>
      </c>
      <c r="E4628" s="19" t="n">
        <v>33.0833333333333</v>
      </c>
    </row>
    <row r="4629" customFormat="false" ht="15" hidden="false" customHeight="false" outlineLevel="0" collapsed="false">
      <c r="A4629" s="0" t="n">
        <v>4628</v>
      </c>
      <c r="B4629" s="18" t="n">
        <v>505271.130205999</v>
      </c>
      <c r="C4629" s="18" t="n">
        <v>0</v>
      </c>
      <c r="D4629" s="0" t="n">
        <v>0</v>
      </c>
      <c r="E4629" s="19" t="n">
        <v>39.8333333333333</v>
      </c>
    </row>
    <row r="4630" customFormat="false" ht="15" hidden="false" customHeight="false" outlineLevel="0" collapsed="false">
      <c r="A4630" s="0" t="n">
        <v>4629</v>
      </c>
      <c r="B4630" s="18" t="n">
        <v>408514.256374561</v>
      </c>
      <c r="C4630" s="18" t="n">
        <v>0</v>
      </c>
      <c r="D4630" s="0" t="n">
        <v>0</v>
      </c>
      <c r="E4630" s="19" t="n">
        <v>32.5</v>
      </c>
    </row>
    <row r="4631" customFormat="false" ht="15" hidden="false" customHeight="false" outlineLevel="0" collapsed="false">
      <c r="A4631" s="0" t="n">
        <v>4630</v>
      </c>
      <c r="B4631" s="18" t="n">
        <v>703017.669590527</v>
      </c>
      <c r="C4631" s="18" t="n">
        <v>0</v>
      </c>
      <c r="D4631" s="0" t="n">
        <v>0</v>
      </c>
      <c r="E4631" s="19" t="n">
        <v>50.25</v>
      </c>
    </row>
    <row r="4632" customFormat="false" ht="15" hidden="false" customHeight="false" outlineLevel="0" collapsed="false">
      <c r="A4632" s="0" t="n">
        <v>4631</v>
      </c>
      <c r="B4632" s="18" t="n">
        <v>1828979.82120002</v>
      </c>
      <c r="C4632" s="18" t="n">
        <v>62475.2865373114</v>
      </c>
      <c r="D4632" s="0" t="n">
        <v>1</v>
      </c>
    </row>
    <row r="4633" customFormat="false" ht="15" hidden="false" customHeight="false" outlineLevel="0" collapsed="false">
      <c r="A4633" s="0" t="n">
        <v>4632</v>
      </c>
      <c r="B4633" s="18" t="n">
        <v>487165.592981325</v>
      </c>
      <c r="C4633" s="18" t="n">
        <v>0</v>
      </c>
      <c r="D4633" s="0" t="n">
        <v>0</v>
      </c>
      <c r="E4633" s="19" t="n">
        <v>34.3333333333333</v>
      </c>
    </row>
    <row r="4634" customFormat="false" ht="15" hidden="false" customHeight="false" outlineLevel="0" collapsed="false">
      <c r="A4634" s="0" t="n">
        <v>4633</v>
      </c>
      <c r="B4634" s="18" t="n">
        <v>829965.463397318</v>
      </c>
      <c r="C4634" s="18" t="n">
        <v>0</v>
      </c>
      <c r="D4634" s="0" t="n">
        <v>0</v>
      </c>
      <c r="E4634" s="19" t="n">
        <v>54.4166666666667</v>
      </c>
    </row>
    <row r="4635" customFormat="false" ht="15" hidden="false" customHeight="false" outlineLevel="0" collapsed="false">
      <c r="A4635" s="0" t="n">
        <v>4634</v>
      </c>
      <c r="B4635" s="18" t="n">
        <v>1404505.34433205</v>
      </c>
      <c r="C4635" s="18" t="n">
        <v>1028599.34445207</v>
      </c>
      <c r="D4635" s="0" t="n">
        <v>1</v>
      </c>
    </row>
    <row r="4636" customFormat="false" ht="15" hidden="false" customHeight="false" outlineLevel="0" collapsed="false">
      <c r="A4636" s="0" t="n">
        <v>4635</v>
      </c>
      <c r="B4636" s="18" t="n">
        <v>809858.190994887</v>
      </c>
      <c r="C4636" s="18" t="n">
        <v>0</v>
      </c>
      <c r="D4636" s="0" t="n">
        <v>0</v>
      </c>
      <c r="E4636" s="19" t="n">
        <v>34.6666666666667</v>
      </c>
    </row>
    <row r="4637" customFormat="false" ht="15" hidden="false" customHeight="false" outlineLevel="0" collapsed="false">
      <c r="A4637" s="0" t="n">
        <v>4636</v>
      </c>
      <c r="B4637" s="18" t="n">
        <v>1952915.82116142</v>
      </c>
      <c r="C4637" s="18" t="n">
        <v>1506309.38285132</v>
      </c>
      <c r="D4637" s="0" t="n">
        <v>1</v>
      </c>
    </row>
    <row r="4638" customFormat="false" ht="15" hidden="false" customHeight="false" outlineLevel="0" collapsed="false">
      <c r="A4638" s="0" t="n">
        <v>4637</v>
      </c>
      <c r="B4638" s="18" t="n">
        <v>1066138.20827072</v>
      </c>
      <c r="C4638" s="18" t="n">
        <v>774940.157172861</v>
      </c>
      <c r="D4638" s="0" t="n">
        <v>1</v>
      </c>
    </row>
    <row r="4639" customFormat="false" ht="15" hidden="false" customHeight="false" outlineLevel="0" collapsed="false">
      <c r="A4639" s="0" t="n">
        <v>4638</v>
      </c>
      <c r="B4639" s="18" t="n">
        <v>858145.432744553</v>
      </c>
      <c r="C4639" s="18" t="n">
        <v>0</v>
      </c>
      <c r="D4639" s="0" t="n">
        <v>0</v>
      </c>
      <c r="E4639" s="19" t="n">
        <v>37.6666666666667</v>
      </c>
    </row>
    <row r="4640" customFormat="false" ht="15" hidden="false" customHeight="false" outlineLevel="0" collapsed="false">
      <c r="A4640" s="0" t="n">
        <v>4639</v>
      </c>
      <c r="B4640" s="18" t="n">
        <v>603713.778291896</v>
      </c>
      <c r="C4640" s="18" t="n">
        <v>0</v>
      </c>
      <c r="D4640" s="0" t="n">
        <v>0</v>
      </c>
      <c r="E4640" s="19" t="n">
        <v>34.3333333333333</v>
      </c>
    </row>
    <row r="4641" customFormat="false" ht="15" hidden="false" customHeight="false" outlineLevel="0" collapsed="false">
      <c r="A4641" s="0" t="n">
        <v>4640</v>
      </c>
      <c r="B4641" s="18" t="n">
        <v>1043744.99280427</v>
      </c>
      <c r="C4641" s="18" t="n">
        <v>0</v>
      </c>
      <c r="D4641" s="0" t="n">
        <v>0</v>
      </c>
      <c r="E4641" s="19" t="n">
        <v>45.1666666666667</v>
      </c>
    </row>
    <row r="4642" customFormat="false" ht="15" hidden="false" customHeight="false" outlineLevel="0" collapsed="false">
      <c r="A4642" s="0" t="n">
        <v>4641</v>
      </c>
      <c r="B4642" s="18" t="n">
        <v>668694.387396552</v>
      </c>
      <c r="C4642" s="18" t="n">
        <v>425013.821009338</v>
      </c>
      <c r="D4642" s="0" t="n">
        <v>1</v>
      </c>
    </row>
    <row r="4643" customFormat="false" ht="15" hidden="false" customHeight="false" outlineLevel="0" collapsed="false">
      <c r="A4643" s="0" t="n">
        <v>4642</v>
      </c>
      <c r="B4643" s="18" t="n">
        <v>2584467.14990395</v>
      </c>
      <c r="C4643" s="18" t="n">
        <v>7323394.78180445</v>
      </c>
      <c r="D4643" s="0" t="n">
        <v>1</v>
      </c>
    </row>
    <row r="4644" customFormat="false" ht="15" hidden="false" customHeight="false" outlineLevel="0" collapsed="false">
      <c r="A4644" s="0" t="n">
        <v>4643</v>
      </c>
      <c r="B4644" s="18" t="n">
        <v>494919.500172395</v>
      </c>
      <c r="C4644" s="18" t="n">
        <v>0</v>
      </c>
      <c r="D4644" s="0" t="n">
        <v>0</v>
      </c>
      <c r="E4644" s="19" t="n">
        <v>34.3333333333333</v>
      </c>
    </row>
    <row r="4645" customFormat="false" ht="15" hidden="false" customHeight="false" outlineLevel="0" collapsed="false">
      <c r="A4645" s="0" t="n">
        <v>4644</v>
      </c>
      <c r="B4645" s="18" t="n">
        <v>3750433.54487732</v>
      </c>
      <c r="C4645" s="18" t="n">
        <v>7123830.16258192</v>
      </c>
      <c r="D4645" s="0" t="n">
        <v>1</v>
      </c>
    </row>
    <row r="4646" customFormat="false" ht="15" hidden="false" customHeight="false" outlineLevel="0" collapsed="false">
      <c r="A4646" s="0" t="n">
        <v>4645</v>
      </c>
      <c r="B4646" s="18" t="n">
        <v>475444.40476032</v>
      </c>
      <c r="C4646" s="18" t="n">
        <v>0</v>
      </c>
      <c r="D4646" s="0" t="n">
        <v>0</v>
      </c>
      <c r="E4646" s="19" t="n">
        <v>37.1666666666667</v>
      </c>
    </row>
    <row r="4647" customFormat="false" ht="15" hidden="false" customHeight="false" outlineLevel="0" collapsed="false">
      <c r="A4647" s="0" t="n">
        <v>4646</v>
      </c>
      <c r="B4647" s="18" t="n">
        <v>651796.48105887</v>
      </c>
      <c r="C4647" s="18" t="n">
        <v>0</v>
      </c>
      <c r="D4647" s="0" t="n">
        <v>0</v>
      </c>
      <c r="E4647" s="19" t="n">
        <v>37.75</v>
      </c>
    </row>
    <row r="4648" customFormat="false" ht="15" hidden="false" customHeight="false" outlineLevel="0" collapsed="false">
      <c r="A4648" s="0" t="n">
        <v>4647</v>
      </c>
      <c r="B4648" s="18" t="n">
        <v>612436.997759681</v>
      </c>
      <c r="C4648" s="18" t="n">
        <v>0</v>
      </c>
      <c r="D4648" s="0" t="n">
        <v>0</v>
      </c>
      <c r="E4648" s="19" t="n">
        <v>38.1666666666667</v>
      </c>
    </row>
    <row r="4649" customFormat="false" ht="15" hidden="false" customHeight="false" outlineLevel="0" collapsed="false">
      <c r="A4649" s="0" t="n">
        <v>4648</v>
      </c>
      <c r="B4649" s="18" t="n">
        <v>684868.629576287</v>
      </c>
      <c r="C4649" s="18" t="n">
        <v>0</v>
      </c>
      <c r="D4649" s="0" t="n">
        <v>0</v>
      </c>
      <c r="E4649" s="19" t="n">
        <v>33.6666666666667</v>
      </c>
    </row>
    <row r="4650" customFormat="false" ht="15" hidden="false" customHeight="false" outlineLevel="0" collapsed="false">
      <c r="A4650" s="0" t="n">
        <v>4649</v>
      </c>
      <c r="B4650" s="18" t="n">
        <v>591194.752857492</v>
      </c>
      <c r="C4650" s="18" t="n">
        <v>1883037.32403404</v>
      </c>
      <c r="D4650" s="0" t="n">
        <v>1</v>
      </c>
    </row>
    <row r="4651" customFormat="false" ht="15" hidden="false" customHeight="false" outlineLevel="0" collapsed="false">
      <c r="A4651" s="0" t="n">
        <v>4650</v>
      </c>
      <c r="B4651" s="18" t="n">
        <v>772216.915741771</v>
      </c>
      <c r="C4651" s="18" t="n">
        <v>0</v>
      </c>
      <c r="D4651" s="0" t="n">
        <v>0</v>
      </c>
      <c r="E4651" s="19" t="n">
        <v>37.9166666666667</v>
      </c>
    </row>
    <row r="4652" customFormat="false" ht="15" hidden="false" customHeight="false" outlineLevel="0" collapsed="false">
      <c r="A4652" s="0" t="n">
        <v>4651</v>
      </c>
      <c r="B4652" s="18" t="n">
        <v>1094885.26415557</v>
      </c>
      <c r="C4652" s="18" t="n">
        <v>51496.1367060619</v>
      </c>
      <c r="D4652" s="0" t="n">
        <v>1</v>
      </c>
    </row>
    <row r="4653" customFormat="false" ht="15" hidden="false" customHeight="false" outlineLevel="0" collapsed="false">
      <c r="A4653" s="0" t="n">
        <v>4652</v>
      </c>
      <c r="B4653" s="18" t="n">
        <v>2017404.31243445</v>
      </c>
      <c r="C4653" s="18" t="n">
        <v>0</v>
      </c>
      <c r="D4653" s="0" t="n">
        <v>0</v>
      </c>
      <c r="E4653" s="19" t="n">
        <v>47.8333333333333</v>
      </c>
    </row>
    <row r="4654" customFormat="false" ht="15" hidden="false" customHeight="false" outlineLevel="0" collapsed="false">
      <c r="A4654" s="0" t="n">
        <v>4653</v>
      </c>
      <c r="B4654" s="18" t="n">
        <v>2078874.69089502</v>
      </c>
      <c r="C4654" s="18" t="n">
        <v>5188819.52723038</v>
      </c>
      <c r="D4654" s="0" t="n">
        <v>1</v>
      </c>
    </row>
    <row r="4655" customFormat="false" ht="15" hidden="false" customHeight="false" outlineLevel="0" collapsed="false">
      <c r="A4655" s="0" t="n">
        <v>4654</v>
      </c>
      <c r="B4655" s="18" t="n">
        <v>765535.901926835</v>
      </c>
      <c r="C4655" s="18" t="n">
        <v>0</v>
      </c>
      <c r="D4655" s="0" t="n">
        <v>0</v>
      </c>
      <c r="E4655" s="19" t="n">
        <v>36.8333333333333</v>
      </c>
    </row>
    <row r="4656" customFormat="false" ht="15" hidden="false" customHeight="false" outlineLevel="0" collapsed="false">
      <c r="A4656" s="0" t="n">
        <v>4655</v>
      </c>
      <c r="B4656" s="18" t="n">
        <v>3043118.68229145</v>
      </c>
      <c r="C4656" s="18" t="n">
        <v>8001347.75205482</v>
      </c>
      <c r="D4656" s="0" t="n">
        <v>1</v>
      </c>
    </row>
    <row r="4657" customFormat="false" ht="15" hidden="false" customHeight="false" outlineLevel="0" collapsed="false">
      <c r="A4657" s="0" t="n">
        <v>4656</v>
      </c>
      <c r="B4657" s="18" t="n">
        <v>797891.741310796</v>
      </c>
      <c r="C4657" s="18" t="n">
        <v>0</v>
      </c>
      <c r="D4657" s="0" t="n">
        <v>0</v>
      </c>
      <c r="E4657" s="19" t="n">
        <v>47.5</v>
      </c>
    </row>
    <row r="4658" customFormat="false" ht="15" hidden="false" customHeight="false" outlineLevel="0" collapsed="false">
      <c r="A4658" s="0" t="n">
        <v>4657</v>
      </c>
      <c r="B4658" s="18" t="n">
        <v>1239480.84504714</v>
      </c>
      <c r="C4658" s="18" t="n">
        <v>8047201.96321793</v>
      </c>
      <c r="D4658" s="0" t="n">
        <v>1</v>
      </c>
    </row>
    <row r="4659" customFormat="false" ht="15" hidden="false" customHeight="false" outlineLevel="0" collapsed="false">
      <c r="A4659" s="0" t="n">
        <v>4658</v>
      </c>
      <c r="B4659" s="18" t="n">
        <v>813593.239766611</v>
      </c>
      <c r="C4659" s="18" t="n">
        <v>0</v>
      </c>
      <c r="D4659" s="0" t="n">
        <v>0</v>
      </c>
      <c r="E4659" s="19" t="n">
        <v>39.5833333333333</v>
      </c>
    </row>
    <row r="4660" customFormat="false" ht="15" hidden="false" customHeight="false" outlineLevel="0" collapsed="false">
      <c r="A4660" s="0" t="n">
        <v>4659</v>
      </c>
      <c r="B4660" s="18" t="n">
        <v>384238.022132001</v>
      </c>
      <c r="C4660" s="18" t="n">
        <v>0</v>
      </c>
      <c r="D4660" s="0" t="n">
        <v>0</v>
      </c>
      <c r="E4660" s="19" t="n">
        <v>34.4166666666667</v>
      </c>
    </row>
    <row r="4661" customFormat="false" ht="15" hidden="false" customHeight="false" outlineLevel="0" collapsed="false">
      <c r="A4661" s="0" t="n">
        <v>4660</v>
      </c>
      <c r="B4661" s="18" t="n">
        <v>1019646.37241028</v>
      </c>
      <c r="C4661" s="18" t="n">
        <v>0</v>
      </c>
      <c r="D4661" s="0" t="n">
        <v>0</v>
      </c>
      <c r="E4661" s="19" t="n">
        <v>44.8333333333333</v>
      </c>
    </row>
    <row r="4662" customFormat="false" ht="15" hidden="false" customHeight="false" outlineLevel="0" collapsed="false">
      <c r="A4662" s="0" t="n">
        <v>4661</v>
      </c>
      <c r="B4662" s="18" t="n">
        <v>1135897.17490421</v>
      </c>
      <c r="C4662" s="18" t="n">
        <v>536678.476015346</v>
      </c>
      <c r="D4662" s="0" t="n">
        <v>1</v>
      </c>
    </row>
    <row r="4663" customFormat="false" ht="15" hidden="false" customHeight="false" outlineLevel="0" collapsed="false">
      <c r="A4663" s="0" t="n">
        <v>4662</v>
      </c>
      <c r="B4663" s="18" t="n">
        <v>359156.591143513</v>
      </c>
      <c r="C4663" s="18" t="n">
        <v>0</v>
      </c>
      <c r="D4663" s="0" t="n">
        <v>0</v>
      </c>
      <c r="E4663" s="19" t="n">
        <v>34.75</v>
      </c>
    </row>
    <row r="4664" customFormat="false" ht="15" hidden="false" customHeight="false" outlineLevel="0" collapsed="false">
      <c r="A4664" s="0" t="n">
        <v>4663</v>
      </c>
      <c r="B4664" s="18" t="n">
        <v>536951.442000152</v>
      </c>
      <c r="C4664" s="18" t="n">
        <v>0</v>
      </c>
      <c r="D4664" s="0" t="n">
        <v>0</v>
      </c>
      <c r="E4664" s="19" t="n">
        <v>36.3333333333333</v>
      </c>
    </row>
    <row r="4665" customFormat="false" ht="15" hidden="false" customHeight="false" outlineLevel="0" collapsed="false">
      <c r="A4665" s="0" t="n">
        <v>4664</v>
      </c>
      <c r="B4665" s="18" t="n">
        <v>1118035.52051672</v>
      </c>
      <c r="C4665" s="18" t="n">
        <v>908983.076403387</v>
      </c>
      <c r="D4665" s="0" t="n">
        <v>1</v>
      </c>
    </row>
    <row r="4666" customFormat="false" ht="15" hidden="false" customHeight="false" outlineLevel="0" collapsed="false">
      <c r="A4666" s="0" t="n">
        <v>4665</v>
      </c>
      <c r="B4666" s="18" t="n">
        <v>1036800.54539069</v>
      </c>
      <c r="C4666" s="18" t="n">
        <v>12204764.3148076</v>
      </c>
      <c r="D4666" s="0" t="n">
        <v>1</v>
      </c>
    </row>
    <row r="4667" customFormat="false" ht="15" hidden="false" customHeight="false" outlineLevel="0" collapsed="false">
      <c r="A4667" s="0" t="n">
        <v>4666</v>
      </c>
      <c r="B4667" s="18" t="n">
        <v>983763.190078633</v>
      </c>
      <c r="C4667" s="18" t="n">
        <v>0</v>
      </c>
      <c r="D4667" s="0" t="n">
        <v>0</v>
      </c>
      <c r="E4667" s="19" t="n">
        <v>50.5</v>
      </c>
    </row>
    <row r="4668" customFormat="false" ht="15" hidden="false" customHeight="false" outlineLevel="0" collapsed="false">
      <c r="A4668" s="0" t="n">
        <v>4667</v>
      </c>
      <c r="B4668" s="18" t="n">
        <v>833825.802780446</v>
      </c>
      <c r="C4668" s="18" t="n">
        <v>0</v>
      </c>
      <c r="D4668" s="0" t="n">
        <v>0</v>
      </c>
      <c r="E4668" s="19" t="n">
        <v>40.75</v>
      </c>
    </row>
    <row r="4669" customFormat="false" ht="15" hidden="false" customHeight="false" outlineLevel="0" collapsed="false">
      <c r="A4669" s="0" t="n">
        <v>4668</v>
      </c>
      <c r="B4669" s="18" t="n">
        <v>1044161.12849497</v>
      </c>
      <c r="C4669" s="18" t="n">
        <v>0</v>
      </c>
      <c r="D4669" s="0" t="n">
        <v>0</v>
      </c>
      <c r="E4669" s="19" t="n">
        <v>39.5</v>
      </c>
    </row>
    <row r="4670" customFormat="false" ht="15" hidden="false" customHeight="false" outlineLevel="0" collapsed="false">
      <c r="A4670" s="0" t="n">
        <v>4669</v>
      </c>
      <c r="B4670" s="18" t="n">
        <v>949002.320591951</v>
      </c>
      <c r="C4670" s="18" t="n">
        <v>0</v>
      </c>
      <c r="D4670" s="0" t="n">
        <v>0</v>
      </c>
      <c r="E4670" s="19" t="n">
        <v>46</v>
      </c>
    </row>
    <row r="4671" customFormat="false" ht="15" hidden="false" customHeight="false" outlineLevel="0" collapsed="false">
      <c r="A4671" s="0" t="n">
        <v>4670</v>
      </c>
      <c r="B4671" s="18" t="n">
        <v>614516.172016825</v>
      </c>
      <c r="C4671" s="18" t="n">
        <v>0</v>
      </c>
      <c r="D4671" s="0" t="n">
        <v>0</v>
      </c>
      <c r="E4671" s="19" t="n">
        <v>34.6666666666667</v>
      </c>
    </row>
    <row r="4672" customFormat="false" ht="15" hidden="false" customHeight="false" outlineLevel="0" collapsed="false">
      <c r="A4672" s="0" t="n">
        <v>4671</v>
      </c>
      <c r="B4672" s="18" t="n">
        <v>537386.597077443</v>
      </c>
      <c r="C4672" s="18" t="n">
        <v>0</v>
      </c>
      <c r="D4672" s="0" t="n">
        <v>0</v>
      </c>
      <c r="E4672" s="19" t="n">
        <v>36.1666666666667</v>
      </c>
    </row>
    <row r="4673" customFormat="false" ht="15" hidden="false" customHeight="false" outlineLevel="0" collapsed="false">
      <c r="A4673" s="0" t="n">
        <v>4672</v>
      </c>
      <c r="B4673" s="18" t="n">
        <v>1451238.64950768</v>
      </c>
      <c r="C4673" s="18" t="n">
        <v>0</v>
      </c>
      <c r="D4673" s="0" t="n">
        <v>0</v>
      </c>
      <c r="E4673" s="19" t="n">
        <v>51.4166666666667</v>
      </c>
    </row>
    <row r="4674" customFormat="false" ht="15" hidden="false" customHeight="false" outlineLevel="0" collapsed="false">
      <c r="A4674" s="0" t="n">
        <v>4673</v>
      </c>
      <c r="B4674" s="18" t="n">
        <v>1393906.52926851</v>
      </c>
      <c r="C4674" s="18" t="n">
        <v>1391766.83093623</v>
      </c>
      <c r="D4674" s="0" t="n">
        <v>1</v>
      </c>
    </row>
    <row r="4675" customFormat="false" ht="15" hidden="false" customHeight="false" outlineLevel="0" collapsed="false">
      <c r="A4675" s="0" t="n">
        <v>4674</v>
      </c>
      <c r="B4675" s="18" t="n">
        <v>2444569.92129914</v>
      </c>
      <c r="C4675" s="18" t="n">
        <v>21742124.0742253</v>
      </c>
      <c r="D4675" s="0" t="n">
        <v>1</v>
      </c>
    </row>
    <row r="4676" customFormat="false" ht="15" hidden="false" customHeight="false" outlineLevel="0" collapsed="false">
      <c r="A4676" s="0" t="n">
        <v>4675</v>
      </c>
      <c r="B4676" s="18" t="n">
        <v>557969.250075623</v>
      </c>
      <c r="C4676" s="18" t="n">
        <v>0</v>
      </c>
      <c r="D4676" s="0" t="n">
        <v>0</v>
      </c>
      <c r="E4676" s="19" t="n">
        <v>32.5833333333333</v>
      </c>
    </row>
    <row r="4677" customFormat="false" ht="15" hidden="false" customHeight="false" outlineLevel="0" collapsed="false">
      <c r="A4677" s="0" t="n">
        <v>4676</v>
      </c>
      <c r="B4677" s="18" t="n">
        <v>556326.332186503</v>
      </c>
      <c r="C4677" s="18" t="n">
        <v>4363315.96943372</v>
      </c>
      <c r="D4677" s="0" t="n">
        <v>1</v>
      </c>
    </row>
    <row r="4678" customFormat="false" ht="15" hidden="false" customHeight="false" outlineLevel="0" collapsed="false">
      <c r="A4678" s="0" t="n">
        <v>4677</v>
      </c>
      <c r="B4678" s="18" t="n">
        <v>752285.290574024</v>
      </c>
      <c r="C4678" s="18" t="n">
        <v>426965.031038139</v>
      </c>
      <c r="D4678" s="0" t="n">
        <v>1</v>
      </c>
    </row>
    <row r="4679" customFormat="false" ht="15" hidden="false" customHeight="false" outlineLevel="0" collapsed="false">
      <c r="A4679" s="0" t="n">
        <v>4678</v>
      </c>
      <c r="B4679" s="18" t="n">
        <v>1096728.6452283</v>
      </c>
      <c r="C4679" s="18" t="n">
        <v>14552514.0697635</v>
      </c>
      <c r="D4679" s="0" t="n">
        <v>1</v>
      </c>
    </row>
    <row r="4680" customFormat="false" ht="15" hidden="false" customHeight="false" outlineLevel="0" collapsed="false">
      <c r="A4680" s="0" t="n">
        <v>4679</v>
      </c>
      <c r="B4680" s="18" t="n">
        <v>610362.442682981</v>
      </c>
      <c r="C4680" s="18" t="n">
        <v>0</v>
      </c>
      <c r="D4680" s="0" t="n">
        <v>0</v>
      </c>
      <c r="E4680" s="19" t="n">
        <v>43.9166666666667</v>
      </c>
    </row>
    <row r="4681" customFormat="false" ht="15" hidden="false" customHeight="false" outlineLevel="0" collapsed="false">
      <c r="A4681" s="0" t="n">
        <v>4680</v>
      </c>
      <c r="B4681" s="18" t="n">
        <v>1561602.8419433</v>
      </c>
      <c r="C4681" s="18" t="n">
        <v>5446513.33483706</v>
      </c>
      <c r="D4681" s="0" t="n">
        <v>1</v>
      </c>
    </row>
    <row r="4682" customFormat="false" ht="15" hidden="false" customHeight="false" outlineLevel="0" collapsed="false">
      <c r="A4682" s="0" t="n">
        <v>4681</v>
      </c>
      <c r="B4682" s="18" t="n">
        <v>408755.958886457</v>
      </c>
      <c r="C4682" s="18" t="n">
        <v>0</v>
      </c>
      <c r="D4682" s="0" t="n">
        <v>0</v>
      </c>
      <c r="E4682" s="19" t="n">
        <v>30.5</v>
      </c>
    </row>
    <row r="4683" customFormat="false" ht="15" hidden="false" customHeight="false" outlineLevel="0" collapsed="false">
      <c r="A4683" s="0" t="n">
        <v>4682</v>
      </c>
      <c r="B4683" s="18" t="n">
        <v>2459349.42732336</v>
      </c>
      <c r="C4683" s="18" t="n">
        <v>924564.692788075</v>
      </c>
      <c r="D4683" s="0" t="n">
        <v>1</v>
      </c>
    </row>
    <row r="4684" customFormat="false" ht="15" hidden="false" customHeight="false" outlineLevel="0" collapsed="false">
      <c r="A4684" s="0" t="n">
        <v>4683</v>
      </c>
      <c r="B4684" s="18" t="n">
        <v>584870.212230679</v>
      </c>
      <c r="C4684" s="18" t="n">
        <v>0</v>
      </c>
      <c r="D4684" s="0" t="n">
        <v>0</v>
      </c>
      <c r="E4684" s="19" t="n">
        <v>31.3333333333333</v>
      </c>
    </row>
    <row r="4685" customFormat="false" ht="15" hidden="false" customHeight="false" outlineLevel="0" collapsed="false">
      <c r="A4685" s="0" t="n">
        <v>4684</v>
      </c>
      <c r="B4685" s="18" t="n">
        <v>979350.766306456</v>
      </c>
      <c r="C4685" s="18" t="n">
        <v>5134561.7974269</v>
      </c>
      <c r="D4685" s="0" t="n">
        <v>1</v>
      </c>
    </row>
    <row r="4686" customFormat="false" ht="15" hidden="false" customHeight="false" outlineLevel="0" collapsed="false">
      <c r="A4686" s="0" t="n">
        <v>4685</v>
      </c>
      <c r="B4686" s="18" t="n">
        <v>706195.865167705</v>
      </c>
      <c r="C4686" s="18" t="n">
        <v>0</v>
      </c>
      <c r="D4686" s="0" t="n">
        <v>0</v>
      </c>
      <c r="E4686" s="19" t="n">
        <v>49.6666666666667</v>
      </c>
    </row>
    <row r="4687" customFormat="false" ht="15" hidden="false" customHeight="false" outlineLevel="0" collapsed="false">
      <c r="A4687" s="0" t="n">
        <v>4686</v>
      </c>
      <c r="B4687" s="18" t="n">
        <v>622991.007768818</v>
      </c>
      <c r="C4687" s="18" t="n">
        <v>0</v>
      </c>
      <c r="D4687" s="0" t="n">
        <v>0</v>
      </c>
      <c r="E4687" s="19" t="n">
        <v>36.8333333333333</v>
      </c>
    </row>
    <row r="4688" customFormat="false" ht="15" hidden="false" customHeight="false" outlineLevel="0" collapsed="false">
      <c r="A4688" s="0" t="n">
        <v>4687</v>
      </c>
      <c r="B4688" s="18" t="n">
        <v>1806862.86298294</v>
      </c>
      <c r="C4688" s="18" t="n">
        <v>5660561.97515874</v>
      </c>
      <c r="D4688" s="0" t="n">
        <v>1</v>
      </c>
    </row>
    <row r="4689" customFormat="false" ht="15" hidden="false" customHeight="false" outlineLevel="0" collapsed="false">
      <c r="A4689" s="0" t="n">
        <v>4688</v>
      </c>
      <c r="B4689" s="18" t="n">
        <v>1044136.96261197</v>
      </c>
      <c r="C4689" s="18" t="n">
        <v>262291.770108828</v>
      </c>
      <c r="D4689" s="0" t="n">
        <v>1</v>
      </c>
    </row>
    <row r="4690" customFormat="false" ht="15" hidden="false" customHeight="false" outlineLevel="0" collapsed="false">
      <c r="A4690" s="0" t="n">
        <v>4689</v>
      </c>
      <c r="B4690" s="18" t="n">
        <v>1011368.74336237</v>
      </c>
      <c r="C4690" s="18" t="n">
        <v>0</v>
      </c>
      <c r="D4690" s="0" t="n">
        <v>0</v>
      </c>
      <c r="E4690" s="19" t="n">
        <v>52.1666666666667</v>
      </c>
    </row>
    <row r="4691" customFormat="false" ht="15" hidden="false" customHeight="false" outlineLevel="0" collapsed="false">
      <c r="A4691" s="0" t="n">
        <v>4690</v>
      </c>
      <c r="B4691" s="18" t="n">
        <v>452427.471769999</v>
      </c>
      <c r="C4691" s="18" t="n">
        <v>0</v>
      </c>
      <c r="D4691" s="0" t="n">
        <v>0</v>
      </c>
      <c r="E4691" s="19" t="n">
        <v>33.4166666666667</v>
      </c>
    </row>
    <row r="4692" customFormat="false" ht="15" hidden="false" customHeight="false" outlineLevel="0" collapsed="false">
      <c r="A4692" s="0" t="n">
        <v>4691</v>
      </c>
      <c r="B4692" s="18" t="n">
        <v>1218526.2363101</v>
      </c>
      <c r="C4692" s="18" t="n">
        <v>0</v>
      </c>
      <c r="D4692" s="0" t="n">
        <v>0</v>
      </c>
      <c r="E4692" s="19" t="n">
        <v>46.5833333333333</v>
      </c>
    </row>
    <row r="4693" customFormat="false" ht="15" hidden="false" customHeight="false" outlineLevel="0" collapsed="false">
      <c r="A4693" s="0" t="n">
        <v>4692</v>
      </c>
      <c r="B4693" s="18" t="n">
        <v>913362.565931771</v>
      </c>
      <c r="C4693" s="18" t="n">
        <v>0</v>
      </c>
      <c r="D4693" s="0" t="n">
        <v>0</v>
      </c>
      <c r="E4693" s="19" t="n">
        <v>45.75</v>
      </c>
    </row>
    <row r="4694" customFormat="false" ht="15" hidden="false" customHeight="false" outlineLevel="0" collapsed="false">
      <c r="A4694" s="0" t="n">
        <v>4693</v>
      </c>
      <c r="B4694" s="18" t="n">
        <v>1906427.68335883</v>
      </c>
      <c r="C4694" s="18" t="n">
        <v>1715930.10872367</v>
      </c>
      <c r="D4694" s="0" t="n">
        <v>1</v>
      </c>
    </row>
    <row r="4695" customFormat="false" ht="15" hidden="false" customHeight="false" outlineLevel="0" collapsed="false">
      <c r="A4695" s="0" t="n">
        <v>4694</v>
      </c>
      <c r="B4695" s="18" t="n">
        <v>1641712.41473497</v>
      </c>
      <c r="C4695" s="18" t="n">
        <v>6501844.22471967</v>
      </c>
      <c r="D4695" s="0" t="n">
        <v>1</v>
      </c>
    </row>
    <row r="4696" customFormat="false" ht="15" hidden="false" customHeight="false" outlineLevel="0" collapsed="false">
      <c r="A4696" s="0" t="n">
        <v>4695</v>
      </c>
      <c r="B4696" s="18" t="n">
        <v>1048783.19935126</v>
      </c>
      <c r="C4696" s="18" t="n">
        <v>0</v>
      </c>
      <c r="D4696" s="0" t="n">
        <v>0</v>
      </c>
      <c r="E4696" s="19" t="n">
        <v>48.5833333333333</v>
      </c>
    </row>
    <row r="4697" customFormat="false" ht="15" hidden="false" customHeight="false" outlineLevel="0" collapsed="false">
      <c r="A4697" s="0" t="n">
        <v>4696</v>
      </c>
      <c r="B4697" s="18" t="n">
        <v>331562.592546666</v>
      </c>
      <c r="C4697" s="18" t="n">
        <v>0</v>
      </c>
      <c r="D4697" s="0" t="n">
        <v>0</v>
      </c>
      <c r="E4697" s="19" t="n">
        <v>31.25</v>
      </c>
    </row>
    <row r="4698" customFormat="false" ht="15" hidden="false" customHeight="false" outlineLevel="0" collapsed="false">
      <c r="A4698" s="0" t="n">
        <v>4697</v>
      </c>
      <c r="B4698" s="18" t="n">
        <v>1159178.39512369</v>
      </c>
      <c r="C4698" s="18" t="n">
        <v>0</v>
      </c>
      <c r="D4698" s="0" t="n">
        <v>0</v>
      </c>
      <c r="E4698" s="19" t="n">
        <v>49.0833333333333</v>
      </c>
    </row>
    <row r="4699" customFormat="false" ht="15" hidden="false" customHeight="false" outlineLevel="0" collapsed="false">
      <c r="A4699" s="0" t="n">
        <v>4698</v>
      </c>
      <c r="B4699" s="18" t="n">
        <v>1270464.82539019</v>
      </c>
      <c r="C4699" s="18" t="n">
        <v>9626440.9746423</v>
      </c>
      <c r="D4699" s="0" t="n">
        <v>1</v>
      </c>
    </row>
    <row r="4700" customFormat="false" ht="15" hidden="false" customHeight="false" outlineLevel="0" collapsed="false">
      <c r="A4700" s="0" t="n">
        <v>4699</v>
      </c>
      <c r="B4700" s="18" t="n">
        <v>2789038.26587292</v>
      </c>
      <c r="C4700" s="18" t="n">
        <v>466880.849249268</v>
      </c>
      <c r="D4700" s="0" t="n">
        <v>1</v>
      </c>
    </row>
    <row r="4701" customFormat="false" ht="15" hidden="false" customHeight="false" outlineLevel="0" collapsed="false">
      <c r="A4701" s="0" t="n">
        <v>4700</v>
      </c>
      <c r="B4701" s="18" t="n">
        <v>1144475.29152498</v>
      </c>
      <c r="C4701" s="18" t="n">
        <v>9266474.80406661</v>
      </c>
      <c r="D4701" s="0" t="n">
        <v>1</v>
      </c>
    </row>
    <row r="4702" customFormat="false" ht="15" hidden="false" customHeight="false" outlineLevel="0" collapsed="false">
      <c r="A4702" s="0" t="n">
        <v>4701</v>
      </c>
      <c r="B4702" s="18" t="n">
        <v>1939087.69431206</v>
      </c>
      <c r="C4702" s="18" t="n">
        <v>16229147.4028892</v>
      </c>
      <c r="D4702" s="0" t="n">
        <v>1</v>
      </c>
    </row>
    <row r="4703" customFormat="false" ht="15" hidden="false" customHeight="false" outlineLevel="0" collapsed="false">
      <c r="A4703" s="0" t="n">
        <v>4702</v>
      </c>
      <c r="B4703" s="18" t="n">
        <v>441851.604381452</v>
      </c>
      <c r="C4703" s="18" t="n">
        <v>0</v>
      </c>
      <c r="D4703" s="0" t="n">
        <v>0</v>
      </c>
      <c r="E4703" s="19" t="n">
        <v>35.0833333333333</v>
      </c>
    </row>
    <row r="4704" customFormat="false" ht="15" hidden="false" customHeight="false" outlineLevel="0" collapsed="false">
      <c r="A4704" s="0" t="n">
        <v>4703</v>
      </c>
      <c r="B4704" s="18" t="n">
        <v>699817.143665911</v>
      </c>
      <c r="C4704" s="18" t="n">
        <v>0</v>
      </c>
      <c r="D4704" s="0" t="n">
        <v>0</v>
      </c>
      <c r="E4704" s="19" t="n">
        <v>44.1666666666667</v>
      </c>
    </row>
    <row r="4705" customFormat="false" ht="15" hidden="false" customHeight="false" outlineLevel="0" collapsed="false">
      <c r="A4705" s="0" t="n">
        <v>4704</v>
      </c>
      <c r="B4705" s="18" t="n">
        <v>377327.347606939</v>
      </c>
      <c r="C4705" s="18" t="n">
        <v>0</v>
      </c>
      <c r="D4705" s="0" t="n">
        <v>0</v>
      </c>
      <c r="E4705" s="19" t="n">
        <v>31.5</v>
      </c>
    </row>
    <row r="4706" customFormat="false" ht="15" hidden="false" customHeight="false" outlineLevel="0" collapsed="false">
      <c r="A4706" s="0" t="n">
        <v>4705</v>
      </c>
      <c r="B4706" s="18" t="n">
        <v>992619.624775581</v>
      </c>
      <c r="C4706" s="18" t="n">
        <v>0</v>
      </c>
      <c r="D4706" s="0" t="n">
        <v>0</v>
      </c>
      <c r="E4706" s="19" t="n">
        <v>36.0833333333333</v>
      </c>
    </row>
    <row r="4707" customFormat="false" ht="15" hidden="false" customHeight="false" outlineLevel="0" collapsed="false">
      <c r="A4707" s="0" t="n">
        <v>4706</v>
      </c>
      <c r="B4707" s="18" t="n">
        <v>3857128.43609889</v>
      </c>
      <c r="C4707" s="18" t="n">
        <v>11168954.7351982</v>
      </c>
      <c r="D4707" s="0" t="n">
        <v>1</v>
      </c>
    </row>
    <row r="4708" customFormat="false" ht="15" hidden="false" customHeight="false" outlineLevel="0" collapsed="false">
      <c r="A4708" s="0" t="n">
        <v>4707</v>
      </c>
      <c r="B4708" s="18" t="n">
        <v>657825.661274252</v>
      </c>
      <c r="C4708" s="18" t="n">
        <v>0</v>
      </c>
      <c r="D4708" s="0" t="n">
        <v>0</v>
      </c>
      <c r="E4708" s="19" t="n">
        <v>34.75</v>
      </c>
    </row>
    <row r="4709" customFormat="false" ht="15" hidden="false" customHeight="false" outlineLevel="0" collapsed="false">
      <c r="A4709" s="0" t="n">
        <v>4708</v>
      </c>
      <c r="B4709" s="18" t="n">
        <v>634391.274132491</v>
      </c>
      <c r="C4709" s="18" t="n">
        <v>0</v>
      </c>
      <c r="D4709" s="0" t="n">
        <v>0</v>
      </c>
      <c r="E4709" s="19" t="n">
        <v>41.75</v>
      </c>
    </row>
    <row r="4710" customFormat="false" ht="15" hidden="false" customHeight="false" outlineLevel="0" collapsed="false">
      <c r="A4710" s="0" t="n">
        <v>4709</v>
      </c>
      <c r="B4710" s="18" t="n">
        <v>781380.517174675</v>
      </c>
      <c r="C4710" s="18" t="n">
        <v>0</v>
      </c>
      <c r="D4710" s="0" t="n">
        <v>0</v>
      </c>
      <c r="E4710" s="19" t="n">
        <v>40.9166666666667</v>
      </c>
    </row>
    <row r="4711" customFormat="false" ht="15" hidden="false" customHeight="false" outlineLevel="0" collapsed="false">
      <c r="A4711" s="0" t="n">
        <v>4710</v>
      </c>
      <c r="B4711" s="18" t="n">
        <v>879833.154406747</v>
      </c>
      <c r="C4711" s="18" t="n">
        <v>1490126.78442574</v>
      </c>
      <c r="D4711" s="0" t="n">
        <v>1</v>
      </c>
    </row>
    <row r="4712" customFormat="false" ht="15" hidden="false" customHeight="false" outlineLevel="0" collapsed="false">
      <c r="A4712" s="0" t="n">
        <v>4711</v>
      </c>
      <c r="B4712" s="18" t="n">
        <v>1395141.15154853</v>
      </c>
      <c r="C4712" s="18" t="n">
        <v>1405252.06108235</v>
      </c>
      <c r="D4712" s="0" t="n">
        <v>1</v>
      </c>
    </row>
    <row r="4713" customFormat="false" ht="15" hidden="false" customHeight="false" outlineLevel="0" collapsed="false">
      <c r="A4713" s="0" t="n">
        <v>4712</v>
      </c>
      <c r="B4713" s="18" t="n">
        <v>1106322.17351311</v>
      </c>
      <c r="C4713" s="18" t="n">
        <v>0</v>
      </c>
      <c r="D4713" s="0" t="n">
        <v>0</v>
      </c>
      <c r="E4713" s="19" t="n">
        <v>46.8333333333333</v>
      </c>
    </row>
    <row r="4714" customFormat="false" ht="15" hidden="false" customHeight="false" outlineLevel="0" collapsed="false">
      <c r="A4714" s="0" t="n">
        <v>4713</v>
      </c>
      <c r="B4714" s="18" t="n">
        <v>586988.358424128</v>
      </c>
      <c r="C4714" s="18" t="n">
        <v>0</v>
      </c>
      <c r="D4714" s="0" t="n">
        <v>0</v>
      </c>
      <c r="E4714" s="19" t="n">
        <v>45.5833333333333</v>
      </c>
    </row>
    <row r="4715" customFormat="false" ht="15" hidden="false" customHeight="false" outlineLevel="0" collapsed="false">
      <c r="A4715" s="0" t="n">
        <v>4714</v>
      </c>
      <c r="B4715" s="18" t="n">
        <v>1060211.2061757</v>
      </c>
      <c r="C4715" s="18" t="n">
        <v>0</v>
      </c>
      <c r="D4715" s="0" t="n">
        <v>0</v>
      </c>
      <c r="E4715" s="19" t="n">
        <v>49</v>
      </c>
    </row>
    <row r="4716" customFormat="false" ht="15" hidden="false" customHeight="false" outlineLevel="0" collapsed="false">
      <c r="A4716" s="0" t="n">
        <v>4715</v>
      </c>
      <c r="B4716" s="18" t="n">
        <v>547163.278696373</v>
      </c>
      <c r="C4716" s="18" t="n">
        <v>0</v>
      </c>
      <c r="D4716" s="0" t="n">
        <v>0</v>
      </c>
      <c r="E4716" s="19" t="n">
        <v>43.8333333333333</v>
      </c>
    </row>
    <row r="4717" customFormat="false" ht="15" hidden="false" customHeight="false" outlineLevel="0" collapsed="false">
      <c r="A4717" s="0" t="n">
        <v>4716</v>
      </c>
      <c r="B4717" s="18" t="n">
        <v>1901567.88354064</v>
      </c>
      <c r="C4717" s="18" t="n">
        <v>9712897.03397438</v>
      </c>
      <c r="D4717" s="0" t="n">
        <v>1</v>
      </c>
    </row>
    <row r="4718" customFormat="false" ht="15" hidden="false" customHeight="false" outlineLevel="0" collapsed="false">
      <c r="A4718" s="0" t="n">
        <v>4717</v>
      </c>
      <c r="B4718" s="18" t="n">
        <v>922113.969528791</v>
      </c>
      <c r="C4718" s="18" t="n">
        <v>0</v>
      </c>
      <c r="D4718" s="0" t="n">
        <v>0</v>
      </c>
      <c r="E4718" s="19" t="n">
        <v>41.9166666666667</v>
      </c>
    </row>
    <row r="4719" customFormat="false" ht="15" hidden="false" customHeight="false" outlineLevel="0" collapsed="false">
      <c r="A4719" s="0" t="n">
        <v>4718</v>
      </c>
      <c r="B4719" s="18" t="n">
        <v>675877.161682602</v>
      </c>
      <c r="C4719" s="18" t="n">
        <v>0</v>
      </c>
      <c r="D4719" s="0" t="n">
        <v>0</v>
      </c>
      <c r="E4719" s="19" t="n">
        <v>42.5</v>
      </c>
    </row>
    <row r="4720" customFormat="false" ht="15" hidden="false" customHeight="false" outlineLevel="0" collapsed="false">
      <c r="A4720" s="0" t="n">
        <v>4719</v>
      </c>
      <c r="B4720" s="18" t="n">
        <v>824488.317143622</v>
      </c>
      <c r="C4720" s="18" t="n">
        <v>662125.414765068</v>
      </c>
      <c r="D4720" s="0" t="n">
        <v>1</v>
      </c>
    </row>
    <row r="4721" customFormat="false" ht="15" hidden="false" customHeight="false" outlineLevel="0" collapsed="false">
      <c r="A4721" s="0" t="n">
        <v>4720</v>
      </c>
      <c r="B4721" s="18" t="n">
        <v>992353.787215309</v>
      </c>
      <c r="C4721" s="18" t="n">
        <v>1924267.89495951</v>
      </c>
      <c r="D4721" s="0" t="n">
        <v>1</v>
      </c>
    </row>
    <row r="4722" customFormat="false" ht="15" hidden="false" customHeight="false" outlineLevel="0" collapsed="false">
      <c r="A4722" s="0" t="n">
        <v>4721</v>
      </c>
      <c r="B4722" s="18" t="n">
        <v>972476.883151661</v>
      </c>
      <c r="C4722" s="18" t="n">
        <v>0</v>
      </c>
      <c r="D4722" s="0" t="n">
        <v>0</v>
      </c>
      <c r="E4722" s="19" t="n">
        <v>40.1666666666667</v>
      </c>
    </row>
    <row r="4723" customFormat="false" ht="15" hidden="false" customHeight="false" outlineLevel="0" collapsed="false">
      <c r="A4723" s="0" t="n">
        <v>4722</v>
      </c>
      <c r="B4723" s="18" t="n">
        <v>1605575.21280451</v>
      </c>
      <c r="C4723" s="18" t="n">
        <v>4244532.25182979</v>
      </c>
      <c r="D4723" s="0" t="n">
        <v>1</v>
      </c>
    </row>
    <row r="4724" customFormat="false" ht="15" hidden="false" customHeight="false" outlineLevel="0" collapsed="false">
      <c r="A4724" s="0" t="n">
        <v>4723</v>
      </c>
      <c r="B4724" s="18" t="n">
        <v>504870.320158757</v>
      </c>
      <c r="C4724" s="18" t="n">
        <v>0</v>
      </c>
      <c r="D4724" s="0" t="n">
        <v>0</v>
      </c>
      <c r="E4724" s="19" t="n">
        <v>31.5</v>
      </c>
    </row>
    <row r="4725" customFormat="false" ht="15" hidden="false" customHeight="false" outlineLevel="0" collapsed="false">
      <c r="A4725" s="0" t="n">
        <v>4724</v>
      </c>
      <c r="B4725" s="18" t="n">
        <v>991415.487745603</v>
      </c>
      <c r="C4725" s="18" t="n">
        <v>0</v>
      </c>
      <c r="D4725" s="0" t="n">
        <v>0</v>
      </c>
      <c r="E4725" s="19" t="n">
        <v>46.1666666666667</v>
      </c>
    </row>
    <row r="4726" customFormat="false" ht="15" hidden="false" customHeight="false" outlineLevel="0" collapsed="false">
      <c r="A4726" s="0" t="n">
        <v>4725</v>
      </c>
      <c r="B4726" s="18" t="n">
        <v>1187807.72345218</v>
      </c>
      <c r="C4726" s="18" t="n">
        <v>0</v>
      </c>
      <c r="D4726" s="0" t="n">
        <v>0</v>
      </c>
      <c r="E4726" s="19" t="n">
        <v>38.5</v>
      </c>
    </row>
    <row r="4727" customFormat="false" ht="15" hidden="false" customHeight="false" outlineLevel="0" collapsed="false">
      <c r="A4727" s="0" t="n">
        <v>4726</v>
      </c>
      <c r="B4727" s="18" t="n">
        <v>2084221.3687034</v>
      </c>
      <c r="C4727" s="18" t="n">
        <v>25238846.1742784</v>
      </c>
      <c r="D4727" s="0" t="n">
        <v>1</v>
      </c>
    </row>
    <row r="4728" customFormat="false" ht="15" hidden="false" customHeight="false" outlineLevel="0" collapsed="false">
      <c r="A4728" s="0" t="n">
        <v>4727</v>
      </c>
      <c r="B4728" s="18" t="n">
        <v>369199.556368947</v>
      </c>
      <c r="C4728" s="18" t="n">
        <v>0</v>
      </c>
      <c r="D4728" s="0" t="n">
        <v>0</v>
      </c>
      <c r="E4728" s="19" t="n">
        <v>30.6666666666667</v>
      </c>
    </row>
    <row r="4729" customFormat="false" ht="15" hidden="false" customHeight="false" outlineLevel="0" collapsed="false">
      <c r="A4729" s="0" t="n">
        <v>4728</v>
      </c>
      <c r="B4729" s="18" t="n">
        <v>2622906.35959561</v>
      </c>
      <c r="C4729" s="18" t="n">
        <v>2378534.28672238</v>
      </c>
      <c r="D4729" s="0" t="n">
        <v>1</v>
      </c>
    </row>
    <row r="4730" customFormat="false" ht="15" hidden="false" customHeight="false" outlineLevel="0" collapsed="false">
      <c r="A4730" s="0" t="n">
        <v>4729</v>
      </c>
      <c r="B4730" s="18" t="n">
        <v>1253286.20529553</v>
      </c>
      <c r="C4730" s="18" t="n">
        <v>299664.424594419</v>
      </c>
      <c r="D4730" s="0" t="n">
        <v>1</v>
      </c>
    </row>
    <row r="4731" customFormat="false" ht="15" hidden="false" customHeight="false" outlineLevel="0" collapsed="false">
      <c r="A4731" s="0" t="n">
        <v>4730</v>
      </c>
      <c r="B4731" s="18" t="n">
        <v>439193.691071624</v>
      </c>
      <c r="C4731" s="18" t="n">
        <v>0</v>
      </c>
      <c r="D4731" s="0" t="n">
        <v>0</v>
      </c>
      <c r="E4731" s="19" t="n">
        <v>35.9166666666667</v>
      </c>
    </row>
    <row r="4732" customFormat="false" ht="15" hidden="false" customHeight="false" outlineLevel="0" collapsed="false">
      <c r="A4732" s="0" t="n">
        <v>4731</v>
      </c>
      <c r="B4732" s="18" t="n">
        <v>427970.619428484</v>
      </c>
      <c r="C4732" s="18" t="n">
        <v>0</v>
      </c>
      <c r="D4732" s="0" t="n">
        <v>0</v>
      </c>
      <c r="E4732" s="19" t="n">
        <v>35.6666666666667</v>
      </c>
    </row>
    <row r="4733" customFormat="false" ht="15" hidden="false" customHeight="false" outlineLevel="0" collapsed="false">
      <c r="A4733" s="0" t="n">
        <v>4732</v>
      </c>
      <c r="B4733" s="18" t="n">
        <v>2950270.42933263</v>
      </c>
      <c r="C4733" s="18" t="n">
        <v>6768693.2971557</v>
      </c>
      <c r="D4733" s="0" t="n">
        <v>1</v>
      </c>
    </row>
    <row r="4734" customFormat="false" ht="15" hidden="false" customHeight="false" outlineLevel="0" collapsed="false">
      <c r="A4734" s="0" t="n">
        <v>4733</v>
      </c>
      <c r="B4734" s="18" t="n">
        <v>923879.970935133</v>
      </c>
      <c r="C4734" s="18" t="n">
        <v>0</v>
      </c>
      <c r="D4734" s="0" t="n">
        <v>0</v>
      </c>
      <c r="E4734" s="19" t="n">
        <v>41.4166666666667</v>
      </c>
    </row>
    <row r="4735" customFormat="false" ht="15" hidden="false" customHeight="false" outlineLevel="0" collapsed="false">
      <c r="A4735" s="0" t="n">
        <v>4734</v>
      </c>
      <c r="B4735" s="18" t="n">
        <v>1627016.03712007</v>
      </c>
      <c r="C4735" s="18" t="n">
        <v>3960495.44236242</v>
      </c>
      <c r="D4735" s="0" t="n">
        <v>1</v>
      </c>
    </row>
    <row r="4736" customFormat="false" ht="15" hidden="false" customHeight="false" outlineLevel="0" collapsed="false">
      <c r="A4736" s="0" t="n">
        <v>4735</v>
      </c>
      <c r="B4736" s="18" t="n">
        <v>597499.873771307</v>
      </c>
      <c r="C4736" s="18" t="n">
        <v>0</v>
      </c>
      <c r="D4736" s="0" t="n">
        <v>0</v>
      </c>
      <c r="E4736" s="19" t="n">
        <v>38.5833333333333</v>
      </c>
    </row>
    <row r="4737" customFormat="false" ht="15" hidden="false" customHeight="false" outlineLevel="0" collapsed="false">
      <c r="A4737" s="0" t="n">
        <v>4736</v>
      </c>
      <c r="B4737" s="18" t="n">
        <v>1443727.76923397</v>
      </c>
      <c r="C4737" s="18" t="n">
        <v>8313727.33634622</v>
      </c>
      <c r="D4737" s="0" t="n">
        <v>1</v>
      </c>
    </row>
    <row r="4738" customFormat="false" ht="15" hidden="false" customHeight="false" outlineLevel="0" collapsed="false">
      <c r="A4738" s="0" t="n">
        <v>4737</v>
      </c>
      <c r="B4738" s="18" t="n">
        <v>482988.41372658</v>
      </c>
      <c r="C4738" s="18" t="n">
        <v>0</v>
      </c>
      <c r="D4738" s="0" t="n">
        <v>0</v>
      </c>
      <c r="E4738" s="19" t="n">
        <v>33.6666666666667</v>
      </c>
    </row>
    <row r="4739" customFormat="false" ht="15" hidden="false" customHeight="false" outlineLevel="0" collapsed="false">
      <c r="A4739" s="0" t="n">
        <v>4738</v>
      </c>
      <c r="B4739" s="18" t="n">
        <v>2061052.23186948</v>
      </c>
      <c r="C4739" s="18" t="n">
        <v>5433556.38820951</v>
      </c>
      <c r="D4739" s="0" t="n">
        <v>1</v>
      </c>
    </row>
    <row r="4740" customFormat="false" ht="15" hidden="false" customHeight="false" outlineLevel="0" collapsed="false">
      <c r="A4740" s="0" t="n">
        <v>4739</v>
      </c>
      <c r="B4740" s="18" t="n">
        <v>806096.249337359</v>
      </c>
      <c r="C4740" s="18" t="n">
        <v>0</v>
      </c>
      <c r="D4740" s="0" t="n">
        <v>0</v>
      </c>
      <c r="E4740" s="19" t="n">
        <v>36.5833333333333</v>
      </c>
    </row>
    <row r="4741" customFormat="false" ht="15" hidden="false" customHeight="false" outlineLevel="0" collapsed="false">
      <c r="A4741" s="0" t="n">
        <v>4740</v>
      </c>
      <c r="B4741" s="18" t="n">
        <v>892711.772019333</v>
      </c>
      <c r="C4741" s="18" t="n">
        <v>0</v>
      </c>
      <c r="D4741" s="0" t="n">
        <v>0</v>
      </c>
      <c r="E4741" s="19" t="n">
        <v>45.1666666666667</v>
      </c>
    </row>
    <row r="4742" customFormat="false" ht="15" hidden="false" customHeight="false" outlineLevel="0" collapsed="false">
      <c r="A4742" s="0" t="n">
        <v>4741</v>
      </c>
      <c r="B4742" s="18" t="n">
        <v>870907.599425892</v>
      </c>
      <c r="C4742" s="18" t="n">
        <v>1611122.4571483</v>
      </c>
      <c r="D4742" s="0" t="n">
        <v>1</v>
      </c>
    </row>
    <row r="4743" customFormat="false" ht="15" hidden="false" customHeight="false" outlineLevel="0" collapsed="false">
      <c r="A4743" s="0" t="n">
        <v>4742</v>
      </c>
      <c r="B4743" s="18" t="n">
        <v>364914.884271896</v>
      </c>
      <c r="C4743" s="18" t="n">
        <v>0</v>
      </c>
      <c r="D4743" s="0" t="n">
        <v>0</v>
      </c>
      <c r="E4743" s="19" t="n">
        <v>29.5</v>
      </c>
    </row>
    <row r="4744" customFormat="false" ht="15" hidden="false" customHeight="false" outlineLevel="0" collapsed="false">
      <c r="A4744" s="0" t="n">
        <v>4743</v>
      </c>
      <c r="B4744" s="18" t="n">
        <v>1151289.50593834</v>
      </c>
      <c r="C4744" s="18" t="n">
        <v>971919.363603274</v>
      </c>
      <c r="D4744" s="0" t="n">
        <v>1</v>
      </c>
    </row>
    <row r="4745" customFormat="false" ht="15" hidden="false" customHeight="false" outlineLevel="0" collapsed="false">
      <c r="A4745" s="0" t="n">
        <v>4744</v>
      </c>
      <c r="B4745" s="18" t="n">
        <v>819793.592239025</v>
      </c>
      <c r="C4745" s="18" t="n">
        <v>0</v>
      </c>
      <c r="D4745" s="0" t="n">
        <v>0</v>
      </c>
      <c r="E4745" s="19" t="n">
        <v>42.0833333333333</v>
      </c>
    </row>
    <row r="4746" customFormat="false" ht="15" hidden="false" customHeight="false" outlineLevel="0" collapsed="false">
      <c r="A4746" s="0" t="n">
        <v>4745</v>
      </c>
      <c r="B4746" s="18" t="n">
        <v>2154338.74747605</v>
      </c>
      <c r="C4746" s="18" t="n">
        <v>2295516.56749141</v>
      </c>
      <c r="D4746" s="0" t="n">
        <v>1</v>
      </c>
    </row>
    <row r="4747" customFormat="false" ht="15" hidden="false" customHeight="false" outlineLevel="0" collapsed="false">
      <c r="A4747" s="0" t="n">
        <v>4746</v>
      </c>
      <c r="B4747" s="18" t="n">
        <v>1025584.1473653</v>
      </c>
      <c r="C4747" s="18" t="n">
        <v>452372.434801703</v>
      </c>
      <c r="D4747" s="0" t="n">
        <v>1</v>
      </c>
    </row>
    <row r="4748" customFormat="false" ht="15" hidden="false" customHeight="false" outlineLevel="0" collapsed="false">
      <c r="A4748" s="0" t="n">
        <v>4747</v>
      </c>
      <c r="B4748" s="18" t="n">
        <v>679534.166306994</v>
      </c>
      <c r="C4748" s="18" t="n">
        <v>0</v>
      </c>
      <c r="D4748" s="0" t="n">
        <v>0</v>
      </c>
      <c r="E4748" s="19" t="n">
        <v>39</v>
      </c>
    </row>
    <row r="4749" customFormat="false" ht="15" hidden="false" customHeight="false" outlineLevel="0" collapsed="false">
      <c r="A4749" s="0" t="n">
        <v>4748</v>
      </c>
      <c r="B4749" s="18" t="n">
        <v>1211902.65420534</v>
      </c>
      <c r="C4749" s="18" t="n">
        <v>8461315.08635194</v>
      </c>
      <c r="D4749" s="0" t="n">
        <v>1</v>
      </c>
    </row>
    <row r="4750" customFormat="false" ht="15" hidden="false" customHeight="false" outlineLevel="0" collapsed="false">
      <c r="A4750" s="0" t="n">
        <v>4749</v>
      </c>
      <c r="B4750" s="18" t="n">
        <v>410415.101405544</v>
      </c>
      <c r="C4750" s="18" t="n">
        <v>0</v>
      </c>
      <c r="D4750" s="0" t="n">
        <v>0</v>
      </c>
      <c r="E4750" s="19" t="n">
        <v>33.5</v>
      </c>
    </row>
    <row r="4751" customFormat="false" ht="15" hidden="false" customHeight="false" outlineLevel="0" collapsed="false">
      <c r="A4751" s="0" t="n">
        <v>4750</v>
      </c>
      <c r="B4751" s="18" t="n">
        <v>775527.106459562</v>
      </c>
      <c r="C4751" s="18" t="n">
        <v>0</v>
      </c>
      <c r="D4751" s="0" t="n">
        <v>0</v>
      </c>
      <c r="E4751" s="19" t="n">
        <v>38.1666666666667</v>
      </c>
    </row>
    <row r="4752" customFormat="false" ht="15" hidden="false" customHeight="false" outlineLevel="0" collapsed="false">
      <c r="A4752" s="0" t="n">
        <v>4751</v>
      </c>
      <c r="B4752" s="18" t="n">
        <v>1016476.91107797</v>
      </c>
      <c r="C4752" s="18" t="n">
        <v>746950.268359426</v>
      </c>
      <c r="D4752" s="0" t="n">
        <v>1</v>
      </c>
    </row>
    <row r="4753" customFormat="false" ht="15" hidden="false" customHeight="false" outlineLevel="0" collapsed="false">
      <c r="A4753" s="0" t="n">
        <v>4752</v>
      </c>
      <c r="B4753" s="18" t="n">
        <v>714924.089907844</v>
      </c>
      <c r="C4753" s="18" t="n">
        <v>0</v>
      </c>
      <c r="D4753" s="0" t="n">
        <v>0</v>
      </c>
      <c r="E4753" s="19" t="n">
        <v>37</v>
      </c>
    </row>
    <row r="4754" customFormat="false" ht="15" hidden="false" customHeight="false" outlineLevel="0" collapsed="false">
      <c r="A4754" s="0" t="n">
        <v>4753</v>
      </c>
      <c r="B4754" s="18" t="n">
        <v>1084853.48733341</v>
      </c>
      <c r="C4754" s="18" t="n">
        <v>1567733.08969571</v>
      </c>
      <c r="D4754" s="0" t="n">
        <v>1</v>
      </c>
    </row>
    <row r="4755" customFormat="false" ht="15" hidden="false" customHeight="false" outlineLevel="0" collapsed="false">
      <c r="A4755" s="0" t="n">
        <v>4754</v>
      </c>
      <c r="B4755" s="18" t="n">
        <v>514893.615437889</v>
      </c>
      <c r="C4755" s="18" t="n">
        <v>0</v>
      </c>
      <c r="D4755" s="0" t="n">
        <v>0</v>
      </c>
      <c r="E4755" s="19" t="n">
        <v>30.6666666666667</v>
      </c>
    </row>
    <row r="4756" customFormat="false" ht="15" hidden="false" customHeight="false" outlineLevel="0" collapsed="false">
      <c r="A4756" s="0" t="n">
        <v>4755</v>
      </c>
      <c r="B4756" s="18" t="n">
        <v>515569.563505762</v>
      </c>
      <c r="C4756" s="18" t="n">
        <v>0</v>
      </c>
      <c r="D4756" s="0" t="n">
        <v>0</v>
      </c>
      <c r="E4756" s="19" t="n">
        <v>43.8333333333333</v>
      </c>
    </row>
    <row r="4757" customFormat="false" ht="15" hidden="false" customHeight="false" outlineLevel="0" collapsed="false">
      <c r="A4757" s="0" t="n">
        <v>4756</v>
      </c>
      <c r="B4757" s="18" t="n">
        <v>3048810.61670659</v>
      </c>
      <c r="C4757" s="18" t="n">
        <v>80787894.7020296</v>
      </c>
      <c r="D4757" s="0" t="n">
        <v>1</v>
      </c>
    </row>
    <row r="4758" customFormat="false" ht="15" hidden="false" customHeight="false" outlineLevel="0" collapsed="false">
      <c r="A4758" s="0" t="n">
        <v>4757</v>
      </c>
      <c r="B4758" s="18" t="n">
        <v>779569.715698254</v>
      </c>
      <c r="C4758" s="18" t="n">
        <v>0</v>
      </c>
      <c r="D4758" s="0" t="n">
        <v>0</v>
      </c>
      <c r="E4758" s="19" t="n">
        <v>36.9166666666667</v>
      </c>
    </row>
    <row r="4759" customFormat="false" ht="15" hidden="false" customHeight="false" outlineLevel="0" collapsed="false">
      <c r="A4759" s="0" t="n">
        <v>4758</v>
      </c>
      <c r="B4759" s="18" t="n">
        <v>2470457.36933097</v>
      </c>
      <c r="C4759" s="18" t="n">
        <v>0</v>
      </c>
      <c r="D4759" s="0" t="n">
        <v>0</v>
      </c>
      <c r="E4759" s="19" t="n">
        <v>51.75</v>
      </c>
    </row>
    <row r="4760" customFormat="false" ht="15" hidden="false" customHeight="false" outlineLevel="0" collapsed="false">
      <c r="A4760" s="0" t="n">
        <v>4759</v>
      </c>
      <c r="B4760" s="18" t="n">
        <v>747854.327631552</v>
      </c>
      <c r="C4760" s="18" t="n">
        <v>0</v>
      </c>
      <c r="D4760" s="0" t="n">
        <v>0</v>
      </c>
      <c r="E4760" s="19" t="n">
        <v>35.75</v>
      </c>
    </row>
    <row r="4761" customFormat="false" ht="15" hidden="false" customHeight="false" outlineLevel="0" collapsed="false">
      <c r="A4761" s="0" t="n">
        <v>4760</v>
      </c>
      <c r="B4761" s="18" t="n">
        <v>2955636.08816456</v>
      </c>
      <c r="C4761" s="18" t="n">
        <v>29993887.1788149</v>
      </c>
      <c r="D4761" s="0" t="n">
        <v>1</v>
      </c>
    </row>
    <row r="4762" customFormat="false" ht="15" hidden="false" customHeight="false" outlineLevel="0" collapsed="false">
      <c r="A4762" s="0" t="n">
        <v>4761</v>
      </c>
      <c r="B4762" s="18" t="n">
        <v>1544581.10851768</v>
      </c>
      <c r="C4762" s="18" t="n">
        <v>2033898.53147107</v>
      </c>
      <c r="D4762" s="0" t="n">
        <v>1</v>
      </c>
    </row>
    <row r="4763" customFormat="false" ht="15" hidden="false" customHeight="false" outlineLevel="0" collapsed="false">
      <c r="A4763" s="0" t="n">
        <v>4762</v>
      </c>
      <c r="B4763" s="18" t="n">
        <v>959996.64772374</v>
      </c>
      <c r="C4763" s="18" t="n">
        <v>0</v>
      </c>
      <c r="D4763" s="0" t="n">
        <v>0</v>
      </c>
      <c r="E4763" s="19" t="n">
        <v>39.4166666666667</v>
      </c>
    </row>
    <row r="4764" customFormat="false" ht="15" hidden="false" customHeight="false" outlineLevel="0" collapsed="false">
      <c r="A4764" s="0" t="n">
        <v>4763</v>
      </c>
      <c r="B4764" s="18" t="n">
        <v>645332.872907557</v>
      </c>
      <c r="C4764" s="18" t="n">
        <v>0</v>
      </c>
      <c r="D4764" s="0" t="n">
        <v>0</v>
      </c>
      <c r="E4764" s="19" t="n">
        <v>33.9166666666667</v>
      </c>
    </row>
    <row r="4765" customFormat="false" ht="15" hidden="false" customHeight="false" outlineLevel="0" collapsed="false">
      <c r="A4765" s="0" t="n">
        <v>4764</v>
      </c>
      <c r="B4765" s="18" t="n">
        <v>241237.805233002</v>
      </c>
      <c r="C4765" s="18" t="n">
        <v>0</v>
      </c>
      <c r="D4765" s="0" t="n">
        <v>0</v>
      </c>
      <c r="E4765" s="19" t="n">
        <v>28.9166666666667</v>
      </c>
    </row>
    <row r="4766" customFormat="false" ht="15" hidden="false" customHeight="false" outlineLevel="0" collapsed="false">
      <c r="A4766" s="0" t="n">
        <v>4765</v>
      </c>
      <c r="B4766" s="18" t="n">
        <v>561924.248536796</v>
      </c>
      <c r="C4766" s="18" t="n">
        <v>0</v>
      </c>
      <c r="D4766" s="0" t="n">
        <v>0</v>
      </c>
      <c r="E4766" s="19" t="n">
        <v>33.5</v>
      </c>
    </row>
    <row r="4767" customFormat="false" ht="15" hidden="false" customHeight="false" outlineLevel="0" collapsed="false">
      <c r="A4767" s="0" t="n">
        <v>4766</v>
      </c>
      <c r="B4767" s="18" t="n">
        <v>637620.47548034</v>
      </c>
      <c r="C4767" s="18" t="n">
        <v>0</v>
      </c>
      <c r="D4767" s="0" t="n">
        <v>0</v>
      </c>
      <c r="E4767" s="19" t="n">
        <v>35.0833333333333</v>
      </c>
    </row>
    <row r="4768" customFormat="false" ht="15" hidden="false" customHeight="false" outlineLevel="0" collapsed="false">
      <c r="A4768" s="0" t="n">
        <v>4767</v>
      </c>
      <c r="B4768" s="18" t="n">
        <v>394997.745163158</v>
      </c>
      <c r="C4768" s="18" t="n">
        <v>0</v>
      </c>
      <c r="D4768" s="0" t="n">
        <v>0</v>
      </c>
      <c r="E4768" s="19" t="n">
        <v>32.6666666666667</v>
      </c>
    </row>
    <row r="4769" customFormat="false" ht="15" hidden="false" customHeight="false" outlineLevel="0" collapsed="false">
      <c r="A4769" s="0" t="n">
        <v>4768</v>
      </c>
      <c r="B4769" s="18" t="n">
        <v>655894.182716009</v>
      </c>
      <c r="C4769" s="18" t="n">
        <v>0</v>
      </c>
      <c r="D4769" s="0" t="n">
        <v>0</v>
      </c>
      <c r="E4769" s="19" t="n">
        <v>34.5833333333333</v>
      </c>
    </row>
    <row r="4770" customFormat="false" ht="15" hidden="false" customHeight="false" outlineLevel="0" collapsed="false">
      <c r="A4770" s="0" t="n">
        <v>4769</v>
      </c>
      <c r="B4770" s="18" t="n">
        <v>1823786.753995</v>
      </c>
      <c r="C4770" s="18" t="n">
        <v>15961990.5514757</v>
      </c>
      <c r="D4770" s="0" t="n">
        <v>1</v>
      </c>
    </row>
    <row r="4771" customFormat="false" ht="15" hidden="false" customHeight="false" outlineLevel="0" collapsed="false">
      <c r="A4771" s="0" t="n">
        <v>4770</v>
      </c>
      <c r="B4771" s="18" t="n">
        <v>1196319.91297189</v>
      </c>
      <c r="C4771" s="18" t="n">
        <v>2659788.66316011</v>
      </c>
      <c r="D4771" s="0" t="n">
        <v>1</v>
      </c>
    </row>
    <row r="4772" customFormat="false" ht="15" hidden="false" customHeight="false" outlineLevel="0" collapsed="false">
      <c r="A4772" s="0" t="n">
        <v>4771</v>
      </c>
      <c r="B4772" s="18" t="n">
        <v>606528.249498933</v>
      </c>
      <c r="C4772" s="18" t="n">
        <v>0</v>
      </c>
      <c r="D4772" s="0" t="n">
        <v>0</v>
      </c>
      <c r="E4772" s="19" t="n">
        <v>37</v>
      </c>
    </row>
    <row r="4773" customFormat="false" ht="15" hidden="false" customHeight="false" outlineLevel="0" collapsed="false">
      <c r="A4773" s="0" t="n">
        <v>4772</v>
      </c>
      <c r="B4773" s="18" t="n">
        <v>619560.25686345</v>
      </c>
      <c r="C4773" s="18" t="n">
        <v>0</v>
      </c>
      <c r="D4773" s="0" t="n">
        <v>0</v>
      </c>
      <c r="E4773" s="19" t="n">
        <v>32.25</v>
      </c>
    </row>
    <row r="4774" customFormat="false" ht="15" hidden="false" customHeight="false" outlineLevel="0" collapsed="false">
      <c r="A4774" s="0" t="n">
        <v>4773</v>
      </c>
      <c r="B4774" s="18" t="n">
        <v>613114.066077902</v>
      </c>
      <c r="C4774" s="18" t="n">
        <v>0</v>
      </c>
      <c r="D4774" s="0" t="n">
        <v>0</v>
      </c>
      <c r="E4774" s="19" t="n">
        <v>40.3333333333333</v>
      </c>
    </row>
    <row r="4775" customFormat="false" ht="15" hidden="false" customHeight="false" outlineLevel="0" collapsed="false">
      <c r="A4775" s="0" t="n">
        <v>4774</v>
      </c>
      <c r="B4775" s="18" t="n">
        <v>936525.283962868</v>
      </c>
      <c r="C4775" s="18" t="n">
        <v>0</v>
      </c>
      <c r="D4775" s="0" t="n">
        <v>0</v>
      </c>
      <c r="E4775" s="19" t="n">
        <v>53.3333333333333</v>
      </c>
    </row>
    <row r="4776" customFormat="false" ht="15" hidden="false" customHeight="false" outlineLevel="0" collapsed="false">
      <c r="A4776" s="0" t="n">
        <v>4775</v>
      </c>
      <c r="B4776" s="18" t="n">
        <v>641626.919273258</v>
      </c>
      <c r="C4776" s="18" t="n">
        <v>0</v>
      </c>
      <c r="D4776" s="0" t="n">
        <v>0</v>
      </c>
      <c r="E4776" s="19" t="n">
        <v>44.4166666666667</v>
      </c>
    </row>
    <row r="4777" customFormat="false" ht="15" hidden="false" customHeight="false" outlineLevel="0" collapsed="false">
      <c r="A4777" s="0" t="n">
        <v>4776</v>
      </c>
      <c r="B4777" s="18" t="n">
        <v>546440.147564854</v>
      </c>
      <c r="C4777" s="18" t="n">
        <v>0</v>
      </c>
      <c r="D4777" s="0" t="n">
        <v>0</v>
      </c>
      <c r="E4777" s="19" t="n">
        <v>45.25</v>
      </c>
    </row>
    <row r="4778" customFormat="false" ht="15" hidden="false" customHeight="false" outlineLevel="0" collapsed="false">
      <c r="A4778" s="0" t="n">
        <v>4777</v>
      </c>
      <c r="B4778" s="18" t="n">
        <v>299470.375743033</v>
      </c>
      <c r="C4778" s="18" t="n">
        <v>0</v>
      </c>
      <c r="D4778" s="0" t="n">
        <v>0</v>
      </c>
      <c r="E4778" s="19" t="n">
        <v>30.5833333333333</v>
      </c>
    </row>
    <row r="4779" customFormat="false" ht="15" hidden="false" customHeight="false" outlineLevel="0" collapsed="false">
      <c r="A4779" s="0" t="n">
        <v>4778</v>
      </c>
      <c r="B4779" s="18" t="n">
        <v>1086461.57188866</v>
      </c>
      <c r="C4779" s="18" t="n">
        <v>0</v>
      </c>
      <c r="D4779" s="0" t="n">
        <v>0</v>
      </c>
      <c r="E4779" s="19" t="n">
        <v>44.75</v>
      </c>
    </row>
    <row r="4780" customFormat="false" ht="15" hidden="false" customHeight="false" outlineLevel="0" collapsed="false">
      <c r="A4780" s="0" t="n">
        <v>4779</v>
      </c>
      <c r="B4780" s="18" t="n">
        <v>666829.604843656</v>
      </c>
      <c r="C4780" s="18" t="n">
        <v>0</v>
      </c>
      <c r="D4780" s="0" t="n">
        <v>0</v>
      </c>
      <c r="E4780" s="19" t="n">
        <v>46.75</v>
      </c>
    </row>
    <row r="4781" customFormat="false" ht="15" hidden="false" customHeight="false" outlineLevel="0" collapsed="false">
      <c r="A4781" s="0" t="n">
        <v>4780</v>
      </c>
      <c r="B4781" s="18" t="n">
        <v>1552062.01008856</v>
      </c>
      <c r="C4781" s="18" t="n">
        <v>0</v>
      </c>
      <c r="D4781" s="0" t="n">
        <v>0</v>
      </c>
      <c r="E4781" s="19" t="n">
        <v>54</v>
      </c>
    </row>
    <row r="4782" customFormat="false" ht="15" hidden="false" customHeight="false" outlineLevel="0" collapsed="false">
      <c r="A4782" s="0" t="n">
        <v>4781</v>
      </c>
      <c r="B4782" s="18" t="n">
        <v>429740.18095153</v>
      </c>
      <c r="C4782" s="18" t="n">
        <v>0</v>
      </c>
      <c r="D4782" s="0" t="n">
        <v>0</v>
      </c>
      <c r="E4782" s="19" t="n">
        <v>32.4166666666667</v>
      </c>
    </row>
    <row r="4783" customFormat="false" ht="15" hidden="false" customHeight="false" outlineLevel="0" collapsed="false">
      <c r="A4783" s="0" t="n">
        <v>4782</v>
      </c>
      <c r="B4783" s="18" t="n">
        <v>1537020.65809025</v>
      </c>
      <c r="C4783" s="18" t="n">
        <v>2062271.59664334</v>
      </c>
      <c r="D4783" s="0" t="n">
        <v>1</v>
      </c>
    </row>
    <row r="4784" customFormat="false" ht="15" hidden="false" customHeight="false" outlineLevel="0" collapsed="false">
      <c r="A4784" s="0" t="n">
        <v>4783</v>
      </c>
      <c r="B4784" s="18" t="n">
        <v>1225705.50877137</v>
      </c>
      <c r="C4784" s="18" t="n">
        <v>4012233.14870138</v>
      </c>
      <c r="D4784" s="0" t="n">
        <v>1</v>
      </c>
    </row>
    <row r="4785" customFormat="false" ht="15" hidden="false" customHeight="false" outlineLevel="0" collapsed="false">
      <c r="A4785" s="0" t="n">
        <v>4784</v>
      </c>
      <c r="B4785" s="18" t="n">
        <v>1336726.09879875</v>
      </c>
      <c r="C4785" s="18" t="n">
        <v>0</v>
      </c>
      <c r="D4785" s="0" t="n">
        <v>0</v>
      </c>
      <c r="E4785" s="19" t="n">
        <v>54.3333333333333</v>
      </c>
    </row>
    <row r="4786" customFormat="false" ht="15" hidden="false" customHeight="false" outlineLevel="0" collapsed="false">
      <c r="A4786" s="0" t="n">
        <v>4785</v>
      </c>
      <c r="B4786" s="18" t="n">
        <v>522102.256536686</v>
      </c>
      <c r="C4786" s="18" t="n">
        <v>0</v>
      </c>
      <c r="D4786" s="0" t="n">
        <v>0</v>
      </c>
      <c r="E4786" s="19" t="n">
        <v>40.75</v>
      </c>
    </row>
    <row r="4787" customFormat="false" ht="15" hidden="false" customHeight="false" outlineLevel="0" collapsed="false">
      <c r="A4787" s="0" t="n">
        <v>4786</v>
      </c>
      <c r="B4787" s="18" t="n">
        <v>2214575.66808438</v>
      </c>
      <c r="C4787" s="18" t="n">
        <v>15919297.8354535</v>
      </c>
      <c r="D4787" s="0" t="n">
        <v>1</v>
      </c>
    </row>
    <row r="4788" customFormat="false" ht="15" hidden="false" customHeight="false" outlineLevel="0" collapsed="false">
      <c r="A4788" s="0" t="n">
        <v>4787</v>
      </c>
      <c r="B4788" s="18" t="n">
        <v>874667.475593326</v>
      </c>
      <c r="C4788" s="18" t="n">
        <v>678203.15669888</v>
      </c>
      <c r="D4788" s="0" t="n">
        <v>1</v>
      </c>
    </row>
    <row r="4789" customFormat="false" ht="15" hidden="false" customHeight="false" outlineLevel="0" collapsed="false">
      <c r="A4789" s="0" t="n">
        <v>4788</v>
      </c>
      <c r="B4789" s="18" t="n">
        <v>1060218.60750797</v>
      </c>
      <c r="C4789" s="18" t="n">
        <v>0</v>
      </c>
      <c r="D4789" s="0" t="n">
        <v>0</v>
      </c>
      <c r="E4789" s="19" t="n">
        <v>46.8333333333333</v>
      </c>
    </row>
    <row r="4790" customFormat="false" ht="15" hidden="false" customHeight="false" outlineLevel="0" collapsed="false">
      <c r="A4790" s="0" t="n">
        <v>4789</v>
      </c>
      <c r="B4790" s="18" t="n">
        <v>511067.826650226</v>
      </c>
      <c r="C4790" s="18" t="n">
        <v>0</v>
      </c>
      <c r="D4790" s="0" t="n">
        <v>0</v>
      </c>
      <c r="E4790" s="19" t="n">
        <v>33</v>
      </c>
    </row>
    <row r="4791" customFormat="false" ht="15" hidden="false" customHeight="false" outlineLevel="0" collapsed="false">
      <c r="A4791" s="0" t="n">
        <v>4790</v>
      </c>
      <c r="B4791" s="18" t="n">
        <v>1223544.71737025</v>
      </c>
      <c r="C4791" s="18" t="n">
        <v>0</v>
      </c>
      <c r="D4791" s="0" t="n">
        <v>0</v>
      </c>
      <c r="E4791" s="19" t="n">
        <v>47.9166666666667</v>
      </c>
    </row>
    <row r="4792" customFormat="false" ht="15" hidden="false" customHeight="false" outlineLevel="0" collapsed="false">
      <c r="A4792" s="0" t="n">
        <v>4791</v>
      </c>
      <c r="B4792" s="18" t="n">
        <v>1777739.80288656</v>
      </c>
      <c r="C4792" s="18" t="n">
        <v>0</v>
      </c>
      <c r="D4792" s="0" t="n">
        <v>0</v>
      </c>
      <c r="E4792" s="19" t="n">
        <v>40.75</v>
      </c>
    </row>
    <row r="4793" customFormat="false" ht="15" hidden="false" customHeight="false" outlineLevel="0" collapsed="false">
      <c r="A4793" s="0" t="n">
        <v>4792</v>
      </c>
      <c r="B4793" s="18" t="n">
        <v>692480.660708049</v>
      </c>
      <c r="C4793" s="18" t="n">
        <v>7004467.29299447</v>
      </c>
      <c r="D4793" s="0" t="n">
        <v>1</v>
      </c>
    </row>
    <row r="4794" customFormat="false" ht="15" hidden="false" customHeight="false" outlineLevel="0" collapsed="false">
      <c r="A4794" s="0" t="n">
        <v>4793</v>
      </c>
      <c r="B4794" s="18" t="n">
        <v>1344316.3540328</v>
      </c>
      <c r="C4794" s="18" t="n">
        <v>0</v>
      </c>
      <c r="D4794" s="0" t="n">
        <v>0</v>
      </c>
      <c r="E4794" s="19" t="n">
        <v>39.5</v>
      </c>
    </row>
    <row r="4795" customFormat="false" ht="15" hidden="false" customHeight="false" outlineLevel="0" collapsed="false">
      <c r="A4795" s="0" t="n">
        <v>4794</v>
      </c>
      <c r="B4795" s="18" t="n">
        <v>1284596.05388241</v>
      </c>
      <c r="C4795" s="18" t="n">
        <v>958672.05569193</v>
      </c>
      <c r="D4795" s="0" t="n">
        <v>1</v>
      </c>
    </row>
    <row r="4796" customFormat="false" ht="15" hidden="false" customHeight="false" outlineLevel="0" collapsed="false">
      <c r="A4796" s="0" t="n">
        <v>4795</v>
      </c>
      <c r="B4796" s="18" t="n">
        <v>579285.4978073</v>
      </c>
      <c r="C4796" s="18" t="n">
        <v>0</v>
      </c>
      <c r="D4796" s="0" t="n">
        <v>0</v>
      </c>
      <c r="E4796" s="19" t="n">
        <v>38.25</v>
      </c>
    </row>
    <row r="4797" customFormat="false" ht="15" hidden="false" customHeight="false" outlineLevel="0" collapsed="false">
      <c r="A4797" s="0" t="n">
        <v>4796</v>
      </c>
      <c r="B4797" s="18" t="n">
        <v>1387797.25641279</v>
      </c>
      <c r="C4797" s="18" t="n">
        <v>3181942.23537875</v>
      </c>
      <c r="D4797" s="0" t="n">
        <v>1</v>
      </c>
    </row>
    <row r="4798" customFormat="false" ht="15" hidden="false" customHeight="false" outlineLevel="0" collapsed="false">
      <c r="A4798" s="0" t="n">
        <v>4797</v>
      </c>
      <c r="B4798" s="18" t="n">
        <v>800904.02211091</v>
      </c>
      <c r="C4798" s="18" t="n">
        <v>0</v>
      </c>
      <c r="D4798" s="0" t="n">
        <v>0</v>
      </c>
      <c r="E4798" s="19" t="n">
        <v>38.75</v>
      </c>
    </row>
    <row r="4799" customFormat="false" ht="15" hidden="false" customHeight="false" outlineLevel="0" collapsed="false">
      <c r="A4799" s="0" t="n">
        <v>4798</v>
      </c>
      <c r="B4799" s="18" t="n">
        <v>881075.802980796</v>
      </c>
      <c r="C4799" s="18" t="n">
        <v>0</v>
      </c>
      <c r="D4799" s="0" t="n">
        <v>0</v>
      </c>
      <c r="E4799" s="19" t="n">
        <v>40.25</v>
      </c>
    </row>
    <row r="4800" customFormat="false" ht="15" hidden="false" customHeight="false" outlineLevel="0" collapsed="false">
      <c r="A4800" s="0" t="n">
        <v>4799</v>
      </c>
      <c r="B4800" s="18" t="n">
        <v>1487287.22760025</v>
      </c>
      <c r="C4800" s="18" t="n">
        <v>0</v>
      </c>
      <c r="D4800" s="0" t="n">
        <v>0</v>
      </c>
      <c r="E4800" s="19" t="n">
        <v>49.25</v>
      </c>
    </row>
    <row r="4801" customFormat="false" ht="15" hidden="false" customHeight="false" outlineLevel="0" collapsed="false">
      <c r="A4801" s="0" t="n">
        <v>4800</v>
      </c>
      <c r="B4801" s="18" t="n">
        <v>971286.657039697</v>
      </c>
      <c r="C4801" s="18" t="n">
        <v>0</v>
      </c>
      <c r="D4801" s="0" t="n">
        <v>0</v>
      </c>
      <c r="E4801" s="19" t="n">
        <v>53</v>
      </c>
    </row>
    <row r="4802" customFormat="false" ht="15" hidden="false" customHeight="false" outlineLevel="0" collapsed="false">
      <c r="A4802" s="0" t="n">
        <v>4801</v>
      </c>
      <c r="B4802" s="18" t="n">
        <v>2359690.68839444</v>
      </c>
      <c r="C4802" s="18" t="n">
        <v>9694452.38681132</v>
      </c>
      <c r="D4802" s="0" t="n">
        <v>1</v>
      </c>
    </row>
    <row r="4803" customFormat="false" ht="15" hidden="false" customHeight="false" outlineLevel="0" collapsed="false">
      <c r="A4803" s="0" t="n">
        <v>4802</v>
      </c>
      <c r="B4803" s="18" t="n">
        <v>409062.391117749</v>
      </c>
      <c r="C4803" s="18" t="n">
        <v>0</v>
      </c>
      <c r="D4803" s="0" t="n">
        <v>0</v>
      </c>
      <c r="E4803" s="19" t="n">
        <v>31.0833333333333</v>
      </c>
    </row>
    <row r="4804" customFormat="false" ht="15" hidden="false" customHeight="false" outlineLevel="0" collapsed="false">
      <c r="A4804" s="0" t="n">
        <v>4803</v>
      </c>
      <c r="B4804" s="18" t="n">
        <v>973576.519433187</v>
      </c>
      <c r="C4804" s="18" t="n">
        <v>0</v>
      </c>
      <c r="D4804" s="0" t="n">
        <v>0</v>
      </c>
      <c r="E4804" s="19" t="n">
        <v>50.9166666666667</v>
      </c>
    </row>
    <row r="4805" customFormat="false" ht="15" hidden="false" customHeight="false" outlineLevel="0" collapsed="false">
      <c r="A4805" s="0" t="n">
        <v>4804</v>
      </c>
      <c r="B4805" s="18" t="n">
        <v>1992480.29241317</v>
      </c>
      <c r="C4805" s="18" t="n">
        <v>0</v>
      </c>
      <c r="D4805" s="0" t="n">
        <v>0</v>
      </c>
      <c r="E4805" s="19" t="n">
        <v>48.75</v>
      </c>
    </row>
    <row r="4806" customFormat="false" ht="15" hidden="false" customHeight="false" outlineLevel="0" collapsed="false">
      <c r="A4806" s="0" t="n">
        <v>4805</v>
      </c>
      <c r="B4806" s="18" t="n">
        <v>807175.706681335</v>
      </c>
      <c r="C4806" s="18" t="n">
        <v>0</v>
      </c>
      <c r="D4806" s="0" t="n">
        <v>0</v>
      </c>
      <c r="E4806" s="19" t="n">
        <v>41.5</v>
      </c>
    </row>
    <row r="4807" customFormat="false" ht="15" hidden="false" customHeight="false" outlineLevel="0" collapsed="false">
      <c r="A4807" s="0" t="n">
        <v>4806</v>
      </c>
      <c r="B4807" s="18" t="n">
        <v>568274.586503498</v>
      </c>
      <c r="C4807" s="18" t="n">
        <v>0</v>
      </c>
      <c r="D4807" s="0" t="n">
        <v>0</v>
      </c>
      <c r="E4807" s="19" t="n">
        <v>36.5</v>
      </c>
    </row>
    <row r="4808" customFormat="false" ht="15" hidden="false" customHeight="false" outlineLevel="0" collapsed="false">
      <c r="A4808" s="0" t="n">
        <v>4807</v>
      </c>
      <c r="B4808" s="18" t="n">
        <v>547555.750499128</v>
      </c>
      <c r="C4808" s="18" t="n">
        <v>0</v>
      </c>
      <c r="D4808" s="0" t="n">
        <v>0</v>
      </c>
      <c r="E4808" s="19" t="n">
        <v>52.3333333333333</v>
      </c>
    </row>
    <row r="4809" customFormat="false" ht="15" hidden="false" customHeight="false" outlineLevel="0" collapsed="false">
      <c r="A4809" s="0" t="n">
        <v>4808</v>
      </c>
      <c r="B4809" s="18" t="n">
        <v>414056.256478893</v>
      </c>
      <c r="C4809" s="18" t="n">
        <v>0</v>
      </c>
      <c r="D4809" s="0" t="n">
        <v>0</v>
      </c>
      <c r="E4809" s="19" t="n">
        <v>30.8333333333333</v>
      </c>
    </row>
    <row r="4810" customFormat="false" ht="15" hidden="false" customHeight="false" outlineLevel="0" collapsed="false">
      <c r="A4810" s="0" t="n">
        <v>4809</v>
      </c>
      <c r="B4810" s="18" t="n">
        <v>924009.292732597</v>
      </c>
      <c r="C4810" s="18" t="n">
        <v>0</v>
      </c>
      <c r="D4810" s="0" t="n">
        <v>0</v>
      </c>
      <c r="E4810" s="19" t="n">
        <v>46.3333333333333</v>
      </c>
    </row>
    <row r="4811" customFormat="false" ht="15" hidden="false" customHeight="false" outlineLevel="0" collapsed="false">
      <c r="A4811" s="0" t="n">
        <v>4810</v>
      </c>
      <c r="B4811" s="18" t="n">
        <v>1498549.99573306</v>
      </c>
      <c r="C4811" s="18" t="n">
        <v>0</v>
      </c>
      <c r="D4811" s="0" t="n">
        <v>0</v>
      </c>
      <c r="E4811" s="19" t="n">
        <v>46.3333333333333</v>
      </c>
    </row>
    <row r="4812" customFormat="false" ht="15" hidden="false" customHeight="false" outlineLevel="0" collapsed="false">
      <c r="A4812" s="0" t="n">
        <v>4811</v>
      </c>
      <c r="B4812" s="18" t="n">
        <v>1977293.06705067</v>
      </c>
      <c r="C4812" s="18" t="n">
        <v>4257489.44082891</v>
      </c>
      <c r="D4812" s="0" t="n">
        <v>1</v>
      </c>
    </row>
    <row r="4813" customFormat="false" ht="15" hidden="false" customHeight="false" outlineLevel="0" collapsed="false">
      <c r="A4813" s="0" t="n">
        <v>4812</v>
      </c>
      <c r="B4813" s="18" t="n">
        <v>616248.609380343</v>
      </c>
      <c r="C4813" s="18" t="n">
        <v>0</v>
      </c>
      <c r="D4813" s="0" t="n">
        <v>0</v>
      </c>
      <c r="E4813" s="19" t="n">
        <v>34.0833333333333</v>
      </c>
    </row>
    <row r="4814" customFormat="false" ht="15" hidden="false" customHeight="false" outlineLevel="0" collapsed="false">
      <c r="A4814" s="0" t="n">
        <v>4813</v>
      </c>
      <c r="B4814" s="18" t="n">
        <v>848416.752253019</v>
      </c>
      <c r="C4814" s="18" t="n">
        <v>0</v>
      </c>
      <c r="D4814" s="0" t="n">
        <v>0</v>
      </c>
      <c r="E4814" s="19" t="n">
        <v>34.3333333333333</v>
      </c>
    </row>
    <row r="4815" customFormat="false" ht="15" hidden="false" customHeight="false" outlineLevel="0" collapsed="false">
      <c r="A4815" s="0" t="n">
        <v>4814</v>
      </c>
      <c r="B4815" s="18" t="n">
        <v>1215666.00703247</v>
      </c>
      <c r="C4815" s="18" t="n">
        <v>0</v>
      </c>
      <c r="D4815" s="0" t="n">
        <v>0</v>
      </c>
      <c r="E4815" s="19" t="n">
        <v>51.8333333333333</v>
      </c>
    </row>
    <row r="4816" customFormat="false" ht="15" hidden="false" customHeight="false" outlineLevel="0" collapsed="false">
      <c r="A4816" s="0" t="n">
        <v>4815</v>
      </c>
      <c r="B4816" s="18" t="n">
        <v>1048757.13785745</v>
      </c>
      <c r="C4816" s="18" t="n">
        <v>38441551.899657</v>
      </c>
      <c r="D4816" s="0" t="n">
        <v>1</v>
      </c>
    </row>
    <row r="4817" customFormat="false" ht="15" hidden="false" customHeight="false" outlineLevel="0" collapsed="false">
      <c r="A4817" s="0" t="n">
        <v>4816</v>
      </c>
      <c r="B4817" s="18" t="n">
        <v>1016618.61760209</v>
      </c>
      <c r="C4817" s="18" t="n">
        <v>0</v>
      </c>
      <c r="D4817" s="0" t="n">
        <v>0</v>
      </c>
      <c r="E4817" s="19" t="n">
        <v>54.75</v>
      </c>
    </row>
    <row r="4818" customFormat="false" ht="15" hidden="false" customHeight="false" outlineLevel="0" collapsed="false">
      <c r="A4818" s="0" t="n">
        <v>4817</v>
      </c>
      <c r="B4818" s="18" t="n">
        <v>436624.011267468</v>
      </c>
      <c r="C4818" s="18" t="n">
        <v>0</v>
      </c>
      <c r="D4818" s="0" t="n">
        <v>0</v>
      </c>
      <c r="E4818" s="19" t="n">
        <v>32.5</v>
      </c>
    </row>
    <row r="4819" customFormat="false" ht="15" hidden="false" customHeight="false" outlineLevel="0" collapsed="false">
      <c r="A4819" s="0" t="n">
        <v>4818</v>
      </c>
      <c r="B4819" s="18" t="n">
        <v>1081418.44528156</v>
      </c>
      <c r="C4819" s="18" t="n">
        <v>5697684.65473234</v>
      </c>
      <c r="D4819" s="0" t="n">
        <v>1</v>
      </c>
    </row>
    <row r="4820" customFormat="false" ht="15" hidden="false" customHeight="false" outlineLevel="0" collapsed="false">
      <c r="A4820" s="0" t="n">
        <v>4819</v>
      </c>
      <c r="B4820" s="18" t="n">
        <v>620281.863716223</v>
      </c>
      <c r="C4820" s="18" t="n">
        <v>0</v>
      </c>
      <c r="D4820" s="0" t="n">
        <v>0</v>
      </c>
      <c r="E4820" s="19" t="n">
        <v>40.5</v>
      </c>
    </row>
    <row r="4821" customFormat="false" ht="15" hidden="false" customHeight="false" outlineLevel="0" collapsed="false">
      <c r="A4821" s="0" t="n">
        <v>4820</v>
      </c>
      <c r="B4821" s="18" t="n">
        <v>1523747.9564971</v>
      </c>
      <c r="C4821" s="18" t="n">
        <v>0</v>
      </c>
      <c r="D4821" s="0" t="n">
        <v>0</v>
      </c>
      <c r="E4821" s="19" t="n">
        <v>49.75</v>
      </c>
    </row>
    <row r="4822" customFormat="false" ht="15" hidden="false" customHeight="false" outlineLevel="0" collapsed="false">
      <c r="A4822" s="0" t="n">
        <v>4821</v>
      </c>
      <c r="B4822" s="18" t="n">
        <v>3597766.72764457</v>
      </c>
      <c r="C4822" s="18" t="n">
        <v>6289267.35932711</v>
      </c>
      <c r="D4822" s="0" t="n">
        <v>1</v>
      </c>
    </row>
    <row r="4823" customFormat="false" ht="15" hidden="false" customHeight="false" outlineLevel="0" collapsed="false">
      <c r="A4823" s="0" t="n">
        <v>4822</v>
      </c>
      <c r="B4823" s="18" t="n">
        <v>2770357.22257255</v>
      </c>
      <c r="C4823" s="18" t="n">
        <v>19816946.8689525</v>
      </c>
      <c r="D4823" s="0" t="n">
        <v>1</v>
      </c>
    </row>
    <row r="4824" customFormat="false" ht="15" hidden="false" customHeight="false" outlineLevel="0" collapsed="false">
      <c r="A4824" s="0" t="n">
        <v>4823</v>
      </c>
      <c r="B4824" s="18" t="n">
        <v>832657.438014319</v>
      </c>
      <c r="C4824" s="18" t="n">
        <v>0</v>
      </c>
      <c r="D4824" s="0" t="n">
        <v>0</v>
      </c>
      <c r="E4824" s="19" t="n">
        <v>51.1666666666667</v>
      </c>
    </row>
    <row r="4825" customFormat="false" ht="15" hidden="false" customHeight="false" outlineLevel="0" collapsed="false">
      <c r="A4825" s="0" t="n">
        <v>4824</v>
      </c>
      <c r="B4825" s="18" t="n">
        <v>591616.978597968</v>
      </c>
      <c r="C4825" s="18" t="n">
        <v>0</v>
      </c>
      <c r="D4825" s="0" t="n">
        <v>0</v>
      </c>
      <c r="E4825" s="19" t="n">
        <v>36.9166666666667</v>
      </c>
    </row>
    <row r="4826" customFormat="false" ht="15" hidden="false" customHeight="false" outlineLevel="0" collapsed="false">
      <c r="A4826" s="0" t="n">
        <v>4825</v>
      </c>
      <c r="B4826" s="18" t="n">
        <v>269114.210470729</v>
      </c>
      <c r="C4826" s="18" t="n">
        <v>0</v>
      </c>
      <c r="D4826" s="0" t="n">
        <v>0</v>
      </c>
      <c r="E4826" s="19" t="n">
        <v>29.5</v>
      </c>
    </row>
    <row r="4827" customFormat="false" ht="15" hidden="false" customHeight="false" outlineLevel="0" collapsed="false">
      <c r="A4827" s="0" t="n">
        <v>4826</v>
      </c>
      <c r="B4827" s="18" t="n">
        <v>760318.474232618</v>
      </c>
      <c r="C4827" s="18" t="n">
        <v>0</v>
      </c>
      <c r="D4827" s="0" t="n">
        <v>0</v>
      </c>
      <c r="E4827" s="19" t="n">
        <v>40</v>
      </c>
    </row>
    <row r="4828" customFormat="false" ht="15" hidden="false" customHeight="false" outlineLevel="0" collapsed="false">
      <c r="A4828" s="0" t="n">
        <v>4827</v>
      </c>
      <c r="B4828" s="18" t="n">
        <v>688900.326517102</v>
      </c>
      <c r="C4828" s="18" t="n">
        <v>0</v>
      </c>
      <c r="D4828" s="0" t="n">
        <v>0</v>
      </c>
      <c r="E4828" s="19" t="n">
        <v>34.75</v>
      </c>
    </row>
    <row r="4829" customFormat="false" ht="15" hidden="false" customHeight="false" outlineLevel="0" collapsed="false">
      <c r="A4829" s="0" t="n">
        <v>4828</v>
      </c>
      <c r="B4829" s="18" t="n">
        <v>910964.96819964</v>
      </c>
      <c r="C4829" s="18" t="n">
        <v>0</v>
      </c>
      <c r="D4829" s="0" t="n">
        <v>0</v>
      </c>
      <c r="E4829" s="19" t="n">
        <v>46.5</v>
      </c>
    </row>
    <row r="4830" customFormat="false" ht="15" hidden="false" customHeight="false" outlineLevel="0" collapsed="false">
      <c r="A4830" s="0" t="n">
        <v>4829</v>
      </c>
      <c r="B4830" s="18" t="n">
        <v>710894.74480669</v>
      </c>
      <c r="C4830" s="18" t="n">
        <v>0</v>
      </c>
      <c r="D4830" s="0" t="n">
        <v>0</v>
      </c>
      <c r="E4830" s="19" t="n">
        <v>34.5</v>
      </c>
    </row>
    <row r="4831" customFormat="false" ht="15" hidden="false" customHeight="false" outlineLevel="0" collapsed="false">
      <c r="A4831" s="0" t="n">
        <v>4830</v>
      </c>
      <c r="B4831" s="18" t="n">
        <v>519246.408512067</v>
      </c>
      <c r="C4831" s="18" t="n">
        <v>0</v>
      </c>
      <c r="D4831" s="0" t="n">
        <v>0</v>
      </c>
      <c r="E4831" s="19" t="n">
        <v>36.9166666666667</v>
      </c>
    </row>
    <row r="4832" customFormat="false" ht="15" hidden="false" customHeight="false" outlineLevel="0" collapsed="false">
      <c r="A4832" s="0" t="n">
        <v>4831</v>
      </c>
      <c r="B4832" s="18" t="n">
        <v>427268.501502736</v>
      </c>
      <c r="C4832" s="18" t="n">
        <v>0</v>
      </c>
      <c r="D4832" s="0" t="n">
        <v>0</v>
      </c>
      <c r="E4832" s="19" t="n">
        <v>39.5</v>
      </c>
    </row>
    <row r="4833" customFormat="false" ht="15" hidden="false" customHeight="false" outlineLevel="0" collapsed="false">
      <c r="A4833" s="0" t="n">
        <v>4832</v>
      </c>
      <c r="B4833" s="18" t="n">
        <v>791887.075994171</v>
      </c>
      <c r="C4833" s="18" t="n">
        <v>0</v>
      </c>
      <c r="D4833" s="0" t="n">
        <v>0</v>
      </c>
      <c r="E4833" s="19" t="n">
        <v>37.8333333333333</v>
      </c>
    </row>
    <row r="4834" customFormat="false" ht="15" hidden="false" customHeight="false" outlineLevel="0" collapsed="false">
      <c r="A4834" s="0" t="n">
        <v>4833</v>
      </c>
      <c r="B4834" s="18" t="n">
        <v>1208844.42939817</v>
      </c>
      <c r="C4834" s="18" t="n">
        <v>0</v>
      </c>
      <c r="D4834" s="0" t="n">
        <v>0</v>
      </c>
      <c r="E4834" s="19" t="n">
        <v>45.75</v>
      </c>
    </row>
    <row r="4835" customFormat="false" ht="15" hidden="false" customHeight="false" outlineLevel="0" collapsed="false">
      <c r="A4835" s="0" t="n">
        <v>4834</v>
      </c>
      <c r="B4835" s="18" t="n">
        <v>1131849.02699963</v>
      </c>
      <c r="C4835" s="18" t="n">
        <v>1335419.71219503</v>
      </c>
      <c r="D4835" s="0" t="n">
        <v>1</v>
      </c>
    </row>
    <row r="4836" customFormat="false" ht="15" hidden="false" customHeight="false" outlineLevel="0" collapsed="false">
      <c r="A4836" s="0" t="n">
        <v>4835</v>
      </c>
      <c r="B4836" s="18" t="n">
        <v>554482.853120007</v>
      </c>
      <c r="C4836" s="18" t="n">
        <v>0</v>
      </c>
      <c r="D4836" s="0" t="n">
        <v>0</v>
      </c>
      <c r="E4836" s="19" t="n">
        <v>34</v>
      </c>
    </row>
    <row r="4837" customFormat="false" ht="15" hidden="false" customHeight="false" outlineLevel="0" collapsed="false">
      <c r="A4837" s="0" t="n">
        <v>4836</v>
      </c>
      <c r="B4837" s="18" t="n">
        <v>1156846.43137626</v>
      </c>
      <c r="C4837" s="18" t="n">
        <v>0</v>
      </c>
      <c r="D4837" s="0" t="n">
        <v>0</v>
      </c>
      <c r="E4837" s="19" t="n">
        <v>48.5833333333333</v>
      </c>
    </row>
    <row r="4838" customFormat="false" ht="15" hidden="false" customHeight="false" outlineLevel="0" collapsed="false">
      <c r="A4838" s="0" t="n">
        <v>4837</v>
      </c>
      <c r="B4838" s="18" t="n">
        <v>1226808.98760609</v>
      </c>
      <c r="C4838" s="18" t="n">
        <v>0</v>
      </c>
      <c r="D4838" s="0" t="n">
        <v>0</v>
      </c>
      <c r="E4838" s="19" t="n">
        <v>51.6666666666667</v>
      </c>
    </row>
    <row r="4839" customFormat="false" ht="15" hidden="false" customHeight="false" outlineLevel="0" collapsed="false">
      <c r="A4839" s="0" t="n">
        <v>4838</v>
      </c>
      <c r="B4839" s="18" t="n">
        <v>690867.247452875</v>
      </c>
      <c r="C4839" s="18" t="n">
        <v>0</v>
      </c>
      <c r="D4839" s="0" t="n">
        <v>0</v>
      </c>
      <c r="E4839" s="19" t="n">
        <v>34.6666666666667</v>
      </c>
    </row>
    <row r="4840" customFormat="false" ht="15" hidden="false" customHeight="false" outlineLevel="0" collapsed="false">
      <c r="A4840" s="0" t="n">
        <v>4839</v>
      </c>
      <c r="B4840" s="18" t="n">
        <v>1159593.04384583</v>
      </c>
      <c r="C4840" s="18" t="n">
        <v>21855217.1237069</v>
      </c>
      <c r="D4840" s="0" t="n">
        <v>1</v>
      </c>
    </row>
    <row r="4841" customFormat="false" ht="15" hidden="false" customHeight="false" outlineLevel="0" collapsed="false">
      <c r="A4841" s="0" t="n">
        <v>4840</v>
      </c>
      <c r="B4841" s="18" t="n">
        <v>863343.860975999</v>
      </c>
      <c r="C4841" s="18" t="n">
        <v>0</v>
      </c>
      <c r="D4841" s="0" t="n">
        <v>0</v>
      </c>
      <c r="E4841" s="19" t="n">
        <v>39.1666666666667</v>
      </c>
    </row>
    <row r="4842" customFormat="false" ht="15" hidden="false" customHeight="false" outlineLevel="0" collapsed="false">
      <c r="A4842" s="0" t="n">
        <v>4841</v>
      </c>
      <c r="B4842" s="18" t="n">
        <v>759194.959147669</v>
      </c>
      <c r="C4842" s="18" t="n">
        <v>0</v>
      </c>
      <c r="D4842" s="0" t="n">
        <v>0</v>
      </c>
      <c r="E4842" s="19" t="n">
        <v>45.1666666666667</v>
      </c>
    </row>
    <row r="4843" customFormat="false" ht="15" hidden="false" customHeight="false" outlineLevel="0" collapsed="false">
      <c r="A4843" s="0" t="n">
        <v>4842</v>
      </c>
      <c r="B4843" s="18" t="n">
        <v>607266.157002954</v>
      </c>
      <c r="C4843" s="18" t="n">
        <v>0</v>
      </c>
      <c r="D4843" s="0" t="n">
        <v>0</v>
      </c>
      <c r="E4843" s="19" t="n">
        <v>41</v>
      </c>
    </row>
    <row r="4844" customFormat="false" ht="15" hidden="false" customHeight="false" outlineLevel="0" collapsed="false">
      <c r="A4844" s="0" t="n">
        <v>4843</v>
      </c>
      <c r="B4844" s="18" t="n">
        <v>1167966.3595291</v>
      </c>
      <c r="C4844" s="18" t="n">
        <v>0</v>
      </c>
      <c r="D4844" s="0" t="n">
        <v>0</v>
      </c>
      <c r="E4844" s="19" t="n">
        <v>46.9166666666667</v>
      </c>
    </row>
    <row r="4845" customFormat="false" ht="15" hidden="false" customHeight="false" outlineLevel="0" collapsed="false">
      <c r="A4845" s="0" t="n">
        <v>4844</v>
      </c>
      <c r="B4845" s="18" t="n">
        <v>945258.247715602</v>
      </c>
      <c r="C4845" s="18" t="n">
        <v>0</v>
      </c>
      <c r="D4845" s="0" t="n">
        <v>0</v>
      </c>
      <c r="E4845" s="19" t="n">
        <v>47.0833333333333</v>
      </c>
    </row>
    <row r="4846" customFormat="false" ht="15" hidden="false" customHeight="false" outlineLevel="0" collapsed="false">
      <c r="A4846" s="0" t="n">
        <v>4845</v>
      </c>
      <c r="B4846" s="18" t="n">
        <v>962531.437683625</v>
      </c>
      <c r="C4846" s="18" t="n">
        <v>0</v>
      </c>
      <c r="D4846" s="0" t="n">
        <v>0</v>
      </c>
      <c r="E4846" s="19" t="n">
        <v>44.8333333333333</v>
      </c>
    </row>
    <row r="4847" customFormat="false" ht="15" hidden="false" customHeight="false" outlineLevel="0" collapsed="false">
      <c r="A4847" s="0" t="n">
        <v>4846</v>
      </c>
      <c r="B4847" s="18" t="n">
        <v>1978153.960213</v>
      </c>
      <c r="C4847" s="18" t="n">
        <v>22142936.9576119</v>
      </c>
      <c r="D4847" s="0" t="n">
        <v>1</v>
      </c>
    </row>
    <row r="4848" customFormat="false" ht="15" hidden="false" customHeight="false" outlineLevel="0" collapsed="false">
      <c r="A4848" s="0" t="n">
        <v>4847</v>
      </c>
      <c r="B4848" s="18" t="n">
        <v>768409.718495936</v>
      </c>
      <c r="C4848" s="18" t="n">
        <v>0</v>
      </c>
      <c r="D4848" s="0" t="n">
        <v>0</v>
      </c>
      <c r="E4848" s="19" t="n">
        <v>51</v>
      </c>
    </row>
    <row r="4849" customFormat="false" ht="15" hidden="false" customHeight="false" outlineLevel="0" collapsed="false">
      <c r="A4849" s="0" t="n">
        <v>4848</v>
      </c>
      <c r="B4849" s="18" t="n">
        <v>1461372.51541037</v>
      </c>
      <c r="C4849" s="18" t="n">
        <v>7089548.47142352</v>
      </c>
      <c r="D4849" s="0" t="n">
        <v>1</v>
      </c>
    </row>
    <row r="4850" customFormat="false" ht="15" hidden="false" customHeight="false" outlineLevel="0" collapsed="false">
      <c r="A4850" s="0" t="n">
        <v>4849</v>
      </c>
      <c r="B4850" s="18" t="n">
        <v>766681.479976876</v>
      </c>
      <c r="C4850" s="18" t="n">
        <v>0</v>
      </c>
      <c r="D4850" s="0" t="n">
        <v>0</v>
      </c>
      <c r="E4850" s="19" t="n">
        <v>36.4166666666667</v>
      </c>
    </row>
    <row r="4851" customFormat="false" ht="15" hidden="false" customHeight="false" outlineLevel="0" collapsed="false">
      <c r="A4851" s="0" t="n">
        <v>4850</v>
      </c>
      <c r="B4851" s="18" t="n">
        <v>445434.36525679</v>
      </c>
      <c r="C4851" s="18" t="n">
        <v>0</v>
      </c>
      <c r="D4851" s="0" t="n">
        <v>0</v>
      </c>
      <c r="E4851" s="19" t="n">
        <v>35.25</v>
      </c>
    </row>
    <row r="4852" customFormat="false" ht="15" hidden="false" customHeight="false" outlineLevel="0" collapsed="false">
      <c r="A4852" s="0" t="n">
        <v>4851</v>
      </c>
      <c r="B4852" s="18" t="n">
        <v>726479.779226621</v>
      </c>
      <c r="C4852" s="18" t="n">
        <v>0</v>
      </c>
      <c r="D4852" s="0" t="n">
        <v>0</v>
      </c>
      <c r="E4852" s="19" t="n">
        <v>40.4166666666667</v>
      </c>
    </row>
    <row r="4853" customFormat="false" ht="15" hidden="false" customHeight="false" outlineLevel="0" collapsed="false">
      <c r="A4853" s="0" t="n">
        <v>4852</v>
      </c>
      <c r="B4853" s="18" t="n">
        <v>834080.623877702</v>
      </c>
      <c r="C4853" s="18" t="n">
        <v>0</v>
      </c>
      <c r="D4853" s="0" t="n">
        <v>0</v>
      </c>
      <c r="E4853" s="19" t="n">
        <v>34.75</v>
      </c>
    </row>
    <row r="4854" customFormat="false" ht="15" hidden="false" customHeight="false" outlineLevel="0" collapsed="false">
      <c r="A4854" s="0" t="n">
        <v>4853</v>
      </c>
      <c r="B4854" s="18" t="n">
        <v>653685.927977358</v>
      </c>
      <c r="C4854" s="18" t="n">
        <v>0</v>
      </c>
      <c r="D4854" s="0" t="n">
        <v>0</v>
      </c>
      <c r="E4854" s="19" t="n">
        <v>37.5833333333333</v>
      </c>
    </row>
    <row r="4855" customFormat="false" ht="15" hidden="false" customHeight="false" outlineLevel="0" collapsed="false">
      <c r="A4855" s="0" t="n">
        <v>4854</v>
      </c>
      <c r="B4855" s="18" t="n">
        <v>1048055.8280964</v>
      </c>
      <c r="C4855" s="18" t="n">
        <v>0</v>
      </c>
      <c r="D4855" s="0" t="n">
        <v>0</v>
      </c>
      <c r="E4855" s="19" t="n">
        <v>40.5833333333333</v>
      </c>
    </row>
    <row r="4856" customFormat="false" ht="15" hidden="false" customHeight="false" outlineLevel="0" collapsed="false">
      <c r="A4856" s="0" t="n">
        <v>4855</v>
      </c>
      <c r="B4856" s="18" t="n">
        <v>1602079.33974449</v>
      </c>
      <c r="C4856" s="18" t="n">
        <v>5158756.29722405</v>
      </c>
      <c r="D4856" s="0" t="n">
        <v>1</v>
      </c>
    </row>
    <row r="4857" customFormat="false" ht="15" hidden="false" customHeight="false" outlineLevel="0" collapsed="false">
      <c r="A4857" s="0" t="n">
        <v>4856</v>
      </c>
      <c r="B4857" s="18" t="n">
        <v>378676.659718663</v>
      </c>
      <c r="C4857" s="18" t="n">
        <v>0</v>
      </c>
      <c r="D4857" s="0" t="n">
        <v>0</v>
      </c>
      <c r="E4857" s="19" t="n">
        <v>30.6666666666667</v>
      </c>
    </row>
    <row r="4858" customFormat="false" ht="15" hidden="false" customHeight="false" outlineLevel="0" collapsed="false">
      <c r="A4858" s="0" t="n">
        <v>4857</v>
      </c>
      <c r="B4858" s="18" t="n">
        <v>1937376.3737145</v>
      </c>
      <c r="C4858" s="18" t="n">
        <v>15350032.4279212</v>
      </c>
      <c r="D4858" s="0" t="n">
        <v>1</v>
      </c>
    </row>
    <row r="4859" customFormat="false" ht="15" hidden="false" customHeight="false" outlineLevel="0" collapsed="false">
      <c r="A4859" s="0" t="n">
        <v>4858</v>
      </c>
      <c r="B4859" s="18" t="n">
        <v>601400.995634416</v>
      </c>
      <c r="C4859" s="18" t="n">
        <v>0</v>
      </c>
      <c r="D4859" s="0" t="n">
        <v>0</v>
      </c>
      <c r="E4859" s="19" t="n">
        <v>38.8333333333333</v>
      </c>
    </row>
    <row r="4860" customFormat="false" ht="15" hidden="false" customHeight="false" outlineLevel="0" collapsed="false">
      <c r="A4860" s="0" t="n">
        <v>4859</v>
      </c>
      <c r="B4860" s="18" t="n">
        <v>1586404.75796459</v>
      </c>
      <c r="C4860" s="18" t="n">
        <v>8487546.99469644</v>
      </c>
      <c r="D4860" s="0" t="n">
        <v>1</v>
      </c>
    </row>
    <row r="4861" customFormat="false" ht="15" hidden="false" customHeight="false" outlineLevel="0" collapsed="false">
      <c r="A4861" s="0" t="n">
        <v>4860</v>
      </c>
      <c r="B4861" s="18" t="n">
        <v>805190.285329528</v>
      </c>
      <c r="C4861" s="18" t="n">
        <v>0</v>
      </c>
      <c r="D4861" s="0" t="n">
        <v>0</v>
      </c>
      <c r="E4861" s="19" t="n">
        <v>35.8333333333333</v>
      </c>
    </row>
    <row r="4862" customFormat="false" ht="15" hidden="false" customHeight="false" outlineLevel="0" collapsed="false">
      <c r="A4862" s="0" t="n">
        <v>4861</v>
      </c>
      <c r="B4862" s="18" t="n">
        <v>888382.121642341</v>
      </c>
      <c r="C4862" s="18" t="n">
        <v>0</v>
      </c>
      <c r="D4862" s="0" t="n">
        <v>0</v>
      </c>
      <c r="E4862" s="19" t="n">
        <v>49.5833333333333</v>
      </c>
    </row>
    <row r="4863" customFormat="false" ht="15" hidden="false" customHeight="false" outlineLevel="0" collapsed="false">
      <c r="A4863" s="0" t="n">
        <v>4862</v>
      </c>
      <c r="B4863" s="18" t="n">
        <v>1423845.60654006</v>
      </c>
      <c r="C4863" s="18" t="n">
        <v>7239628.02379949</v>
      </c>
      <c r="D4863" s="0" t="n">
        <v>1</v>
      </c>
    </row>
    <row r="4864" customFormat="false" ht="15" hidden="false" customHeight="false" outlineLevel="0" collapsed="false">
      <c r="A4864" s="0" t="n">
        <v>4863</v>
      </c>
      <c r="B4864" s="18" t="n">
        <v>782577.117784362</v>
      </c>
      <c r="C4864" s="18" t="n">
        <v>0</v>
      </c>
      <c r="D4864" s="0" t="n">
        <v>0</v>
      </c>
      <c r="E4864" s="19" t="n">
        <v>39.4166666666667</v>
      </c>
    </row>
    <row r="4865" customFormat="false" ht="15" hidden="false" customHeight="false" outlineLevel="0" collapsed="false">
      <c r="A4865" s="0" t="n">
        <v>4864</v>
      </c>
      <c r="B4865" s="18" t="n">
        <v>2700087.87937711</v>
      </c>
      <c r="C4865" s="18" t="n">
        <v>23881030.7711326</v>
      </c>
      <c r="D4865" s="0" t="n">
        <v>1</v>
      </c>
    </row>
    <row r="4866" customFormat="false" ht="15" hidden="false" customHeight="false" outlineLevel="0" collapsed="false">
      <c r="A4866" s="0" t="n">
        <v>4865</v>
      </c>
      <c r="B4866" s="18" t="n">
        <v>596245.683101566</v>
      </c>
      <c r="C4866" s="18" t="n">
        <v>0</v>
      </c>
      <c r="D4866" s="0" t="n">
        <v>0</v>
      </c>
      <c r="E4866" s="19" t="n">
        <v>35.4166666666667</v>
      </c>
    </row>
    <row r="4867" customFormat="false" ht="15" hidden="false" customHeight="false" outlineLevel="0" collapsed="false">
      <c r="A4867" s="0" t="n">
        <v>4866</v>
      </c>
      <c r="B4867" s="18" t="n">
        <v>1437949.97970873</v>
      </c>
      <c r="C4867" s="18" t="n">
        <v>0</v>
      </c>
      <c r="D4867" s="0" t="n">
        <v>0</v>
      </c>
      <c r="E4867" s="19" t="n">
        <v>42</v>
      </c>
    </row>
    <row r="4868" customFormat="false" ht="15" hidden="false" customHeight="false" outlineLevel="0" collapsed="false">
      <c r="A4868" s="0" t="n">
        <v>4867</v>
      </c>
      <c r="B4868" s="18" t="n">
        <v>567557.56674523</v>
      </c>
      <c r="C4868" s="18" t="n">
        <v>0</v>
      </c>
      <c r="D4868" s="0" t="n">
        <v>0</v>
      </c>
      <c r="E4868" s="19" t="n">
        <v>33.4166666666667</v>
      </c>
    </row>
    <row r="4869" customFormat="false" ht="15" hidden="false" customHeight="false" outlineLevel="0" collapsed="false">
      <c r="A4869" s="0" t="n">
        <v>4868</v>
      </c>
      <c r="B4869" s="18" t="n">
        <v>692616.486761643</v>
      </c>
      <c r="C4869" s="18" t="n">
        <v>0</v>
      </c>
      <c r="D4869" s="0" t="n">
        <v>0</v>
      </c>
      <c r="E4869" s="19" t="n">
        <v>38.6666666666667</v>
      </c>
    </row>
    <row r="4870" customFormat="false" ht="15" hidden="false" customHeight="false" outlineLevel="0" collapsed="false">
      <c r="A4870" s="0" t="n">
        <v>4869</v>
      </c>
      <c r="B4870" s="18" t="n">
        <v>596209.763388845</v>
      </c>
      <c r="C4870" s="18" t="n">
        <v>0</v>
      </c>
      <c r="D4870" s="0" t="n">
        <v>0</v>
      </c>
      <c r="E4870" s="19" t="n">
        <v>53.75</v>
      </c>
    </row>
    <row r="4871" customFormat="false" ht="15" hidden="false" customHeight="false" outlineLevel="0" collapsed="false">
      <c r="A4871" s="0" t="n">
        <v>4870</v>
      </c>
      <c r="B4871" s="18" t="n">
        <v>901450.486800562</v>
      </c>
      <c r="C4871" s="18" t="n">
        <v>1485940.71109132</v>
      </c>
      <c r="D4871" s="0" t="n">
        <v>1</v>
      </c>
    </row>
    <row r="4872" customFormat="false" ht="15" hidden="false" customHeight="false" outlineLevel="0" collapsed="false">
      <c r="A4872" s="0" t="n">
        <v>4871</v>
      </c>
      <c r="B4872" s="18" t="n">
        <v>839115.524862986</v>
      </c>
      <c r="C4872" s="18" t="n">
        <v>0</v>
      </c>
      <c r="D4872" s="0" t="n">
        <v>0</v>
      </c>
      <c r="E4872" s="19" t="n">
        <v>54.4166666666667</v>
      </c>
    </row>
    <row r="4873" customFormat="false" ht="15" hidden="false" customHeight="false" outlineLevel="0" collapsed="false">
      <c r="A4873" s="0" t="n">
        <v>4872</v>
      </c>
      <c r="B4873" s="18" t="n">
        <v>2425895.63204342</v>
      </c>
      <c r="C4873" s="18" t="n">
        <v>0</v>
      </c>
      <c r="D4873" s="0" t="n">
        <v>0</v>
      </c>
      <c r="E4873" s="19" t="n">
        <v>54.0833333333333</v>
      </c>
    </row>
    <row r="4874" customFormat="false" ht="15" hidden="false" customHeight="false" outlineLevel="0" collapsed="false">
      <c r="A4874" s="0" t="n">
        <v>4873</v>
      </c>
      <c r="B4874" s="18" t="n">
        <v>636858.741321061</v>
      </c>
      <c r="C4874" s="18" t="n">
        <v>0</v>
      </c>
      <c r="D4874" s="0" t="n">
        <v>0</v>
      </c>
      <c r="E4874" s="19" t="n">
        <v>43.0833333333333</v>
      </c>
    </row>
    <row r="4875" customFormat="false" ht="15" hidden="false" customHeight="false" outlineLevel="0" collapsed="false">
      <c r="A4875" s="0" t="n">
        <v>4874</v>
      </c>
      <c r="B4875" s="18" t="n">
        <v>636769.248187423</v>
      </c>
      <c r="C4875" s="18" t="n">
        <v>0</v>
      </c>
      <c r="D4875" s="0" t="n">
        <v>0</v>
      </c>
      <c r="E4875" s="19" t="n">
        <v>34.8333333333333</v>
      </c>
    </row>
    <row r="4876" customFormat="false" ht="15" hidden="false" customHeight="false" outlineLevel="0" collapsed="false">
      <c r="A4876" s="0" t="n">
        <v>4875</v>
      </c>
      <c r="B4876" s="18" t="n">
        <v>1461886.39973639</v>
      </c>
      <c r="C4876" s="18" t="n">
        <v>8038378.53499804</v>
      </c>
      <c r="D4876" s="0" t="n">
        <v>1</v>
      </c>
    </row>
    <row r="4877" customFormat="false" ht="15" hidden="false" customHeight="false" outlineLevel="0" collapsed="false">
      <c r="A4877" s="0" t="n">
        <v>4876</v>
      </c>
      <c r="B4877" s="18" t="n">
        <v>1007502.62860374</v>
      </c>
      <c r="C4877" s="18" t="n">
        <v>0</v>
      </c>
      <c r="D4877" s="0" t="n">
        <v>0</v>
      </c>
      <c r="E4877" s="19" t="n">
        <v>52.0833333333333</v>
      </c>
    </row>
    <row r="4878" customFormat="false" ht="15" hidden="false" customHeight="false" outlineLevel="0" collapsed="false">
      <c r="A4878" s="0" t="n">
        <v>4877</v>
      </c>
      <c r="B4878" s="18" t="n">
        <v>602324.432067445</v>
      </c>
      <c r="C4878" s="18" t="n">
        <v>0</v>
      </c>
      <c r="D4878" s="0" t="n">
        <v>0</v>
      </c>
      <c r="E4878" s="19" t="n">
        <v>45.1666666666667</v>
      </c>
    </row>
    <row r="4879" customFormat="false" ht="15" hidden="false" customHeight="false" outlineLevel="0" collapsed="false">
      <c r="A4879" s="0" t="n">
        <v>4878</v>
      </c>
      <c r="B4879" s="18" t="n">
        <v>841206.843723307</v>
      </c>
      <c r="C4879" s="18" t="n">
        <v>481463.221227318</v>
      </c>
      <c r="D4879" s="0" t="n">
        <v>1</v>
      </c>
    </row>
    <row r="4880" customFormat="false" ht="15" hidden="false" customHeight="false" outlineLevel="0" collapsed="false">
      <c r="A4880" s="0" t="n">
        <v>4879</v>
      </c>
      <c r="B4880" s="18" t="n">
        <v>351564.12406939</v>
      </c>
      <c r="C4880" s="18" t="n">
        <v>0</v>
      </c>
      <c r="D4880" s="0" t="n">
        <v>0</v>
      </c>
      <c r="E4880" s="19" t="n">
        <v>31</v>
      </c>
    </row>
    <row r="4881" customFormat="false" ht="15" hidden="false" customHeight="false" outlineLevel="0" collapsed="false">
      <c r="A4881" s="0" t="n">
        <v>4880</v>
      </c>
      <c r="B4881" s="18" t="n">
        <v>3329343.40631662</v>
      </c>
      <c r="C4881" s="18" t="n">
        <v>44547032.0197534</v>
      </c>
      <c r="D4881" s="0" t="n">
        <v>1</v>
      </c>
    </row>
    <row r="4882" customFormat="false" ht="15" hidden="false" customHeight="false" outlineLevel="0" collapsed="false">
      <c r="A4882" s="0" t="n">
        <v>4881</v>
      </c>
      <c r="B4882" s="18" t="n">
        <v>976737.343154306</v>
      </c>
      <c r="C4882" s="18" t="n">
        <v>1093754.88950163</v>
      </c>
      <c r="D4882" s="0" t="n">
        <v>1</v>
      </c>
    </row>
    <row r="4883" customFormat="false" ht="15" hidden="false" customHeight="false" outlineLevel="0" collapsed="false">
      <c r="A4883" s="0" t="n">
        <v>4882</v>
      </c>
      <c r="B4883" s="18" t="n">
        <v>877037.048247644</v>
      </c>
      <c r="C4883" s="18" t="n">
        <v>0</v>
      </c>
      <c r="D4883" s="0" t="n">
        <v>0</v>
      </c>
      <c r="E4883" s="19" t="n">
        <v>44.8333333333333</v>
      </c>
    </row>
    <row r="4884" customFormat="false" ht="15" hidden="false" customHeight="false" outlineLevel="0" collapsed="false">
      <c r="A4884" s="0" t="n">
        <v>4883</v>
      </c>
      <c r="B4884" s="18" t="n">
        <v>1154936.93401005</v>
      </c>
      <c r="C4884" s="18" t="n">
        <v>3347517.743746</v>
      </c>
      <c r="D4884" s="0" t="n">
        <v>1</v>
      </c>
    </row>
    <row r="4885" customFormat="false" ht="15" hidden="false" customHeight="false" outlineLevel="0" collapsed="false">
      <c r="A4885" s="0" t="n">
        <v>4884</v>
      </c>
      <c r="B4885" s="18" t="n">
        <v>899219.813634784</v>
      </c>
      <c r="C4885" s="18" t="n">
        <v>1895150.70108356</v>
      </c>
      <c r="D4885" s="0" t="n">
        <v>1</v>
      </c>
    </row>
    <row r="4886" customFormat="false" ht="15" hidden="false" customHeight="false" outlineLevel="0" collapsed="false">
      <c r="A4886" s="0" t="n">
        <v>4885</v>
      </c>
      <c r="B4886" s="18" t="n">
        <v>813811.416517972</v>
      </c>
      <c r="C4886" s="18" t="n">
        <v>0</v>
      </c>
      <c r="D4886" s="0" t="n">
        <v>0</v>
      </c>
      <c r="E4886" s="19" t="n">
        <v>37.0833333333333</v>
      </c>
    </row>
    <row r="4887" customFormat="false" ht="15" hidden="false" customHeight="false" outlineLevel="0" collapsed="false">
      <c r="A4887" s="0" t="n">
        <v>4886</v>
      </c>
      <c r="B4887" s="18" t="n">
        <v>1548582.16530028</v>
      </c>
      <c r="C4887" s="18" t="n">
        <v>0</v>
      </c>
      <c r="D4887" s="0" t="n">
        <v>0</v>
      </c>
      <c r="E4887" s="19" t="n">
        <v>44.0833333333333</v>
      </c>
    </row>
    <row r="4888" customFormat="false" ht="15" hidden="false" customHeight="false" outlineLevel="0" collapsed="false">
      <c r="A4888" s="0" t="n">
        <v>4887</v>
      </c>
      <c r="B4888" s="18" t="n">
        <v>647113.929766918</v>
      </c>
      <c r="C4888" s="18" t="n">
        <v>0</v>
      </c>
      <c r="D4888" s="0" t="n">
        <v>0</v>
      </c>
      <c r="E4888" s="19" t="n">
        <v>42.9166666666667</v>
      </c>
    </row>
    <row r="4889" customFormat="false" ht="15" hidden="false" customHeight="false" outlineLevel="0" collapsed="false">
      <c r="A4889" s="0" t="n">
        <v>4888</v>
      </c>
      <c r="B4889" s="18" t="n">
        <v>748614.645591172</v>
      </c>
      <c r="C4889" s="18" t="n">
        <v>0</v>
      </c>
      <c r="D4889" s="0" t="n">
        <v>0</v>
      </c>
      <c r="E4889" s="19" t="n">
        <v>43.75</v>
      </c>
    </row>
    <row r="4890" customFormat="false" ht="15" hidden="false" customHeight="false" outlineLevel="0" collapsed="false">
      <c r="A4890" s="0" t="n">
        <v>4889</v>
      </c>
      <c r="B4890" s="18" t="n">
        <v>416045.710075271</v>
      </c>
      <c r="C4890" s="18" t="n">
        <v>0</v>
      </c>
      <c r="D4890" s="0" t="n">
        <v>0</v>
      </c>
      <c r="E4890" s="19" t="n">
        <v>32.6666666666667</v>
      </c>
    </row>
    <row r="4891" customFormat="false" ht="15" hidden="false" customHeight="false" outlineLevel="0" collapsed="false">
      <c r="A4891" s="0" t="n">
        <v>4890</v>
      </c>
      <c r="B4891" s="18" t="n">
        <v>1029949.7335058</v>
      </c>
      <c r="C4891" s="18" t="n">
        <v>2612802.48703386</v>
      </c>
      <c r="D4891" s="0" t="n">
        <v>1</v>
      </c>
    </row>
    <row r="4892" customFormat="false" ht="15" hidden="false" customHeight="false" outlineLevel="0" collapsed="false">
      <c r="A4892" s="0" t="n">
        <v>4891</v>
      </c>
      <c r="B4892" s="18" t="n">
        <v>2097983.21589739</v>
      </c>
      <c r="C4892" s="18" t="n">
        <v>243021.658287642</v>
      </c>
      <c r="D4892" s="0" t="n">
        <v>1</v>
      </c>
    </row>
    <row r="4893" customFormat="false" ht="15" hidden="false" customHeight="false" outlineLevel="0" collapsed="false">
      <c r="A4893" s="0" t="n">
        <v>4892</v>
      </c>
      <c r="B4893" s="18" t="n">
        <v>946449.271461281</v>
      </c>
      <c r="C4893" s="18" t="n">
        <v>0</v>
      </c>
      <c r="D4893" s="0" t="n">
        <v>0</v>
      </c>
      <c r="E4893" s="19" t="n">
        <v>52.1666666666667</v>
      </c>
    </row>
    <row r="4894" customFormat="false" ht="15" hidden="false" customHeight="false" outlineLevel="0" collapsed="false">
      <c r="A4894" s="0" t="n">
        <v>4893</v>
      </c>
      <c r="B4894" s="18" t="n">
        <v>641339.870203202</v>
      </c>
      <c r="C4894" s="18" t="n">
        <v>0</v>
      </c>
      <c r="D4894" s="0" t="n">
        <v>0</v>
      </c>
      <c r="E4894" s="19" t="n">
        <v>35</v>
      </c>
    </row>
    <row r="4895" customFormat="false" ht="15" hidden="false" customHeight="false" outlineLevel="0" collapsed="false">
      <c r="A4895" s="0" t="n">
        <v>4894</v>
      </c>
      <c r="B4895" s="18" t="n">
        <v>863995.943548385</v>
      </c>
      <c r="C4895" s="18" t="n">
        <v>0</v>
      </c>
      <c r="D4895" s="0" t="n">
        <v>0</v>
      </c>
      <c r="E4895" s="19" t="n">
        <v>48.75</v>
      </c>
    </row>
    <row r="4896" customFormat="false" ht="15" hidden="false" customHeight="false" outlineLevel="0" collapsed="false">
      <c r="A4896" s="0" t="n">
        <v>4895</v>
      </c>
      <c r="B4896" s="18" t="n">
        <v>767525.29889206</v>
      </c>
      <c r="C4896" s="18" t="n">
        <v>2113151.88828922</v>
      </c>
      <c r="D4896" s="0" t="n">
        <v>1</v>
      </c>
    </row>
    <row r="4897" customFormat="false" ht="15" hidden="false" customHeight="false" outlineLevel="0" collapsed="false">
      <c r="A4897" s="0" t="n">
        <v>4896</v>
      </c>
      <c r="B4897" s="18" t="n">
        <v>2461636.38254799</v>
      </c>
      <c r="C4897" s="18" t="n">
        <v>2844488.97077536</v>
      </c>
      <c r="D4897" s="0" t="n">
        <v>1</v>
      </c>
    </row>
    <row r="4898" customFormat="false" ht="15" hidden="false" customHeight="false" outlineLevel="0" collapsed="false">
      <c r="A4898" s="0" t="n">
        <v>4897</v>
      </c>
      <c r="B4898" s="18" t="n">
        <v>1883653.83753382</v>
      </c>
      <c r="C4898" s="18" t="n">
        <v>9057090.80001028</v>
      </c>
      <c r="D4898" s="0" t="n">
        <v>1</v>
      </c>
    </row>
    <row r="4899" customFormat="false" ht="15" hidden="false" customHeight="false" outlineLevel="0" collapsed="false">
      <c r="A4899" s="0" t="n">
        <v>4898</v>
      </c>
      <c r="B4899" s="18" t="n">
        <v>602400.029136126</v>
      </c>
      <c r="C4899" s="18" t="n">
        <v>0</v>
      </c>
      <c r="D4899" s="0" t="n">
        <v>0</v>
      </c>
      <c r="E4899" s="19" t="n">
        <v>33.5833333333333</v>
      </c>
    </row>
    <row r="4900" customFormat="false" ht="15" hidden="false" customHeight="false" outlineLevel="0" collapsed="false">
      <c r="A4900" s="0" t="n">
        <v>4899</v>
      </c>
      <c r="B4900" s="18" t="n">
        <v>979462.025277883</v>
      </c>
      <c r="C4900" s="18" t="n">
        <v>8988138.04699057</v>
      </c>
      <c r="D4900" s="0" t="n">
        <v>1</v>
      </c>
    </row>
    <row r="4901" customFormat="false" ht="15" hidden="false" customHeight="false" outlineLevel="0" collapsed="false">
      <c r="A4901" s="0" t="n">
        <v>4900</v>
      </c>
      <c r="B4901" s="18" t="n">
        <v>916944.858625282</v>
      </c>
      <c r="C4901" s="18" t="n">
        <v>0</v>
      </c>
      <c r="D4901" s="0" t="n">
        <v>0</v>
      </c>
      <c r="E4901" s="19" t="n">
        <v>40.1666666666667</v>
      </c>
    </row>
    <row r="4902" customFormat="false" ht="15" hidden="false" customHeight="false" outlineLevel="0" collapsed="false">
      <c r="A4902" s="0" t="n">
        <v>4901</v>
      </c>
      <c r="B4902" s="18" t="n">
        <v>279909.190608124</v>
      </c>
      <c r="C4902" s="18" t="n">
        <v>0</v>
      </c>
      <c r="D4902" s="0" t="n">
        <v>0</v>
      </c>
      <c r="E4902" s="19" t="n">
        <v>32.1666666666667</v>
      </c>
    </row>
    <row r="4903" customFormat="false" ht="15" hidden="false" customHeight="false" outlineLevel="0" collapsed="false">
      <c r="A4903" s="0" t="n">
        <v>4902</v>
      </c>
      <c r="B4903" s="18" t="n">
        <v>971451.243626453</v>
      </c>
      <c r="C4903" s="18" t="n">
        <v>3070021.62061987</v>
      </c>
      <c r="D4903" s="0" t="n">
        <v>1</v>
      </c>
    </row>
    <row r="4904" customFormat="false" ht="15" hidden="false" customHeight="false" outlineLevel="0" collapsed="false">
      <c r="A4904" s="0" t="n">
        <v>4903</v>
      </c>
      <c r="B4904" s="18" t="n">
        <v>1921762.6405776</v>
      </c>
      <c r="C4904" s="18" t="n">
        <v>3498735.53244193</v>
      </c>
      <c r="D4904" s="0" t="n">
        <v>1</v>
      </c>
    </row>
    <row r="4905" customFormat="false" ht="15" hidden="false" customHeight="false" outlineLevel="0" collapsed="false">
      <c r="A4905" s="0" t="n">
        <v>4904</v>
      </c>
      <c r="B4905" s="18" t="n">
        <v>733276.227470893</v>
      </c>
      <c r="C4905" s="18" t="n">
        <v>0</v>
      </c>
      <c r="D4905" s="0" t="n">
        <v>0</v>
      </c>
      <c r="E4905" s="19" t="n">
        <v>34.9166666666667</v>
      </c>
    </row>
    <row r="4906" customFormat="false" ht="15" hidden="false" customHeight="false" outlineLevel="0" collapsed="false">
      <c r="A4906" s="0" t="n">
        <v>4905</v>
      </c>
      <c r="B4906" s="18" t="n">
        <v>368027.803136247</v>
      </c>
      <c r="C4906" s="18" t="n">
        <v>0</v>
      </c>
      <c r="D4906" s="0" t="n">
        <v>0</v>
      </c>
      <c r="E4906" s="19" t="n">
        <v>29.8333333333333</v>
      </c>
    </row>
    <row r="4907" customFormat="false" ht="15" hidden="false" customHeight="false" outlineLevel="0" collapsed="false">
      <c r="A4907" s="0" t="n">
        <v>4906</v>
      </c>
      <c r="B4907" s="18" t="n">
        <v>429981.05717686</v>
      </c>
      <c r="C4907" s="18" t="n">
        <v>0</v>
      </c>
      <c r="D4907" s="0" t="n">
        <v>0</v>
      </c>
      <c r="E4907" s="19" t="n">
        <v>39.3333333333333</v>
      </c>
    </row>
    <row r="4908" customFormat="false" ht="15" hidden="false" customHeight="false" outlineLevel="0" collapsed="false">
      <c r="A4908" s="0" t="n">
        <v>4907</v>
      </c>
      <c r="B4908" s="18" t="n">
        <v>575101.954396278</v>
      </c>
      <c r="C4908" s="18" t="n">
        <v>0</v>
      </c>
      <c r="D4908" s="0" t="n">
        <v>0</v>
      </c>
      <c r="E4908" s="19" t="n">
        <v>34.4166666666667</v>
      </c>
    </row>
    <row r="4909" customFormat="false" ht="15" hidden="false" customHeight="false" outlineLevel="0" collapsed="false">
      <c r="A4909" s="0" t="n">
        <v>4908</v>
      </c>
      <c r="B4909" s="18" t="n">
        <v>816024.85576374</v>
      </c>
      <c r="C4909" s="18" t="n">
        <v>4123688.05275111</v>
      </c>
      <c r="D4909" s="0" t="n">
        <v>1</v>
      </c>
    </row>
    <row r="4910" customFormat="false" ht="15" hidden="false" customHeight="false" outlineLevel="0" collapsed="false">
      <c r="A4910" s="0" t="n">
        <v>4909</v>
      </c>
      <c r="B4910" s="18" t="n">
        <v>1482026.36564368</v>
      </c>
      <c r="C4910" s="18" t="n">
        <v>4555842.16281253</v>
      </c>
      <c r="D4910" s="0" t="n">
        <v>1</v>
      </c>
    </row>
    <row r="4911" customFormat="false" ht="15" hidden="false" customHeight="false" outlineLevel="0" collapsed="false">
      <c r="A4911" s="0" t="n">
        <v>4910</v>
      </c>
      <c r="B4911" s="18" t="n">
        <v>781412.176620061</v>
      </c>
      <c r="C4911" s="18" t="n">
        <v>0</v>
      </c>
      <c r="D4911" s="0" t="n">
        <v>0</v>
      </c>
      <c r="E4911" s="19" t="n">
        <v>37.9166666666667</v>
      </c>
    </row>
    <row r="4912" customFormat="false" ht="15" hidden="false" customHeight="false" outlineLevel="0" collapsed="false">
      <c r="A4912" s="0" t="n">
        <v>4911</v>
      </c>
      <c r="B4912" s="18" t="n">
        <v>642879.163374184</v>
      </c>
      <c r="C4912" s="18" t="n">
        <v>0</v>
      </c>
      <c r="D4912" s="0" t="n">
        <v>0</v>
      </c>
      <c r="E4912" s="19" t="n">
        <v>33.5</v>
      </c>
    </row>
    <row r="4913" customFormat="false" ht="15" hidden="false" customHeight="false" outlineLevel="0" collapsed="false">
      <c r="A4913" s="0" t="n">
        <v>4912</v>
      </c>
      <c r="B4913" s="18" t="n">
        <v>769039.502613267</v>
      </c>
      <c r="C4913" s="18" t="n">
        <v>0</v>
      </c>
      <c r="D4913" s="0" t="n">
        <v>0</v>
      </c>
      <c r="E4913" s="19" t="n">
        <v>44.75</v>
      </c>
    </row>
    <row r="4914" customFormat="false" ht="15" hidden="false" customHeight="false" outlineLevel="0" collapsed="false">
      <c r="A4914" s="0" t="n">
        <v>4913</v>
      </c>
      <c r="B4914" s="18" t="n">
        <v>2380030.22043114</v>
      </c>
      <c r="C4914" s="18" t="n">
        <v>16068908.5300966</v>
      </c>
      <c r="D4914" s="0" t="n">
        <v>1</v>
      </c>
    </row>
    <row r="4915" customFormat="false" ht="15" hidden="false" customHeight="false" outlineLevel="0" collapsed="false">
      <c r="A4915" s="0" t="n">
        <v>4914</v>
      </c>
      <c r="B4915" s="18" t="n">
        <v>441722.451604393</v>
      </c>
      <c r="C4915" s="18" t="n">
        <v>0</v>
      </c>
      <c r="D4915" s="0" t="n">
        <v>0</v>
      </c>
      <c r="E4915" s="19" t="n">
        <v>34.5833333333333</v>
      </c>
    </row>
    <row r="4916" customFormat="false" ht="15" hidden="false" customHeight="false" outlineLevel="0" collapsed="false">
      <c r="A4916" s="0" t="n">
        <v>4915</v>
      </c>
      <c r="B4916" s="18" t="n">
        <v>755721.471325981</v>
      </c>
      <c r="C4916" s="18" t="n">
        <v>0</v>
      </c>
      <c r="D4916" s="0" t="n">
        <v>0</v>
      </c>
      <c r="E4916" s="19" t="n">
        <v>36.1666666666667</v>
      </c>
    </row>
    <row r="4917" customFormat="false" ht="15" hidden="false" customHeight="false" outlineLevel="0" collapsed="false">
      <c r="A4917" s="0" t="n">
        <v>4916</v>
      </c>
      <c r="B4917" s="18" t="n">
        <v>567662.972089225</v>
      </c>
      <c r="C4917" s="18" t="n">
        <v>0</v>
      </c>
      <c r="D4917" s="0" t="n">
        <v>0</v>
      </c>
      <c r="E4917" s="19" t="n">
        <v>36.1666666666667</v>
      </c>
    </row>
    <row r="4918" customFormat="false" ht="15" hidden="false" customHeight="false" outlineLevel="0" collapsed="false">
      <c r="A4918" s="0" t="n">
        <v>4917</v>
      </c>
      <c r="B4918" s="18" t="n">
        <v>818356.353707251</v>
      </c>
      <c r="C4918" s="18" t="n">
        <v>0</v>
      </c>
      <c r="D4918" s="0" t="n">
        <v>0</v>
      </c>
      <c r="E4918" s="19" t="n">
        <v>50.0833333333333</v>
      </c>
    </row>
    <row r="4919" customFormat="false" ht="15" hidden="false" customHeight="false" outlineLevel="0" collapsed="false">
      <c r="A4919" s="0" t="n">
        <v>4918</v>
      </c>
      <c r="B4919" s="18" t="n">
        <v>490458.448903976</v>
      </c>
      <c r="C4919" s="18" t="n">
        <v>0</v>
      </c>
      <c r="D4919" s="0" t="n">
        <v>0</v>
      </c>
      <c r="E4919" s="19" t="n">
        <v>35.75</v>
      </c>
    </row>
    <row r="4920" customFormat="false" ht="15" hidden="false" customHeight="false" outlineLevel="0" collapsed="false">
      <c r="A4920" s="0" t="n">
        <v>4919</v>
      </c>
      <c r="B4920" s="18" t="n">
        <v>425152.0796471</v>
      </c>
      <c r="C4920" s="18" t="n">
        <v>0</v>
      </c>
      <c r="D4920" s="0" t="n">
        <v>0</v>
      </c>
      <c r="E4920" s="19" t="n">
        <v>30.5833333333333</v>
      </c>
    </row>
    <row r="4921" customFormat="false" ht="15" hidden="false" customHeight="false" outlineLevel="0" collapsed="false">
      <c r="A4921" s="0" t="n">
        <v>4920</v>
      </c>
      <c r="B4921" s="18" t="n">
        <v>625109.421453687</v>
      </c>
      <c r="C4921" s="18" t="n">
        <v>0</v>
      </c>
      <c r="D4921" s="0" t="n">
        <v>0</v>
      </c>
      <c r="E4921" s="19" t="n">
        <v>33.5</v>
      </c>
    </row>
    <row r="4922" customFormat="false" ht="15" hidden="false" customHeight="false" outlineLevel="0" collapsed="false">
      <c r="A4922" s="0" t="n">
        <v>4921</v>
      </c>
      <c r="B4922" s="18" t="n">
        <v>1396200.83406803</v>
      </c>
      <c r="C4922" s="18" t="n">
        <v>13850473.498988</v>
      </c>
      <c r="D4922" s="0" t="n">
        <v>1</v>
      </c>
    </row>
    <row r="4923" customFormat="false" ht="15" hidden="false" customHeight="false" outlineLevel="0" collapsed="false">
      <c r="A4923" s="0" t="n">
        <v>4922</v>
      </c>
      <c r="B4923" s="18" t="n">
        <v>317191.6516513</v>
      </c>
      <c r="C4923" s="18" t="n">
        <v>0</v>
      </c>
      <c r="D4923" s="0" t="n">
        <v>0</v>
      </c>
      <c r="E4923" s="19" t="n">
        <v>31.75</v>
      </c>
    </row>
    <row r="4924" customFormat="false" ht="15" hidden="false" customHeight="false" outlineLevel="0" collapsed="false">
      <c r="A4924" s="0" t="n">
        <v>4923</v>
      </c>
      <c r="B4924" s="18" t="n">
        <v>704994.129451834</v>
      </c>
      <c r="C4924" s="18" t="n">
        <v>0</v>
      </c>
      <c r="D4924" s="0" t="n">
        <v>0</v>
      </c>
      <c r="E4924" s="19" t="n">
        <v>52.4166666666667</v>
      </c>
    </row>
    <row r="4925" customFormat="false" ht="15" hidden="false" customHeight="false" outlineLevel="0" collapsed="false">
      <c r="A4925" s="0" t="n">
        <v>4924</v>
      </c>
      <c r="B4925" s="18" t="n">
        <v>590906.213772869</v>
      </c>
      <c r="C4925" s="18" t="n">
        <v>0</v>
      </c>
      <c r="D4925" s="0" t="n">
        <v>0</v>
      </c>
      <c r="E4925" s="19" t="n">
        <v>45.25</v>
      </c>
    </row>
    <row r="4926" customFormat="false" ht="15" hidden="false" customHeight="false" outlineLevel="0" collapsed="false">
      <c r="A4926" s="0" t="n">
        <v>4925</v>
      </c>
      <c r="B4926" s="18" t="n">
        <v>2292387.7590774</v>
      </c>
      <c r="C4926" s="18" t="n">
        <v>9112310.61384258</v>
      </c>
      <c r="D4926" s="0" t="n">
        <v>1</v>
      </c>
    </row>
    <row r="4927" customFormat="false" ht="15" hidden="false" customHeight="false" outlineLevel="0" collapsed="false">
      <c r="A4927" s="0" t="n">
        <v>4926</v>
      </c>
      <c r="B4927" s="18" t="n">
        <v>761061.600241531</v>
      </c>
      <c r="C4927" s="18" t="n">
        <v>0</v>
      </c>
      <c r="D4927" s="0" t="n">
        <v>0</v>
      </c>
      <c r="E4927" s="19" t="n">
        <v>48.9166666666667</v>
      </c>
    </row>
    <row r="4928" customFormat="false" ht="15" hidden="false" customHeight="false" outlineLevel="0" collapsed="false">
      <c r="A4928" s="0" t="n">
        <v>4927</v>
      </c>
      <c r="B4928" s="18" t="n">
        <v>1401689.90345079</v>
      </c>
      <c r="C4928" s="18" t="n">
        <v>28996796.7457707</v>
      </c>
      <c r="D4928" s="0" t="n">
        <v>1</v>
      </c>
    </row>
    <row r="4929" customFormat="false" ht="15" hidden="false" customHeight="false" outlineLevel="0" collapsed="false">
      <c r="A4929" s="0" t="n">
        <v>4928</v>
      </c>
      <c r="B4929" s="18" t="n">
        <v>680409.776229232</v>
      </c>
      <c r="C4929" s="18" t="n">
        <v>0</v>
      </c>
      <c r="D4929" s="0" t="n">
        <v>0</v>
      </c>
      <c r="E4929" s="19" t="n">
        <v>37</v>
      </c>
    </row>
    <row r="4930" customFormat="false" ht="15" hidden="false" customHeight="false" outlineLevel="0" collapsed="false">
      <c r="A4930" s="0" t="n">
        <v>4929</v>
      </c>
      <c r="B4930" s="18" t="n">
        <v>2653234.97774686</v>
      </c>
      <c r="C4930" s="18" t="n">
        <v>7347797.89297792</v>
      </c>
      <c r="D4930" s="0" t="n">
        <v>1</v>
      </c>
    </row>
    <row r="4931" customFormat="false" ht="15" hidden="false" customHeight="false" outlineLevel="0" collapsed="false">
      <c r="A4931" s="0" t="n">
        <v>4930</v>
      </c>
      <c r="B4931" s="18" t="n">
        <v>1495667.62400927</v>
      </c>
      <c r="C4931" s="18" t="n">
        <v>19165125.8753579</v>
      </c>
      <c r="D4931" s="0" t="n">
        <v>1</v>
      </c>
    </row>
    <row r="4932" customFormat="false" ht="15" hidden="false" customHeight="false" outlineLevel="0" collapsed="false">
      <c r="A4932" s="0" t="n">
        <v>4931</v>
      </c>
      <c r="B4932" s="18" t="n">
        <v>1210614.26702824</v>
      </c>
      <c r="C4932" s="18" t="n">
        <v>0</v>
      </c>
      <c r="D4932" s="0" t="n">
        <v>0</v>
      </c>
      <c r="E4932" s="19" t="n">
        <v>46.6666666666667</v>
      </c>
    </row>
    <row r="4933" customFormat="false" ht="15" hidden="false" customHeight="false" outlineLevel="0" collapsed="false">
      <c r="A4933" s="0" t="n">
        <v>4932</v>
      </c>
      <c r="B4933" s="18" t="n">
        <v>842717.537825417</v>
      </c>
      <c r="C4933" s="18" t="n">
        <v>0</v>
      </c>
      <c r="D4933" s="0" t="n">
        <v>0</v>
      </c>
      <c r="E4933" s="19" t="n">
        <v>38.25</v>
      </c>
    </row>
    <row r="4934" customFormat="false" ht="15" hidden="false" customHeight="false" outlineLevel="0" collapsed="false">
      <c r="A4934" s="0" t="n">
        <v>4933</v>
      </c>
      <c r="B4934" s="18" t="n">
        <v>904177.205112171</v>
      </c>
      <c r="C4934" s="18" t="n">
        <v>0</v>
      </c>
      <c r="D4934" s="0" t="n">
        <v>0</v>
      </c>
      <c r="E4934" s="19" t="n">
        <v>42.5833333333333</v>
      </c>
    </row>
    <row r="4935" customFormat="false" ht="15" hidden="false" customHeight="false" outlineLevel="0" collapsed="false">
      <c r="A4935" s="0" t="n">
        <v>4934</v>
      </c>
      <c r="B4935" s="18" t="n">
        <v>904117.392520578</v>
      </c>
      <c r="C4935" s="18" t="n">
        <v>1771581.15871242</v>
      </c>
      <c r="D4935" s="0" t="n">
        <v>1</v>
      </c>
    </row>
    <row r="4936" customFormat="false" ht="15" hidden="false" customHeight="false" outlineLevel="0" collapsed="false">
      <c r="A4936" s="0" t="n">
        <v>4935</v>
      </c>
      <c r="B4936" s="18" t="n">
        <v>812713.871914669</v>
      </c>
      <c r="C4936" s="18" t="n">
        <v>0</v>
      </c>
      <c r="D4936" s="0" t="n">
        <v>0</v>
      </c>
      <c r="E4936" s="19" t="n">
        <v>39.0833333333333</v>
      </c>
    </row>
    <row r="4937" customFormat="false" ht="15" hidden="false" customHeight="false" outlineLevel="0" collapsed="false">
      <c r="A4937" s="0" t="n">
        <v>4936</v>
      </c>
      <c r="B4937" s="18" t="n">
        <v>2163182.70203406</v>
      </c>
      <c r="C4937" s="18" t="n">
        <v>1652640.7439429</v>
      </c>
      <c r="D4937" s="0" t="n">
        <v>1</v>
      </c>
    </row>
    <row r="4938" customFormat="false" ht="15" hidden="false" customHeight="false" outlineLevel="0" collapsed="false">
      <c r="A4938" s="0" t="n">
        <v>4937</v>
      </c>
      <c r="B4938" s="18" t="n">
        <v>1696056.3051672</v>
      </c>
      <c r="C4938" s="18" t="n">
        <v>13864081.4867187</v>
      </c>
      <c r="D4938" s="0" t="n">
        <v>1</v>
      </c>
    </row>
    <row r="4939" customFormat="false" ht="15" hidden="false" customHeight="false" outlineLevel="0" collapsed="false">
      <c r="A4939" s="0" t="n">
        <v>4938</v>
      </c>
      <c r="B4939" s="18" t="n">
        <v>1061149.37078731</v>
      </c>
      <c r="C4939" s="18" t="n">
        <v>0</v>
      </c>
      <c r="D4939" s="0" t="n">
        <v>0</v>
      </c>
      <c r="E4939" s="19" t="n">
        <v>43.5833333333333</v>
      </c>
    </row>
    <row r="4940" customFormat="false" ht="15" hidden="false" customHeight="false" outlineLevel="0" collapsed="false">
      <c r="A4940" s="0" t="n">
        <v>4939</v>
      </c>
      <c r="B4940" s="18" t="n">
        <v>2918588.08835182</v>
      </c>
      <c r="C4940" s="18" t="n">
        <v>4138204.4334325</v>
      </c>
      <c r="D4940" s="0" t="n">
        <v>1</v>
      </c>
    </row>
    <row r="4941" customFormat="false" ht="15" hidden="false" customHeight="false" outlineLevel="0" collapsed="false">
      <c r="A4941" s="0" t="n">
        <v>4940</v>
      </c>
      <c r="B4941" s="18" t="n">
        <v>354425.685706027</v>
      </c>
      <c r="C4941" s="18" t="n">
        <v>0</v>
      </c>
      <c r="D4941" s="0" t="n">
        <v>0</v>
      </c>
      <c r="E4941" s="19" t="n">
        <v>30.3333333333333</v>
      </c>
    </row>
    <row r="4942" customFormat="false" ht="15" hidden="false" customHeight="false" outlineLevel="0" collapsed="false">
      <c r="A4942" s="0" t="n">
        <v>4941</v>
      </c>
      <c r="B4942" s="18" t="n">
        <v>1667969.89528163</v>
      </c>
      <c r="C4942" s="18" t="n">
        <v>11545257.4858104</v>
      </c>
      <c r="D4942" s="0" t="n">
        <v>1</v>
      </c>
    </row>
    <row r="4943" customFormat="false" ht="15" hidden="false" customHeight="false" outlineLevel="0" collapsed="false">
      <c r="A4943" s="0" t="n">
        <v>4942</v>
      </c>
      <c r="B4943" s="18" t="n">
        <v>795238.104899307</v>
      </c>
      <c r="C4943" s="18" t="n">
        <v>0</v>
      </c>
      <c r="D4943" s="0" t="n">
        <v>0</v>
      </c>
      <c r="E4943" s="19" t="n">
        <v>42.6666666666667</v>
      </c>
    </row>
    <row r="4944" customFormat="false" ht="15" hidden="false" customHeight="false" outlineLevel="0" collapsed="false">
      <c r="A4944" s="0" t="n">
        <v>4943</v>
      </c>
      <c r="B4944" s="18" t="n">
        <v>964430.861424826</v>
      </c>
      <c r="C4944" s="18" t="n">
        <v>0</v>
      </c>
      <c r="D4944" s="0" t="n">
        <v>0</v>
      </c>
      <c r="E4944" s="19" t="n">
        <v>36</v>
      </c>
    </row>
    <row r="4945" customFormat="false" ht="15" hidden="false" customHeight="false" outlineLevel="0" collapsed="false">
      <c r="A4945" s="0" t="n">
        <v>4944</v>
      </c>
      <c r="B4945" s="18" t="n">
        <v>985770.045119006</v>
      </c>
      <c r="C4945" s="18" t="n">
        <v>0</v>
      </c>
      <c r="D4945" s="0" t="n">
        <v>0</v>
      </c>
      <c r="E4945" s="19" t="n">
        <v>47.75</v>
      </c>
    </row>
    <row r="4946" customFormat="false" ht="15" hidden="false" customHeight="false" outlineLevel="0" collapsed="false">
      <c r="A4946" s="0" t="n">
        <v>4945</v>
      </c>
      <c r="B4946" s="18" t="n">
        <v>410503.09435787</v>
      </c>
      <c r="C4946" s="18" t="n">
        <v>0</v>
      </c>
      <c r="D4946" s="0" t="n">
        <v>0</v>
      </c>
      <c r="E4946" s="19" t="n">
        <v>32.5833333333333</v>
      </c>
    </row>
    <row r="4947" customFormat="false" ht="15" hidden="false" customHeight="false" outlineLevel="0" collapsed="false">
      <c r="A4947" s="0" t="n">
        <v>4946</v>
      </c>
      <c r="B4947" s="18" t="n">
        <v>729465.924157653</v>
      </c>
      <c r="C4947" s="18" t="n">
        <v>0</v>
      </c>
      <c r="D4947" s="0" t="n">
        <v>0</v>
      </c>
      <c r="E4947" s="19" t="n">
        <v>38.9166666666667</v>
      </c>
    </row>
    <row r="4948" customFormat="false" ht="15" hidden="false" customHeight="false" outlineLevel="0" collapsed="false">
      <c r="A4948" s="0" t="n">
        <v>4947</v>
      </c>
      <c r="B4948" s="18" t="n">
        <v>336980.775933089</v>
      </c>
      <c r="C4948" s="18" t="n">
        <v>0</v>
      </c>
      <c r="D4948" s="0" t="n">
        <v>0</v>
      </c>
      <c r="E4948" s="19" t="n">
        <v>30.8333333333333</v>
      </c>
    </row>
    <row r="4949" customFormat="false" ht="15" hidden="false" customHeight="false" outlineLevel="0" collapsed="false">
      <c r="A4949" s="0" t="n">
        <v>4948</v>
      </c>
      <c r="B4949" s="18" t="n">
        <v>1430813.96626765</v>
      </c>
      <c r="C4949" s="18" t="n">
        <v>0</v>
      </c>
      <c r="D4949" s="0" t="n">
        <v>0</v>
      </c>
      <c r="E4949" s="19" t="n">
        <v>45.0833333333333</v>
      </c>
    </row>
    <row r="4950" customFormat="false" ht="15" hidden="false" customHeight="false" outlineLevel="0" collapsed="false">
      <c r="A4950" s="0" t="n">
        <v>4949</v>
      </c>
      <c r="B4950" s="18" t="n">
        <v>1101916.38676125</v>
      </c>
      <c r="C4950" s="18" t="n">
        <v>0</v>
      </c>
      <c r="D4950" s="0" t="n">
        <v>0</v>
      </c>
      <c r="E4950" s="19" t="n">
        <v>37.8333333333333</v>
      </c>
    </row>
    <row r="4951" customFormat="false" ht="15" hidden="false" customHeight="false" outlineLevel="0" collapsed="false">
      <c r="A4951" s="0" t="n">
        <v>4950</v>
      </c>
      <c r="B4951" s="18" t="n">
        <v>647535.223264095</v>
      </c>
      <c r="C4951" s="18" t="n">
        <v>0</v>
      </c>
      <c r="D4951" s="0" t="n">
        <v>0</v>
      </c>
      <c r="E4951" s="19" t="n">
        <v>43.1666666666667</v>
      </c>
    </row>
    <row r="4952" customFormat="false" ht="15" hidden="false" customHeight="false" outlineLevel="0" collapsed="false">
      <c r="A4952" s="0" t="n">
        <v>4951</v>
      </c>
      <c r="B4952" s="18" t="n">
        <v>370475.724462499</v>
      </c>
      <c r="C4952" s="18" t="n">
        <v>0</v>
      </c>
      <c r="D4952" s="0" t="n">
        <v>0</v>
      </c>
      <c r="E4952" s="19" t="n">
        <v>31.1666666666667</v>
      </c>
    </row>
    <row r="4953" customFormat="false" ht="15" hidden="false" customHeight="false" outlineLevel="0" collapsed="false">
      <c r="A4953" s="0" t="n">
        <v>4952</v>
      </c>
      <c r="B4953" s="18" t="n">
        <v>1034053.39567582</v>
      </c>
      <c r="C4953" s="18" t="n">
        <v>0</v>
      </c>
      <c r="D4953" s="0" t="n">
        <v>0</v>
      </c>
      <c r="E4953" s="19" t="n">
        <v>50.3333333333333</v>
      </c>
    </row>
    <row r="4954" customFormat="false" ht="15" hidden="false" customHeight="false" outlineLevel="0" collapsed="false">
      <c r="A4954" s="0" t="n">
        <v>4953</v>
      </c>
      <c r="B4954" s="18" t="n">
        <v>874500.996496945</v>
      </c>
      <c r="C4954" s="18" t="n">
        <v>0</v>
      </c>
      <c r="D4954" s="0" t="n">
        <v>0</v>
      </c>
      <c r="E4954" s="19" t="n">
        <v>35</v>
      </c>
    </row>
    <row r="4955" customFormat="false" ht="15" hidden="false" customHeight="false" outlineLevel="0" collapsed="false">
      <c r="A4955" s="0" t="n">
        <v>4954</v>
      </c>
      <c r="B4955" s="18" t="n">
        <v>750772.058110036</v>
      </c>
      <c r="C4955" s="18" t="n">
        <v>0</v>
      </c>
      <c r="D4955" s="0" t="n">
        <v>0</v>
      </c>
      <c r="E4955" s="19" t="n">
        <v>39.5833333333333</v>
      </c>
    </row>
    <row r="4956" customFormat="false" ht="15" hidden="false" customHeight="false" outlineLevel="0" collapsed="false">
      <c r="A4956" s="0" t="n">
        <v>4955</v>
      </c>
      <c r="B4956" s="18" t="n">
        <v>1221010.11718368</v>
      </c>
      <c r="C4956" s="18" t="n">
        <v>273243.544102645</v>
      </c>
      <c r="D4956" s="0" t="n">
        <v>1</v>
      </c>
    </row>
    <row r="4957" customFormat="false" ht="15" hidden="false" customHeight="false" outlineLevel="0" collapsed="false">
      <c r="A4957" s="0" t="n">
        <v>4956</v>
      </c>
      <c r="B4957" s="18" t="n">
        <v>1223152.7810776</v>
      </c>
      <c r="C4957" s="18" t="n">
        <v>5003822.92424046</v>
      </c>
      <c r="D4957" s="0" t="n">
        <v>1</v>
      </c>
    </row>
    <row r="4958" customFormat="false" ht="15" hidden="false" customHeight="false" outlineLevel="0" collapsed="false">
      <c r="A4958" s="0" t="n">
        <v>4957</v>
      </c>
      <c r="B4958" s="18" t="n">
        <v>2726512.91442382</v>
      </c>
      <c r="C4958" s="18" t="n">
        <v>9058057.97331351</v>
      </c>
      <c r="D4958" s="0" t="n">
        <v>1</v>
      </c>
    </row>
    <row r="4959" customFormat="false" ht="15" hidden="false" customHeight="false" outlineLevel="0" collapsed="false">
      <c r="A4959" s="0" t="n">
        <v>4958</v>
      </c>
      <c r="B4959" s="18" t="n">
        <v>1224722.41762177</v>
      </c>
      <c r="C4959" s="18" t="n">
        <v>0</v>
      </c>
      <c r="D4959" s="0" t="n">
        <v>0</v>
      </c>
      <c r="E4959" s="19" t="n">
        <v>52.8333333333333</v>
      </c>
    </row>
    <row r="4960" customFormat="false" ht="15" hidden="false" customHeight="false" outlineLevel="0" collapsed="false">
      <c r="A4960" s="0" t="n">
        <v>4959</v>
      </c>
      <c r="B4960" s="18" t="n">
        <v>349596.085402684</v>
      </c>
      <c r="C4960" s="18" t="n">
        <v>0</v>
      </c>
      <c r="D4960" s="0" t="n">
        <v>0</v>
      </c>
      <c r="E4960" s="19" t="n">
        <v>30.9166666666667</v>
      </c>
    </row>
    <row r="4961" customFormat="false" ht="15" hidden="false" customHeight="false" outlineLevel="0" collapsed="false">
      <c r="A4961" s="0" t="n">
        <v>4960</v>
      </c>
      <c r="B4961" s="18" t="n">
        <v>283210.893261947</v>
      </c>
      <c r="C4961" s="18" t="n">
        <v>0</v>
      </c>
      <c r="D4961" s="0" t="n">
        <v>0</v>
      </c>
      <c r="E4961" s="19" t="n">
        <v>32.3333333333333</v>
      </c>
    </row>
    <row r="4962" customFormat="false" ht="15" hidden="false" customHeight="false" outlineLevel="0" collapsed="false">
      <c r="A4962" s="0" t="n">
        <v>4961</v>
      </c>
      <c r="B4962" s="18" t="n">
        <v>1096053.23103304</v>
      </c>
      <c r="C4962" s="18" t="n">
        <v>297066.456162079</v>
      </c>
      <c r="D4962" s="0" t="n">
        <v>1</v>
      </c>
    </row>
    <row r="4963" customFormat="false" ht="15" hidden="false" customHeight="false" outlineLevel="0" collapsed="false">
      <c r="A4963" s="0" t="n">
        <v>4962</v>
      </c>
      <c r="B4963" s="18" t="n">
        <v>1020133.28226038</v>
      </c>
      <c r="C4963" s="18" t="n">
        <v>0</v>
      </c>
      <c r="D4963" s="0" t="n">
        <v>0</v>
      </c>
      <c r="E4963" s="19" t="n">
        <v>39.75</v>
      </c>
    </row>
    <row r="4964" customFormat="false" ht="15" hidden="false" customHeight="false" outlineLevel="0" collapsed="false">
      <c r="A4964" s="0" t="n">
        <v>4963</v>
      </c>
      <c r="B4964" s="18" t="n">
        <v>1747233.29413514</v>
      </c>
      <c r="C4964" s="18" t="n">
        <v>0</v>
      </c>
      <c r="D4964" s="0" t="n">
        <v>0</v>
      </c>
      <c r="E4964" s="19" t="n">
        <v>53.75</v>
      </c>
    </row>
    <row r="4965" customFormat="false" ht="15" hidden="false" customHeight="false" outlineLevel="0" collapsed="false">
      <c r="A4965" s="0" t="n">
        <v>4964</v>
      </c>
      <c r="B4965" s="18" t="n">
        <v>1289051.50176848</v>
      </c>
      <c r="C4965" s="18" t="n">
        <v>3189420.24772882</v>
      </c>
      <c r="D4965" s="0" t="n">
        <v>1</v>
      </c>
    </row>
    <row r="4966" customFormat="false" ht="15" hidden="false" customHeight="false" outlineLevel="0" collapsed="false">
      <c r="A4966" s="0" t="n">
        <v>4965</v>
      </c>
      <c r="B4966" s="18" t="n">
        <v>1154758.5466688</v>
      </c>
      <c r="C4966" s="18" t="n">
        <v>2450761.75734524</v>
      </c>
      <c r="D4966" s="0" t="n">
        <v>1</v>
      </c>
    </row>
    <row r="4967" customFormat="false" ht="15" hidden="false" customHeight="false" outlineLevel="0" collapsed="false">
      <c r="A4967" s="0" t="n">
        <v>4966</v>
      </c>
      <c r="B4967" s="18" t="n">
        <v>964938.84430093</v>
      </c>
      <c r="C4967" s="18" t="n">
        <v>0</v>
      </c>
      <c r="D4967" s="0" t="n">
        <v>0</v>
      </c>
      <c r="E4967" s="19" t="n">
        <v>51.5</v>
      </c>
    </row>
    <row r="4968" customFormat="false" ht="15" hidden="false" customHeight="false" outlineLevel="0" collapsed="false">
      <c r="A4968" s="0" t="n">
        <v>4967</v>
      </c>
      <c r="B4968" s="18" t="n">
        <v>1665209.09288677</v>
      </c>
      <c r="C4968" s="18" t="n">
        <v>3800068.68044721</v>
      </c>
      <c r="D4968" s="0" t="n">
        <v>1</v>
      </c>
    </row>
    <row r="4969" customFormat="false" ht="15" hidden="false" customHeight="false" outlineLevel="0" collapsed="false">
      <c r="A4969" s="0" t="n">
        <v>4968</v>
      </c>
      <c r="B4969" s="18" t="n">
        <v>927279.837213084</v>
      </c>
      <c r="C4969" s="18" t="n">
        <v>0</v>
      </c>
      <c r="D4969" s="0" t="n">
        <v>0</v>
      </c>
      <c r="E4969" s="19" t="n">
        <v>37.6666666666667</v>
      </c>
    </row>
    <row r="4970" customFormat="false" ht="15" hidden="false" customHeight="false" outlineLevel="0" collapsed="false">
      <c r="A4970" s="0" t="n">
        <v>4969</v>
      </c>
      <c r="B4970" s="18" t="n">
        <v>1973907.44824298</v>
      </c>
      <c r="C4970" s="18" t="n">
        <v>4117585.99063718</v>
      </c>
      <c r="D4970" s="0" t="n">
        <v>1</v>
      </c>
    </row>
    <row r="4971" customFormat="false" ht="15" hidden="false" customHeight="false" outlineLevel="0" collapsed="false">
      <c r="A4971" s="0" t="n">
        <v>4970</v>
      </c>
      <c r="B4971" s="18" t="n">
        <v>406270.814000217</v>
      </c>
      <c r="C4971" s="18" t="n">
        <v>0</v>
      </c>
      <c r="D4971" s="0" t="n">
        <v>0</v>
      </c>
      <c r="E4971" s="19" t="n">
        <v>32</v>
      </c>
    </row>
    <row r="4972" customFormat="false" ht="15" hidden="false" customHeight="false" outlineLevel="0" collapsed="false">
      <c r="A4972" s="0" t="n">
        <v>4971</v>
      </c>
      <c r="B4972" s="18" t="n">
        <v>2433726.30510309</v>
      </c>
      <c r="C4972" s="18" t="n">
        <v>37013047.218361</v>
      </c>
      <c r="D4972" s="0" t="n">
        <v>1</v>
      </c>
    </row>
    <row r="4973" customFormat="false" ht="15" hidden="false" customHeight="false" outlineLevel="0" collapsed="false">
      <c r="A4973" s="0" t="n">
        <v>4972</v>
      </c>
      <c r="B4973" s="18" t="n">
        <v>535217.572212265</v>
      </c>
      <c r="C4973" s="18" t="n">
        <v>0</v>
      </c>
      <c r="D4973" s="0" t="n">
        <v>0</v>
      </c>
      <c r="E4973" s="19" t="n">
        <v>33.9166666666667</v>
      </c>
    </row>
    <row r="4974" customFormat="false" ht="15" hidden="false" customHeight="false" outlineLevel="0" collapsed="false">
      <c r="A4974" s="0" t="n">
        <v>4973</v>
      </c>
      <c r="B4974" s="18" t="n">
        <v>525505.928950396</v>
      </c>
      <c r="C4974" s="18" t="n">
        <v>0</v>
      </c>
      <c r="D4974" s="0" t="n">
        <v>0</v>
      </c>
      <c r="E4974" s="19" t="n">
        <v>35</v>
      </c>
    </row>
    <row r="4975" customFormat="false" ht="15" hidden="false" customHeight="false" outlineLevel="0" collapsed="false">
      <c r="A4975" s="0" t="n">
        <v>4974</v>
      </c>
      <c r="B4975" s="18" t="n">
        <v>530451.862014733</v>
      </c>
      <c r="C4975" s="18" t="n">
        <v>0</v>
      </c>
      <c r="D4975" s="0" t="n">
        <v>0</v>
      </c>
      <c r="E4975" s="19" t="n">
        <v>34.1666666666667</v>
      </c>
    </row>
    <row r="4976" customFormat="false" ht="15" hidden="false" customHeight="false" outlineLevel="0" collapsed="false">
      <c r="A4976" s="0" t="n">
        <v>4975</v>
      </c>
      <c r="B4976" s="18" t="n">
        <v>1119241.35679004</v>
      </c>
      <c r="C4976" s="18" t="n">
        <v>4120643.30093623</v>
      </c>
      <c r="D4976" s="0" t="n">
        <v>1</v>
      </c>
    </row>
    <row r="4977" customFormat="false" ht="15" hidden="false" customHeight="false" outlineLevel="0" collapsed="false">
      <c r="A4977" s="0" t="n">
        <v>4976</v>
      </c>
      <c r="B4977" s="18" t="n">
        <v>1044516.0161695</v>
      </c>
      <c r="C4977" s="18" t="n">
        <v>0</v>
      </c>
      <c r="D4977" s="0" t="n">
        <v>0</v>
      </c>
      <c r="E4977" s="19" t="n">
        <v>43.25</v>
      </c>
    </row>
    <row r="4978" customFormat="false" ht="15" hidden="false" customHeight="false" outlineLevel="0" collapsed="false">
      <c r="A4978" s="0" t="n">
        <v>4977</v>
      </c>
      <c r="B4978" s="18" t="n">
        <v>424091.683524571</v>
      </c>
      <c r="C4978" s="18" t="n">
        <v>0</v>
      </c>
      <c r="D4978" s="0" t="n">
        <v>0</v>
      </c>
      <c r="E4978" s="19" t="n">
        <v>37.75</v>
      </c>
    </row>
    <row r="4979" customFormat="false" ht="15" hidden="false" customHeight="false" outlineLevel="0" collapsed="false">
      <c r="A4979" s="0" t="n">
        <v>4978</v>
      </c>
      <c r="B4979" s="18" t="n">
        <v>727092.485690891</v>
      </c>
      <c r="C4979" s="18" t="n">
        <v>0</v>
      </c>
      <c r="D4979" s="0" t="n">
        <v>0</v>
      </c>
      <c r="E4979" s="19" t="n">
        <v>37.1666666666667</v>
      </c>
    </row>
    <row r="4980" customFormat="false" ht="15" hidden="false" customHeight="false" outlineLevel="0" collapsed="false">
      <c r="A4980" s="0" t="n">
        <v>4979</v>
      </c>
      <c r="B4980" s="18" t="n">
        <v>1808097.77541077</v>
      </c>
      <c r="C4980" s="18" t="n">
        <v>2442306.91921709</v>
      </c>
      <c r="D4980" s="0" t="n">
        <v>1</v>
      </c>
    </row>
    <row r="4981" customFormat="false" ht="15" hidden="false" customHeight="false" outlineLevel="0" collapsed="false">
      <c r="A4981" s="0" t="n">
        <v>4980</v>
      </c>
      <c r="B4981" s="18" t="n">
        <v>2043077.62679723</v>
      </c>
      <c r="C4981" s="18" t="n">
        <v>11713636.5108606</v>
      </c>
      <c r="D4981" s="0" t="n">
        <v>1</v>
      </c>
    </row>
    <row r="4982" customFormat="false" ht="15" hidden="false" customHeight="false" outlineLevel="0" collapsed="false">
      <c r="A4982" s="0" t="n">
        <v>4981</v>
      </c>
      <c r="B4982" s="18" t="n">
        <v>454724.602495108</v>
      </c>
      <c r="C4982" s="18" t="n">
        <v>0</v>
      </c>
      <c r="D4982" s="0" t="n">
        <v>0</v>
      </c>
      <c r="E4982" s="19" t="n">
        <v>31.25</v>
      </c>
    </row>
    <row r="4983" customFormat="false" ht="15" hidden="false" customHeight="false" outlineLevel="0" collapsed="false">
      <c r="A4983" s="0" t="n">
        <v>4982</v>
      </c>
      <c r="B4983" s="18" t="n">
        <v>638604.24976299</v>
      </c>
      <c r="C4983" s="18" t="n">
        <v>0</v>
      </c>
      <c r="D4983" s="0" t="n">
        <v>0</v>
      </c>
      <c r="E4983" s="19" t="n">
        <v>38.25</v>
      </c>
    </row>
    <row r="4984" customFormat="false" ht="15" hidden="false" customHeight="false" outlineLevel="0" collapsed="false">
      <c r="A4984" s="0" t="n">
        <v>4983</v>
      </c>
      <c r="B4984" s="18" t="n">
        <v>2210742.53642332</v>
      </c>
      <c r="C4984" s="18" t="n">
        <v>34613803.6101451</v>
      </c>
      <c r="D4984" s="0" t="n">
        <v>1</v>
      </c>
    </row>
    <row r="4985" customFormat="false" ht="15" hidden="false" customHeight="false" outlineLevel="0" collapsed="false">
      <c r="A4985" s="0" t="n">
        <v>4984</v>
      </c>
      <c r="B4985" s="18" t="n">
        <v>2398587.24994361</v>
      </c>
      <c r="C4985" s="18" t="n">
        <v>869627.731931747</v>
      </c>
      <c r="D4985" s="0" t="n">
        <v>1</v>
      </c>
    </row>
    <row r="4986" customFormat="false" ht="15" hidden="false" customHeight="false" outlineLevel="0" collapsed="false">
      <c r="A4986" s="0" t="n">
        <v>4985</v>
      </c>
      <c r="B4986" s="18" t="n">
        <v>259522.173717073</v>
      </c>
      <c r="C4986" s="18" t="n">
        <v>0</v>
      </c>
      <c r="D4986" s="0" t="n">
        <v>0</v>
      </c>
      <c r="E4986" s="19" t="n">
        <v>30.4166666666667</v>
      </c>
    </row>
    <row r="4987" customFormat="false" ht="15" hidden="false" customHeight="false" outlineLevel="0" collapsed="false">
      <c r="A4987" s="0" t="n">
        <v>4986</v>
      </c>
      <c r="B4987" s="18" t="n">
        <v>1822264.51024584</v>
      </c>
      <c r="C4987" s="18" t="n">
        <v>7575189.92655365</v>
      </c>
      <c r="D4987" s="0" t="n">
        <v>1</v>
      </c>
    </row>
    <row r="4988" customFormat="false" ht="15" hidden="false" customHeight="false" outlineLevel="0" collapsed="false">
      <c r="A4988" s="0" t="n">
        <v>4987</v>
      </c>
      <c r="B4988" s="18" t="n">
        <v>980444.541840183</v>
      </c>
      <c r="C4988" s="18" t="n">
        <v>1422800.31619433</v>
      </c>
      <c r="D4988" s="0" t="n">
        <v>1</v>
      </c>
    </row>
    <row r="4989" customFormat="false" ht="15" hidden="false" customHeight="false" outlineLevel="0" collapsed="false">
      <c r="A4989" s="0" t="n">
        <v>4988</v>
      </c>
      <c r="B4989" s="18" t="n">
        <v>1380328.05809018</v>
      </c>
      <c r="C4989" s="18" t="n">
        <v>0</v>
      </c>
      <c r="D4989" s="0" t="n">
        <v>0</v>
      </c>
      <c r="E4989" s="19" t="n">
        <v>45.6666666666667</v>
      </c>
    </row>
    <row r="4990" customFormat="false" ht="15" hidden="false" customHeight="false" outlineLevel="0" collapsed="false">
      <c r="A4990" s="0" t="n">
        <v>4989</v>
      </c>
      <c r="B4990" s="18" t="n">
        <v>1256405.09692343</v>
      </c>
      <c r="C4990" s="18" t="n">
        <v>1048762.89855186</v>
      </c>
      <c r="D4990" s="0" t="n">
        <v>1</v>
      </c>
    </row>
    <row r="4991" customFormat="false" ht="15" hidden="false" customHeight="false" outlineLevel="0" collapsed="false">
      <c r="A4991" s="0" t="n">
        <v>4990</v>
      </c>
      <c r="B4991" s="18" t="n">
        <v>510423.191637026</v>
      </c>
      <c r="C4991" s="18" t="n">
        <v>0</v>
      </c>
      <c r="D4991" s="0" t="n">
        <v>0</v>
      </c>
      <c r="E4991" s="19" t="n">
        <v>33.9166666666667</v>
      </c>
    </row>
    <row r="4992" customFormat="false" ht="15" hidden="false" customHeight="false" outlineLevel="0" collapsed="false">
      <c r="A4992" s="0" t="n">
        <v>4991</v>
      </c>
      <c r="B4992" s="18" t="n">
        <v>1155997.86969443</v>
      </c>
      <c r="C4992" s="18" t="n">
        <v>4662522.63116582</v>
      </c>
      <c r="D4992" s="0" t="n">
        <v>1</v>
      </c>
    </row>
    <row r="4993" customFormat="false" ht="15" hidden="false" customHeight="false" outlineLevel="0" collapsed="false">
      <c r="A4993" s="0" t="n">
        <v>4992</v>
      </c>
      <c r="B4993" s="18" t="n">
        <v>2630913.94013106</v>
      </c>
      <c r="C4993" s="18" t="n">
        <v>9816185.09251169</v>
      </c>
      <c r="D4993" s="0" t="n">
        <v>1</v>
      </c>
    </row>
    <row r="4994" customFormat="false" ht="15" hidden="false" customHeight="false" outlineLevel="0" collapsed="false">
      <c r="A4994" s="0" t="n">
        <v>4993</v>
      </c>
      <c r="B4994" s="18" t="n">
        <v>1030497.83279419</v>
      </c>
      <c r="C4994" s="18" t="n">
        <v>0</v>
      </c>
      <c r="D4994" s="0" t="n">
        <v>0</v>
      </c>
      <c r="E4994" s="19" t="n">
        <v>42.6666666666667</v>
      </c>
    </row>
    <row r="4995" customFormat="false" ht="15" hidden="false" customHeight="false" outlineLevel="0" collapsed="false">
      <c r="A4995" s="0" t="n">
        <v>4994</v>
      </c>
      <c r="B4995" s="18" t="n">
        <v>810294.212062831</v>
      </c>
      <c r="C4995" s="18" t="n">
        <v>7269622.07039862</v>
      </c>
      <c r="D4995" s="0" t="n">
        <v>1</v>
      </c>
    </row>
    <row r="4996" customFormat="false" ht="15" hidden="false" customHeight="false" outlineLevel="0" collapsed="false">
      <c r="A4996" s="0" t="n">
        <v>4995</v>
      </c>
      <c r="B4996" s="18" t="n">
        <v>863661.574301143</v>
      </c>
      <c r="C4996" s="18" t="n">
        <v>15696998.7736929</v>
      </c>
      <c r="D4996" s="0" t="n">
        <v>1</v>
      </c>
    </row>
    <row r="4997" customFormat="false" ht="15" hidden="false" customHeight="false" outlineLevel="0" collapsed="false">
      <c r="A4997" s="0" t="n">
        <v>4996</v>
      </c>
      <c r="B4997" s="18" t="n">
        <v>1628464.69779623</v>
      </c>
      <c r="C4997" s="18" t="n">
        <v>1906139.80205131</v>
      </c>
      <c r="D4997" s="0" t="n">
        <v>1</v>
      </c>
    </row>
    <row r="4998" customFormat="false" ht="15" hidden="false" customHeight="false" outlineLevel="0" collapsed="false">
      <c r="A4998" s="0" t="n">
        <v>4997</v>
      </c>
      <c r="B4998" s="18" t="n">
        <v>1958559.66423255</v>
      </c>
      <c r="C4998" s="18" t="n">
        <v>2800568.20200334</v>
      </c>
      <c r="D4998" s="0" t="n">
        <v>1</v>
      </c>
    </row>
    <row r="4999" customFormat="false" ht="15" hidden="false" customHeight="false" outlineLevel="0" collapsed="false">
      <c r="A4999" s="0" t="n">
        <v>4998</v>
      </c>
      <c r="B4999" s="18" t="n">
        <v>1681474.34670328</v>
      </c>
      <c r="C4999" s="18" t="n">
        <v>16524983.5458884</v>
      </c>
      <c r="D4999" s="0" t="n">
        <v>1</v>
      </c>
    </row>
    <row r="5000" customFormat="false" ht="15" hidden="false" customHeight="false" outlineLevel="0" collapsed="false">
      <c r="A5000" s="0" t="n">
        <v>4999</v>
      </c>
      <c r="B5000" s="18" t="n">
        <v>879717.446492868</v>
      </c>
      <c r="C5000" s="18" t="n">
        <v>0</v>
      </c>
      <c r="D5000" s="0" t="n">
        <v>0</v>
      </c>
      <c r="E5000" s="19" t="n">
        <v>46</v>
      </c>
    </row>
    <row r="5001" customFormat="false" ht="15" hidden="false" customHeight="false" outlineLevel="0" collapsed="false">
      <c r="A5001" s="0" t="n">
        <v>5000</v>
      </c>
      <c r="B5001" s="18" t="n">
        <v>646061.678329177</v>
      </c>
      <c r="C5001" s="18" t="n">
        <v>0</v>
      </c>
      <c r="D5001" s="0" t="n">
        <v>0</v>
      </c>
      <c r="E5001" s="19" t="n">
        <v>36.6666666666667</v>
      </c>
    </row>
    <row r="5002" customFormat="false" ht="15" hidden="false" customHeight="false" outlineLevel="0" collapsed="false">
      <c r="A5002" s="0" t="n">
        <v>5001</v>
      </c>
      <c r="B5002" s="18" t="n">
        <v>724248.048089601</v>
      </c>
      <c r="C5002" s="18" t="n">
        <v>0</v>
      </c>
      <c r="D5002" s="0" t="n">
        <v>0</v>
      </c>
      <c r="E5002" s="19" t="n">
        <v>37.8333333333333</v>
      </c>
    </row>
    <row r="5003" customFormat="false" ht="15" hidden="false" customHeight="false" outlineLevel="0" collapsed="false">
      <c r="A5003" s="0" t="n">
        <v>5002</v>
      </c>
      <c r="B5003" s="18" t="n">
        <v>1535960.6402915</v>
      </c>
      <c r="C5003" s="18" t="n">
        <v>10497898.7979179</v>
      </c>
      <c r="D5003" s="0" t="n">
        <v>1</v>
      </c>
    </row>
    <row r="5004" customFormat="false" ht="15" hidden="false" customHeight="false" outlineLevel="0" collapsed="false">
      <c r="A5004" s="0" t="n">
        <v>5003</v>
      </c>
      <c r="B5004" s="18" t="n">
        <v>799364.519066382</v>
      </c>
      <c r="C5004" s="18" t="n">
        <v>0</v>
      </c>
      <c r="D5004" s="0" t="n">
        <v>0</v>
      </c>
      <c r="E5004" s="19" t="n">
        <v>42.6666666666667</v>
      </c>
    </row>
    <row r="5005" customFormat="false" ht="15" hidden="false" customHeight="false" outlineLevel="0" collapsed="false">
      <c r="A5005" s="0" t="n">
        <v>5004</v>
      </c>
      <c r="B5005" s="18" t="n">
        <v>810289.302368841</v>
      </c>
      <c r="C5005" s="18" t="n">
        <v>0</v>
      </c>
      <c r="D5005" s="0" t="n">
        <v>0</v>
      </c>
      <c r="E5005" s="19" t="n">
        <v>47.75</v>
      </c>
    </row>
    <row r="5006" customFormat="false" ht="15" hidden="false" customHeight="false" outlineLevel="0" collapsed="false">
      <c r="A5006" s="0" t="n">
        <v>5005</v>
      </c>
      <c r="B5006" s="18" t="n">
        <v>647093.406539391</v>
      </c>
      <c r="C5006" s="18" t="n">
        <v>0</v>
      </c>
      <c r="D5006" s="0" t="n">
        <v>0</v>
      </c>
      <c r="E5006" s="19" t="n">
        <v>36.25</v>
      </c>
    </row>
    <row r="5007" customFormat="false" ht="15" hidden="false" customHeight="false" outlineLevel="0" collapsed="false">
      <c r="A5007" s="0" t="n">
        <v>5006</v>
      </c>
      <c r="B5007" s="18" t="n">
        <v>1313936.7919233</v>
      </c>
      <c r="C5007" s="18" t="n">
        <v>10499214.6251083</v>
      </c>
      <c r="D5007" s="0" t="n">
        <v>1</v>
      </c>
    </row>
    <row r="5008" customFormat="false" ht="15" hidden="false" customHeight="false" outlineLevel="0" collapsed="false">
      <c r="A5008" s="0" t="n">
        <v>5007</v>
      </c>
      <c r="B5008" s="18" t="n">
        <v>534735.010634019</v>
      </c>
      <c r="C5008" s="18" t="n">
        <v>0</v>
      </c>
      <c r="D5008" s="0" t="n">
        <v>0</v>
      </c>
      <c r="E5008" s="19" t="n">
        <v>37.0833333333333</v>
      </c>
    </row>
    <row r="5009" customFormat="false" ht="15" hidden="false" customHeight="false" outlineLevel="0" collapsed="false">
      <c r="A5009" s="0" t="n">
        <v>5008</v>
      </c>
      <c r="B5009" s="18" t="n">
        <v>775071.049295771</v>
      </c>
      <c r="C5009" s="18" t="n">
        <v>6574200.22079904</v>
      </c>
      <c r="D5009" s="0" t="n">
        <v>1</v>
      </c>
    </row>
    <row r="5010" customFormat="false" ht="15" hidden="false" customHeight="false" outlineLevel="0" collapsed="false">
      <c r="A5010" s="0" t="n">
        <v>5009</v>
      </c>
      <c r="B5010" s="18" t="n">
        <v>1838205.6976159</v>
      </c>
      <c r="C5010" s="18" t="n">
        <v>3630241.33642846</v>
      </c>
      <c r="D5010" s="0" t="n">
        <v>1</v>
      </c>
    </row>
    <row r="5011" customFormat="false" ht="15" hidden="false" customHeight="false" outlineLevel="0" collapsed="false">
      <c r="A5011" s="0" t="n">
        <v>5010</v>
      </c>
      <c r="B5011" s="18" t="n">
        <v>1453394.42426626</v>
      </c>
      <c r="C5011" s="18" t="n">
        <v>0</v>
      </c>
      <c r="D5011" s="0" t="n">
        <v>0</v>
      </c>
      <c r="E5011" s="19" t="n">
        <v>40.5</v>
      </c>
    </row>
    <row r="5012" customFormat="false" ht="15" hidden="false" customHeight="false" outlineLevel="0" collapsed="false">
      <c r="A5012" s="0" t="n">
        <v>5011</v>
      </c>
      <c r="B5012" s="18" t="n">
        <v>517432.590898587</v>
      </c>
      <c r="C5012" s="18" t="n">
        <v>0</v>
      </c>
      <c r="D5012" s="0" t="n">
        <v>0</v>
      </c>
      <c r="E5012" s="19" t="n">
        <v>42.8333333333333</v>
      </c>
    </row>
    <row r="5013" customFormat="false" ht="15" hidden="false" customHeight="false" outlineLevel="0" collapsed="false">
      <c r="A5013" s="0" t="n">
        <v>5012</v>
      </c>
      <c r="B5013" s="18" t="n">
        <v>1065186.64575407</v>
      </c>
      <c r="C5013" s="18" t="n">
        <v>0</v>
      </c>
      <c r="D5013" s="0" t="n">
        <v>0</v>
      </c>
      <c r="E5013" s="19" t="n">
        <v>46.5</v>
      </c>
    </row>
    <row r="5014" customFormat="false" ht="15" hidden="false" customHeight="false" outlineLevel="0" collapsed="false">
      <c r="A5014" s="0" t="n">
        <v>5013</v>
      </c>
      <c r="B5014" s="18" t="n">
        <v>1088377.58099552</v>
      </c>
      <c r="C5014" s="18" t="n">
        <v>737754.533510183</v>
      </c>
      <c r="D5014" s="0" t="n">
        <v>1</v>
      </c>
    </row>
    <row r="5015" customFormat="false" ht="15" hidden="false" customHeight="false" outlineLevel="0" collapsed="false">
      <c r="A5015" s="0" t="n">
        <v>5014</v>
      </c>
      <c r="B5015" s="18" t="n">
        <v>449786.822005666</v>
      </c>
      <c r="C5015" s="18" t="n">
        <v>0</v>
      </c>
      <c r="D5015" s="0" t="n">
        <v>0</v>
      </c>
      <c r="E5015" s="19" t="n">
        <v>34.1666666666667</v>
      </c>
    </row>
    <row r="5016" customFormat="false" ht="15" hidden="false" customHeight="false" outlineLevel="0" collapsed="false">
      <c r="A5016" s="0" t="n">
        <v>5015</v>
      </c>
      <c r="B5016" s="18" t="n">
        <v>758976.671775469</v>
      </c>
      <c r="C5016" s="18" t="n">
        <v>0</v>
      </c>
      <c r="D5016" s="0" t="n">
        <v>0</v>
      </c>
      <c r="E5016" s="19" t="n">
        <v>40.6666666666667</v>
      </c>
    </row>
    <row r="5017" customFormat="false" ht="15" hidden="false" customHeight="false" outlineLevel="0" collapsed="false">
      <c r="A5017" s="0" t="n">
        <v>5016</v>
      </c>
      <c r="B5017" s="18" t="n">
        <v>812378.652402591</v>
      </c>
      <c r="C5017" s="18" t="n">
        <v>6955458.20979116</v>
      </c>
      <c r="D5017" s="0" t="n">
        <v>1</v>
      </c>
    </row>
    <row r="5018" customFormat="false" ht="15" hidden="false" customHeight="false" outlineLevel="0" collapsed="false">
      <c r="A5018" s="0" t="n">
        <v>5017</v>
      </c>
      <c r="B5018" s="18" t="n">
        <v>994929.747760763</v>
      </c>
      <c r="C5018" s="18" t="n">
        <v>1109271.0625432</v>
      </c>
      <c r="D5018" s="0" t="n">
        <v>1</v>
      </c>
    </row>
    <row r="5019" customFormat="false" ht="15" hidden="false" customHeight="false" outlineLevel="0" collapsed="false">
      <c r="A5019" s="0" t="n">
        <v>5018</v>
      </c>
      <c r="B5019" s="18" t="n">
        <v>1165884.02904843</v>
      </c>
      <c r="C5019" s="18" t="n">
        <v>1269614.37370312</v>
      </c>
      <c r="D5019" s="0" t="n">
        <v>1</v>
      </c>
    </row>
    <row r="5020" customFormat="false" ht="15" hidden="false" customHeight="false" outlineLevel="0" collapsed="false">
      <c r="A5020" s="0" t="n">
        <v>5019</v>
      </c>
      <c r="B5020" s="18" t="n">
        <v>968803.137942587</v>
      </c>
      <c r="C5020" s="18" t="n">
        <v>0</v>
      </c>
      <c r="D5020" s="0" t="n">
        <v>0</v>
      </c>
      <c r="E5020" s="19" t="n">
        <v>50.0833333333333</v>
      </c>
    </row>
    <row r="5021" customFormat="false" ht="15" hidden="false" customHeight="false" outlineLevel="0" collapsed="false">
      <c r="A5021" s="0" t="n">
        <v>5020</v>
      </c>
      <c r="B5021" s="18" t="n">
        <v>1602346.81819131</v>
      </c>
      <c r="C5021" s="18" t="n">
        <v>16583310.8430654</v>
      </c>
      <c r="D5021" s="0" t="n">
        <v>1</v>
      </c>
    </row>
    <row r="5022" customFormat="false" ht="15" hidden="false" customHeight="false" outlineLevel="0" collapsed="false">
      <c r="A5022" s="0" t="n">
        <v>5021</v>
      </c>
      <c r="B5022" s="18" t="n">
        <v>986889.534186851</v>
      </c>
      <c r="C5022" s="18" t="n">
        <v>69849.9590631605</v>
      </c>
      <c r="D5022" s="0" t="n">
        <v>1</v>
      </c>
    </row>
    <row r="5023" customFormat="false" ht="15" hidden="false" customHeight="false" outlineLevel="0" collapsed="false">
      <c r="A5023" s="0" t="n">
        <v>5022</v>
      </c>
      <c r="B5023" s="18" t="n">
        <v>641130.961446196</v>
      </c>
      <c r="C5023" s="18" t="n">
        <v>0</v>
      </c>
      <c r="D5023" s="0" t="n">
        <v>0</v>
      </c>
      <c r="E5023" s="19" t="n">
        <v>34.5</v>
      </c>
    </row>
    <row r="5024" customFormat="false" ht="15" hidden="false" customHeight="false" outlineLevel="0" collapsed="false">
      <c r="A5024" s="0" t="n">
        <v>5023</v>
      </c>
      <c r="B5024" s="18" t="n">
        <v>608493.652178889</v>
      </c>
      <c r="C5024" s="18" t="n">
        <v>0</v>
      </c>
      <c r="D5024" s="0" t="n">
        <v>0</v>
      </c>
      <c r="E5024" s="19" t="n">
        <v>33.6666666666667</v>
      </c>
    </row>
    <row r="5025" customFormat="false" ht="15" hidden="false" customHeight="false" outlineLevel="0" collapsed="false">
      <c r="A5025" s="0" t="n">
        <v>5024</v>
      </c>
      <c r="B5025" s="18" t="n">
        <v>514312.068445341</v>
      </c>
      <c r="C5025" s="18" t="n">
        <v>0</v>
      </c>
      <c r="D5025" s="0" t="n">
        <v>0</v>
      </c>
      <c r="E5025" s="19" t="n">
        <v>31.8333333333333</v>
      </c>
    </row>
    <row r="5026" customFormat="false" ht="15" hidden="false" customHeight="false" outlineLevel="0" collapsed="false">
      <c r="A5026" s="0" t="n">
        <v>5025</v>
      </c>
      <c r="B5026" s="18" t="n">
        <v>1031111.01681255</v>
      </c>
      <c r="C5026" s="18" t="n">
        <v>0</v>
      </c>
      <c r="D5026" s="0" t="n">
        <v>0</v>
      </c>
      <c r="E5026" s="19" t="n">
        <v>41.3333333333333</v>
      </c>
    </row>
    <row r="5027" customFormat="false" ht="15" hidden="false" customHeight="false" outlineLevel="0" collapsed="false">
      <c r="A5027" s="0" t="n">
        <v>5026</v>
      </c>
      <c r="B5027" s="18" t="n">
        <v>1136692.47633937</v>
      </c>
      <c r="C5027" s="18" t="n">
        <v>0</v>
      </c>
      <c r="D5027" s="0" t="n">
        <v>0</v>
      </c>
      <c r="E5027" s="19" t="n">
        <v>42.25</v>
      </c>
    </row>
    <row r="5028" customFormat="false" ht="15" hidden="false" customHeight="false" outlineLevel="0" collapsed="false">
      <c r="A5028" s="0" t="n">
        <v>5027</v>
      </c>
      <c r="B5028" s="18" t="n">
        <v>1221218.41234529</v>
      </c>
      <c r="C5028" s="18" t="n">
        <v>3448482.82131817</v>
      </c>
      <c r="D5028" s="0" t="n">
        <v>1</v>
      </c>
    </row>
    <row r="5029" customFormat="false" ht="15" hidden="false" customHeight="false" outlineLevel="0" collapsed="false">
      <c r="A5029" s="0" t="n">
        <v>5028</v>
      </c>
      <c r="B5029" s="18" t="n">
        <v>1367541.94456751</v>
      </c>
      <c r="C5029" s="18" t="n">
        <v>23654137.2226864</v>
      </c>
      <c r="D5029" s="0" t="n">
        <v>1</v>
      </c>
    </row>
    <row r="5030" customFormat="false" ht="15" hidden="false" customHeight="false" outlineLevel="0" collapsed="false">
      <c r="A5030" s="0" t="n">
        <v>5029</v>
      </c>
      <c r="B5030" s="18" t="n">
        <v>1877372.91355906</v>
      </c>
      <c r="C5030" s="18" t="n">
        <v>5386668.10441353</v>
      </c>
      <c r="D5030" s="0" t="n">
        <v>1</v>
      </c>
    </row>
    <row r="5031" customFormat="false" ht="15" hidden="false" customHeight="false" outlineLevel="0" collapsed="false">
      <c r="A5031" s="0" t="n">
        <v>5030</v>
      </c>
      <c r="B5031" s="18" t="n">
        <v>839473.913541328</v>
      </c>
      <c r="C5031" s="18" t="n">
        <v>0</v>
      </c>
      <c r="D5031" s="0" t="n">
        <v>0</v>
      </c>
      <c r="E5031" s="19" t="n">
        <v>40.9166666666667</v>
      </c>
    </row>
    <row r="5032" customFormat="false" ht="15" hidden="false" customHeight="false" outlineLevel="0" collapsed="false">
      <c r="A5032" s="0" t="n">
        <v>5031</v>
      </c>
      <c r="B5032" s="18" t="n">
        <v>991613.713852575</v>
      </c>
      <c r="C5032" s="18" t="n">
        <v>10684811.0512368</v>
      </c>
      <c r="D5032" s="0" t="n">
        <v>1</v>
      </c>
    </row>
    <row r="5033" customFormat="false" ht="15" hidden="false" customHeight="false" outlineLevel="0" collapsed="false">
      <c r="A5033" s="0" t="n">
        <v>5032</v>
      </c>
      <c r="B5033" s="18" t="n">
        <v>679921.083141481</v>
      </c>
      <c r="C5033" s="18" t="n">
        <v>0</v>
      </c>
      <c r="D5033" s="0" t="n">
        <v>0</v>
      </c>
      <c r="E5033" s="19" t="n">
        <v>50.3333333333333</v>
      </c>
    </row>
    <row r="5034" customFormat="false" ht="15" hidden="false" customHeight="false" outlineLevel="0" collapsed="false">
      <c r="A5034" s="0" t="n">
        <v>5033</v>
      </c>
      <c r="B5034" s="18" t="n">
        <v>1162122.39007636</v>
      </c>
      <c r="C5034" s="18" t="n">
        <v>5597629.11737062</v>
      </c>
      <c r="D5034" s="0" t="n">
        <v>1</v>
      </c>
    </row>
    <row r="5035" customFormat="false" ht="15" hidden="false" customHeight="false" outlineLevel="0" collapsed="false">
      <c r="A5035" s="0" t="n">
        <v>5034</v>
      </c>
      <c r="B5035" s="18" t="n">
        <v>1317130.40124586</v>
      </c>
      <c r="C5035" s="18" t="n">
        <v>159699.141446562</v>
      </c>
      <c r="D5035" s="0" t="n">
        <v>1</v>
      </c>
    </row>
    <row r="5036" customFormat="false" ht="15" hidden="false" customHeight="false" outlineLevel="0" collapsed="false">
      <c r="A5036" s="0" t="n">
        <v>5035</v>
      </c>
      <c r="B5036" s="18" t="n">
        <v>469774.887986145</v>
      </c>
      <c r="C5036" s="18" t="n">
        <v>0</v>
      </c>
      <c r="D5036" s="0" t="n">
        <v>0</v>
      </c>
      <c r="E5036" s="19" t="n">
        <v>31.5</v>
      </c>
    </row>
    <row r="5037" customFormat="false" ht="15" hidden="false" customHeight="false" outlineLevel="0" collapsed="false">
      <c r="A5037" s="0" t="n">
        <v>5036</v>
      </c>
      <c r="B5037" s="18" t="n">
        <v>1666525.00181713</v>
      </c>
      <c r="C5037" s="18" t="n">
        <v>6243920.68174607</v>
      </c>
      <c r="D5037" s="0" t="n">
        <v>1</v>
      </c>
    </row>
    <row r="5038" customFormat="false" ht="15" hidden="false" customHeight="false" outlineLevel="0" collapsed="false">
      <c r="A5038" s="0" t="n">
        <v>5037</v>
      </c>
      <c r="B5038" s="18" t="n">
        <v>451444.390808908</v>
      </c>
      <c r="C5038" s="18" t="n">
        <v>0</v>
      </c>
      <c r="D5038" s="0" t="n">
        <v>0</v>
      </c>
      <c r="E5038" s="19" t="n">
        <v>33.8333333333333</v>
      </c>
    </row>
    <row r="5039" customFormat="false" ht="15" hidden="false" customHeight="false" outlineLevel="0" collapsed="false">
      <c r="A5039" s="0" t="n">
        <v>5038</v>
      </c>
      <c r="B5039" s="18" t="n">
        <v>374493.397383698</v>
      </c>
      <c r="C5039" s="18" t="n">
        <v>0</v>
      </c>
      <c r="D5039" s="0" t="n">
        <v>0</v>
      </c>
      <c r="E5039" s="19" t="n">
        <v>31.1666666666667</v>
      </c>
    </row>
    <row r="5040" customFormat="false" ht="15" hidden="false" customHeight="false" outlineLevel="0" collapsed="false">
      <c r="A5040" s="0" t="n">
        <v>5039</v>
      </c>
      <c r="B5040" s="18" t="n">
        <v>451636.365346842</v>
      </c>
      <c r="C5040" s="18" t="n">
        <v>0</v>
      </c>
      <c r="D5040" s="0" t="n">
        <v>0</v>
      </c>
      <c r="E5040" s="19" t="n">
        <v>32.0833333333333</v>
      </c>
    </row>
    <row r="5041" customFormat="false" ht="15" hidden="false" customHeight="false" outlineLevel="0" collapsed="false">
      <c r="A5041" s="0" t="n">
        <v>5040</v>
      </c>
      <c r="B5041" s="18" t="n">
        <v>342899.179181479</v>
      </c>
      <c r="C5041" s="18" t="n">
        <v>0</v>
      </c>
      <c r="D5041" s="0" t="n">
        <v>0</v>
      </c>
      <c r="E5041" s="19" t="n">
        <v>34.3333333333333</v>
      </c>
    </row>
    <row r="5042" customFormat="false" ht="15" hidden="false" customHeight="false" outlineLevel="0" collapsed="false">
      <c r="A5042" s="0" t="n">
        <v>5041</v>
      </c>
      <c r="B5042" s="18" t="n">
        <v>421486.699626355</v>
      </c>
      <c r="C5042" s="18" t="n">
        <v>0</v>
      </c>
      <c r="D5042" s="0" t="n">
        <v>0</v>
      </c>
      <c r="E5042" s="19" t="n">
        <v>35.5</v>
      </c>
    </row>
    <row r="5043" customFormat="false" ht="15" hidden="false" customHeight="false" outlineLevel="0" collapsed="false">
      <c r="A5043" s="0" t="n">
        <v>5042</v>
      </c>
      <c r="B5043" s="18" t="n">
        <v>2680318.13075756</v>
      </c>
      <c r="C5043" s="18" t="n">
        <v>4637159.20948141</v>
      </c>
      <c r="D5043" s="0" t="n">
        <v>1</v>
      </c>
    </row>
    <row r="5044" customFormat="false" ht="15" hidden="false" customHeight="false" outlineLevel="0" collapsed="false">
      <c r="A5044" s="0" t="n">
        <v>5043</v>
      </c>
      <c r="B5044" s="18" t="n">
        <v>453933.561536823</v>
      </c>
      <c r="C5044" s="18" t="n">
        <v>0</v>
      </c>
      <c r="D5044" s="0" t="n">
        <v>0</v>
      </c>
      <c r="E5044" s="19" t="n">
        <v>33.5833333333333</v>
      </c>
    </row>
    <row r="5045" customFormat="false" ht="15" hidden="false" customHeight="false" outlineLevel="0" collapsed="false">
      <c r="A5045" s="0" t="n">
        <v>5044</v>
      </c>
      <c r="B5045" s="18" t="n">
        <v>1050132.90061047</v>
      </c>
      <c r="C5045" s="18" t="n">
        <v>0</v>
      </c>
      <c r="D5045" s="0" t="n">
        <v>0</v>
      </c>
      <c r="E5045" s="19" t="n">
        <v>40.3333333333333</v>
      </c>
    </row>
    <row r="5046" customFormat="false" ht="15" hidden="false" customHeight="false" outlineLevel="0" collapsed="false">
      <c r="A5046" s="0" t="n">
        <v>5045</v>
      </c>
      <c r="B5046" s="18" t="n">
        <v>619885.026842004</v>
      </c>
      <c r="C5046" s="18" t="n">
        <v>0</v>
      </c>
      <c r="D5046" s="0" t="n">
        <v>0</v>
      </c>
      <c r="E5046" s="19" t="n">
        <v>43.4166666666667</v>
      </c>
    </row>
    <row r="5047" customFormat="false" ht="15" hidden="false" customHeight="false" outlineLevel="0" collapsed="false">
      <c r="A5047" s="0" t="n">
        <v>5046</v>
      </c>
      <c r="B5047" s="18" t="n">
        <v>1256959.7179317</v>
      </c>
      <c r="C5047" s="18" t="n">
        <v>305881.717425438</v>
      </c>
      <c r="D5047" s="0" t="n">
        <v>1</v>
      </c>
    </row>
    <row r="5048" customFormat="false" ht="15" hidden="false" customHeight="false" outlineLevel="0" collapsed="false">
      <c r="A5048" s="0" t="n">
        <v>5047</v>
      </c>
      <c r="B5048" s="18" t="n">
        <v>825914.069898732</v>
      </c>
      <c r="C5048" s="18" t="n">
        <v>0</v>
      </c>
      <c r="D5048" s="0" t="n">
        <v>0</v>
      </c>
      <c r="E5048" s="19" t="n">
        <v>46.1666666666667</v>
      </c>
    </row>
    <row r="5049" customFormat="false" ht="15" hidden="false" customHeight="false" outlineLevel="0" collapsed="false">
      <c r="A5049" s="0" t="n">
        <v>5048</v>
      </c>
      <c r="B5049" s="18" t="n">
        <v>1497031.60079591</v>
      </c>
      <c r="C5049" s="18" t="n">
        <v>621468.861463375</v>
      </c>
      <c r="D5049" s="0" t="n">
        <v>1</v>
      </c>
    </row>
    <row r="5050" customFormat="false" ht="15" hidden="false" customHeight="false" outlineLevel="0" collapsed="false">
      <c r="A5050" s="0" t="n">
        <v>5049</v>
      </c>
      <c r="B5050" s="18" t="n">
        <v>1927618.86641837</v>
      </c>
      <c r="C5050" s="18" t="n">
        <v>4636016.72158147</v>
      </c>
      <c r="D5050" s="0" t="n">
        <v>1</v>
      </c>
    </row>
    <row r="5051" customFormat="false" ht="15" hidden="false" customHeight="false" outlineLevel="0" collapsed="false">
      <c r="A5051" s="0" t="n">
        <v>5050</v>
      </c>
      <c r="B5051" s="18" t="n">
        <v>1303253.07610368</v>
      </c>
      <c r="C5051" s="18" t="n">
        <v>11002364.5328916</v>
      </c>
      <c r="D5051" s="0" t="n">
        <v>1</v>
      </c>
    </row>
    <row r="5052" customFormat="false" ht="15" hidden="false" customHeight="false" outlineLevel="0" collapsed="false">
      <c r="A5052" s="0" t="n">
        <v>5051</v>
      </c>
      <c r="B5052" s="18" t="n">
        <v>464598.962354114</v>
      </c>
      <c r="C5052" s="18" t="n">
        <v>0</v>
      </c>
      <c r="D5052" s="0" t="n">
        <v>0</v>
      </c>
      <c r="E5052" s="19" t="n">
        <v>35.5833333333333</v>
      </c>
    </row>
    <row r="5053" customFormat="false" ht="15" hidden="false" customHeight="false" outlineLevel="0" collapsed="false">
      <c r="A5053" s="0" t="n">
        <v>5052</v>
      </c>
      <c r="B5053" s="18" t="n">
        <v>1796135.47889097</v>
      </c>
      <c r="C5053" s="18" t="n">
        <v>27648362.2954263</v>
      </c>
      <c r="D5053" s="0" t="n">
        <v>1</v>
      </c>
    </row>
    <row r="5054" customFormat="false" ht="15" hidden="false" customHeight="false" outlineLevel="0" collapsed="false">
      <c r="A5054" s="0" t="n">
        <v>5053</v>
      </c>
      <c r="B5054" s="18" t="n">
        <v>2056552.40742685</v>
      </c>
      <c r="C5054" s="18" t="n">
        <v>1901912.96787274</v>
      </c>
      <c r="D5054" s="0" t="n">
        <v>1</v>
      </c>
    </row>
    <row r="5055" customFormat="false" ht="15" hidden="false" customHeight="false" outlineLevel="0" collapsed="false">
      <c r="A5055" s="0" t="n">
        <v>5054</v>
      </c>
      <c r="B5055" s="18" t="n">
        <v>995765.67955024</v>
      </c>
      <c r="C5055" s="18" t="n">
        <v>0</v>
      </c>
      <c r="D5055" s="0" t="n">
        <v>0</v>
      </c>
      <c r="E5055" s="19" t="n">
        <v>44.0833333333333</v>
      </c>
    </row>
    <row r="5056" customFormat="false" ht="15" hidden="false" customHeight="false" outlineLevel="0" collapsed="false">
      <c r="A5056" s="0" t="n">
        <v>5055</v>
      </c>
      <c r="B5056" s="18" t="n">
        <v>552928.99214346</v>
      </c>
      <c r="C5056" s="18" t="n">
        <v>0</v>
      </c>
      <c r="D5056" s="0" t="n">
        <v>0</v>
      </c>
      <c r="E5056" s="19" t="n">
        <v>34.9166666666667</v>
      </c>
    </row>
    <row r="5057" customFormat="false" ht="15" hidden="false" customHeight="false" outlineLevel="0" collapsed="false">
      <c r="A5057" s="0" t="n">
        <v>5056</v>
      </c>
      <c r="B5057" s="18" t="n">
        <v>997715.902859149</v>
      </c>
      <c r="C5057" s="18" t="n">
        <v>0</v>
      </c>
      <c r="D5057" s="0" t="n">
        <v>0</v>
      </c>
      <c r="E5057" s="19" t="n">
        <v>44.9166666666667</v>
      </c>
    </row>
    <row r="5058" customFormat="false" ht="15" hidden="false" customHeight="false" outlineLevel="0" collapsed="false">
      <c r="A5058" s="0" t="n">
        <v>5057</v>
      </c>
      <c r="B5058" s="18" t="n">
        <v>1633121.00874391</v>
      </c>
      <c r="C5058" s="18" t="n">
        <v>6808487.16267292</v>
      </c>
      <c r="D5058" s="0" t="n">
        <v>1</v>
      </c>
    </row>
    <row r="5059" customFormat="false" ht="15" hidden="false" customHeight="false" outlineLevel="0" collapsed="false">
      <c r="A5059" s="0" t="n">
        <v>5058</v>
      </c>
      <c r="B5059" s="18" t="n">
        <v>509575.535115512</v>
      </c>
      <c r="C5059" s="18" t="n">
        <v>0</v>
      </c>
      <c r="D5059" s="0" t="n">
        <v>0</v>
      </c>
      <c r="E5059" s="19" t="n">
        <v>34.5833333333333</v>
      </c>
    </row>
    <row r="5060" customFormat="false" ht="15" hidden="false" customHeight="false" outlineLevel="0" collapsed="false">
      <c r="A5060" s="0" t="n">
        <v>5059</v>
      </c>
      <c r="B5060" s="18" t="n">
        <v>549424.574965638</v>
      </c>
      <c r="C5060" s="18" t="n">
        <v>0</v>
      </c>
      <c r="D5060" s="0" t="n">
        <v>0</v>
      </c>
      <c r="E5060" s="19" t="n">
        <v>34.8333333333333</v>
      </c>
    </row>
    <row r="5061" customFormat="false" ht="15" hidden="false" customHeight="false" outlineLevel="0" collapsed="false">
      <c r="A5061" s="0" t="n">
        <v>5060</v>
      </c>
      <c r="B5061" s="18" t="n">
        <v>2123903.23633268</v>
      </c>
      <c r="C5061" s="18" t="n">
        <v>7124334.78854929</v>
      </c>
      <c r="D5061" s="0" t="n">
        <v>1</v>
      </c>
    </row>
    <row r="5062" customFormat="false" ht="15" hidden="false" customHeight="false" outlineLevel="0" collapsed="false">
      <c r="A5062" s="0" t="n">
        <v>5061</v>
      </c>
      <c r="B5062" s="18" t="n">
        <v>1555398.01429359</v>
      </c>
      <c r="C5062" s="18" t="n">
        <v>18556367.4813415</v>
      </c>
      <c r="D5062" s="0" t="n">
        <v>1</v>
      </c>
    </row>
    <row r="5063" customFormat="false" ht="15" hidden="false" customHeight="false" outlineLevel="0" collapsed="false">
      <c r="A5063" s="0" t="n">
        <v>5062</v>
      </c>
      <c r="B5063" s="18" t="n">
        <v>1193107.46903582</v>
      </c>
      <c r="C5063" s="18" t="n">
        <v>0</v>
      </c>
      <c r="D5063" s="0" t="n">
        <v>0</v>
      </c>
      <c r="E5063" s="19" t="n">
        <v>54.9166666666667</v>
      </c>
    </row>
    <row r="5064" customFormat="false" ht="15" hidden="false" customHeight="false" outlineLevel="0" collapsed="false">
      <c r="A5064" s="0" t="n">
        <v>5063</v>
      </c>
      <c r="B5064" s="18" t="n">
        <v>3989330.03794229</v>
      </c>
      <c r="C5064" s="18" t="n">
        <v>21117066.6578715</v>
      </c>
      <c r="D5064" s="0" t="n">
        <v>1</v>
      </c>
    </row>
    <row r="5065" customFormat="false" ht="15" hidden="false" customHeight="false" outlineLevel="0" collapsed="false">
      <c r="A5065" s="0" t="n">
        <v>5064</v>
      </c>
      <c r="B5065" s="18" t="n">
        <v>500597.612979541</v>
      </c>
      <c r="C5065" s="18" t="n">
        <v>0</v>
      </c>
      <c r="D5065" s="0" t="n">
        <v>0</v>
      </c>
      <c r="E5065" s="19" t="n">
        <v>33.6666666666667</v>
      </c>
    </row>
    <row r="5066" customFormat="false" ht="15" hidden="false" customHeight="false" outlineLevel="0" collapsed="false">
      <c r="A5066" s="0" t="n">
        <v>5065</v>
      </c>
      <c r="B5066" s="18" t="n">
        <v>1278610.81530391</v>
      </c>
      <c r="C5066" s="18" t="n">
        <v>0</v>
      </c>
      <c r="D5066" s="0" t="n">
        <v>0</v>
      </c>
      <c r="E5066" s="19" t="n">
        <v>47.5</v>
      </c>
    </row>
    <row r="5067" customFormat="false" ht="15" hidden="false" customHeight="false" outlineLevel="0" collapsed="false">
      <c r="A5067" s="0" t="n">
        <v>5066</v>
      </c>
      <c r="B5067" s="18" t="n">
        <v>660193.005832919</v>
      </c>
      <c r="C5067" s="18" t="n">
        <v>0</v>
      </c>
      <c r="D5067" s="0" t="n">
        <v>0</v>
      </c>
      <c r="E5067" s="19" t="n">
        <v>40.9166666666667</v>
      </c>
    </row>
    <row r="5068" customFormat="false" ht="15" hidden="false" customHeight="false" outlineLevel="0" collapsed="false">
      <c r="A5068" s="0" t="n">
        <v>5067</v>
      </c>
      <c r="B5068" s="18" t="n">
        <v>1730427.1363434</v>
      </c>
      <c r="C5068" s="18" t="n">
        <v>127934.15371977</v>
      </c>
      <c r="D5068" s="0" t="n">
        <v>1</v>
      </c>
    </row>
    <row r="5069" customFormat="false" ht="15" hidden="false" customHeight="false" outlineLevel="0" collapsed="false">
      <c r="A5069" s="0" t="n">
        <v>5068</v>
      </c>
      <c r="B5069" s="18" t="n">
        <v>1807994.73812509</v>
      </c>
      <c r="C5069" s="18" t="n">
        <v>4490585.66370005</v>
      </c>
      <c r="D5069" s="0" t="n">
        <v>1</v>
      </c>
    </row>
    <row r="5070" customFormat="false" ht="15" hidden="false" customHeight="false" outlineLevel="0" collapsed="false">
      <c r="A5070" s="0" t="n">
        <v>5069</v>
      </c>
      <c r="B5070" s="18" t="n">
        <v>1015958.0979438</v>
      </c>
      <c r="C5070" s="18" t="n">
        <v>3720421.18539404</v>
      </c>
      <c r="D5070" s="0" t="n">
        <v>1</v>
      </c>
    </row>
    <row r="5071" customFormat="false" ht="15" hidden="false" customHeight="false" outlineLevel="0" collapsed="false">
      <c r="A5071" s="0" t="n">
        <v>5070</v>
      </c>
      <c r="B5071" s="18" t="n">
        <v>795684.416649923</v>
      </c>
      <c r="C5071" s="18" t="n">
        <v>0</v>
      </c>
      <c r="D5071" s="0" t="n">
        <v>0</v>
      </c>
      <c r="E5071" s="19" t="n">
        <v>35.5</v>
      </c>
    </row>
    <row r="5072" customFormat="false" ht="15" hidden="false" customHeight="false" outlineLevel="0" collapsed="false">
      <c r="A5072" s="0" t="n">
        <v>5071</v>
      </c>
      <c r="B5072" s="18" t="n">
        <v>836437.423667182</v>
      </c>
      <c r="C5072" s="18" t="n">
        <v>636073.186356299</v>
      </c>
      <c r="D5072" s="0" t="n">
        <v>1</v>
      </c>
    </row>
    <row r="5073" customFormat="false" ht="15" hidden="false" customHeight="false" outlineLevel="0" collapsed="false">
      <c r="A5073" s="0" t="n">
        <v>5072</v>
      </c>
      <c r="B5073" s="18" t="n">
        <v>1036544.70770777</v>
      </c>
      <c r="C5073" s="18" t="n">
        <v>0</v>
      </c>
      <c r="D5073" s="0" t="n">
        <v>0</v>
      </c>
      <c r="E5073" s="19" t="n">
        <v>36.6666666666667</v>
      </c>
    </row>
    <row r="5074" customFormat="false" ht="15" hidden="false" customHeight="false" outlineLevel="0" collapsed="false">
      <c r="A5074" s="0" t="n">
        <v>5073</v>
      </c>
      <c r="B5074" s="18" t="n">
        <v>993083.695308412</v>
      </c>
      <c r="C5074" s="18" t="n">
        <v>0</v>
      </c>
      <c r="D5074" s="0" t="n">
        <v>0</v>
      </c>
      <c r="E5074" s="19" t="n">
        <v>35.5</v>
      </c>
    </row>
    <row r="5075" customFormat="false" ht="15" hidden="false" customHeight="false" outlineLevel="0" collapsed="false">
      <c r="A5075" s="0" t="n">
        <v>5074</v>
      </c>
      <c r="B5075" s="18" t="n">
        <v>1491189.64067246</v>
      </c>
      <c r="C5075" s="18" t="n">
        <v>0</v>
      </c>
      <c r="D5075" s="0" t="n">
        <v>0</v>
      </c>
      <c r="E5075" s="19" t="n">
        <v>42.75</v>
      </c>
    </row>
    <row r="5076" customFormat="false" ht="15" hidden="false" customHeight="false" outlineLevel="0" collapsed="false">
      <c r="A5076" s="0" t="n">
        <v>5075</v>
      </c>
      <c r="B5076" s="18" t="n">
        <v>2075219.82542702</v>
      </c>
      <c r="C5076" s="18" t="n">
        <v>5753938.95007186</v>
      </c>
      <c r="D5076" s="0" t="n">
        <v>1</v>
      </c>
    </row>
    <row r="5077" customFormat="false" ht="15" hidden="false" customHeight="false" outlineLevel="0" collapsed="false">
      <c r="A5077" s="0" t="n">
        <v>5076</v>
      </c>
      <c r="B5077" s="18" t="n">
        <v>613798.704845226</v>
      </c>
      <c r="C5077" s="18" t="n">
        <v>0</v>
      </c>
      <c r="D5077" s="0" t="n">
        <v>0</v>
      </c>
      <c r="E5077" s="19" t="n">
        <v>39</v>
      </c>
    </row>
    <row r="5078" customFormat="false" ht="15" hidden="false" customHeight="false" outlineLevel="0" collapsed="false">
      <c r="A5078" s="0" t="n">
        <v>5077</v>
      </c>
      <c r="B5078" s="18" t="n">
        <v>723782.73191259</v>
      </c>
      <c r="C5078" s="18" t="n">
        <v>0</v>
      </c>
      <c r="D5078" s="0" t="n">
        <v>0</v>
      </c>
      <c r="E5078" s="19" t="n">
        <v>43.5</v>
      </c>
    </row>
    <row r="5079" customFormat="false" ht="15" hidden="false" customHeight="false" outlineLevel="0" collapsed="false">
      <c r="A5079" s="0" t="n">
        <v>5078</v>
      </c>
      <c r="B5079" s="18" t="n">
        <v>379817.215554069</v>
      </c>
      <c r="C5079" s="18" t="n">
        <v>0</v>
      </c>
      <c r="D5079" s="0" t="n">
        <v>0</v>
      </c>
      <c r="E5079" s="19" t="n">
        <v>33</v>
      </c>
    </row>
    <row r="5080" customFormat="false" ht="15" hidden="false" customHeight="false" outlineLevel="0" collapsed="false">
      <c r="A5080" s="0" t="n">
        <v>5079</v>
      </c>
      <c r="B5080" s="18" t="n">
        <v>487232.54673366</v>
      </c>
      <c r="C5080" s="18" t="n">
        <v>0</v>
      </c>
      <c r="D5080" s="0" t="n">
        <v>0</v>
      </c>
      <c r="E5080" s="19" t="n">
        <v>34</v>
      </c>
    </row>
    <row r="5081" customFormat="false" ht="15" hidden="false" customHeight="false" outlineLevel="0" collapsed="false">
      <c r="A5081" s="0" t="n">
        <v>5080</v>
      </c>
      <c r="B5081" s="18" t="n">
        <v>3682493.76015587</v>
      </c>
      <c r="C5081" s="18" t="n">
        <v>5807414.93687958</v>
      </c>
      <c r="D5081" s="0" t="n">
        <v>1</v>
      </c>
    </row>
    <row r="5082" customFormat="false" ht="15" hidden="false" customHeight="false" outlineLevel="0" collapsed="false">
      <c r="A5082" s="0" t="n">
        <v>5081</v>
      </c>
      <c r="B5082" s="18" t="n">
        <v>698539.537659306</v>
      </c>
      <c r="C5082" s="18" t="n">
        <v>8748815.09633455</v>
      </c>
      <c r="D5082" s="0" t="n">
        <v>1</v>
      </c>
    </row>
    <row r="5083" customFormat="false" ht="15" hidden="false" customHeight="false" outlineLevel="0" collapsed="false">
      <c r="A5083" s="0" t="n">
        <v>5082</v>
      </c>
      <c r="B5083" s="18" t="n">
        <v>613797.732140119</v>
      </c>
      <c r="C5083" s="18" t="n">
        <v>0</v>
      </c>
      <c r="D5083" s="0" t="n">
        <v>0</v>
      </c>
      <c r="E5083" s="19" t="n">
        <v>32</v>
      </c>
    </row>
    <row r="5084" customFormat="false" ht="15" hidden="false" customHeight="false" outlineLevel="0" collapsed="false">
      <c r="A5084" s="0" t="n">
        <v>5083</v>
      </c>
      <c r="B5084" s="18" t="n">
        <v>935635.899570071</v>
      </c>
      <c r="C5084" s="18" t="n">
        <v>1537651.29331737</v>
      </c>
      <c r="D5084" s="0" t="n">
        <v>1</v>
      </c>
    </row>
    <row r="5085" customFormat="false" ht="15" hidden="false" customHeight="false" outlineLevel="0" collapsed="false">
      <c r="A5085" s="0" t="n">
        <v>5084</v>
      </c>
      <c r="B5085" s="18" t="n">
        <v>1047615.5842558</v>
      </c>
      <c r="C5085" s="18" t="n">
        <v>142998.792689599</v>
      </c>
      <c r="D5085" s="0" t="n">
        <v>1</v>
      </c>
    </row>
    <row r="5086" customFormat="false" ht="15" hidden="false" customHeight="false" outlineLevel="0" collapsed="false">
      <c r="A5086" s="0" t="n">
        <v>5085</v>
      </c>
      <c r="B5086" s="18" t="n">
        <v>589152.746980515</v>
      </c>
      <c r="C5086" s="18" t="n">
        <v>0</v>
      </c>
      <c r="D5086" s="0" t="n">
        <v>0</v>
      </c>
      <c r="E5086" s="19" t="n">
        <v>36.6666666666667</v>
      </c>
    </row>
    <row r="5087" customFormat="false" ht="15" hidden="false" customHeight="false" outlineLevel="0" collapsed="false">
      <c r="A5087" s="0" t="n">
        <v>5086</v>
      </c>
      <c r="B5087" s="18" t="n">
        <v>1574595.2031812</v>
      </c>
      <c r="C5087" s="18" t="n">
        <v>0</v>
      </c>
      <c r="D5087" s="0" t="n">
        <v>0</v>
      </c>
      <c r="E5087" s="19" t="n">
        <v>43</v>
      </c>
    </row>
    <row r="5088" customFormat="false" ht="15" hidden="false" customHeight="false" outlineLevel="0" collapsed="false">
      <c r="A5088" s="0" t="n">
        <v>5087</v>
      </c>
      <c r="B5088" s="18" t="n">
        <v>1993561.22875868</v>
      </c>
      <c r="C5088" s="18" t="n">
        <v>6852386.75072409</v>
      </c>
      <c r="D5088" s="0" t="n">
        <v>1</v>
      </c>
    </row>
    <row r="5089" customFormat="false" ht="15" hidden="false" customHeight="false" outlineLevel="0" collapsed="false">
      <c r="A5089" s="0" t="n">
        <v>5088</v>
      </c>
      <c r="B5089" s="18" t="n">
        <v>2711346.31260857</v>
      </c>
      <c r="C5089" s="18" t="n">
        <v>9293007.07680631</v>
      </c>
      <c r="D5089" s="0" t="n">
        <v>1</v>
      </c>
    </row>
    <row r="5090" customFormat="false" ht="15" hidden="false" customHeight="false" outlineLevel="0" collapsed="false">
      <c r="A5090" s="0" t="n">
        <v>5089</v>
      </c>
      <c r="B5090" s="18" t="n">
        <v>710953.433861496</v>
      </c>
      <c r="C5090" s="18" t="n">
        <v>0</v>
      </c>
      <c r="D5090" s="0" t="n">
        <v>0</v>
      </c>
      <c r="E5090" s="19" t="n">
        <v>40.25</v>
      </c>
    </row>
    <row r="5091" customFormat="false" ht="15" hidden="false" customHeight="false" outlineLevel="0" collapsed="false">
      <c r="A5091" s="0" t="n">
        <v>5090</v>
      </c>
      <c r="B5091" s="18" t="n">
        <v>1063493.7606738</v>
      </c>
      <c r="C5091" s="18" t="n">
        <v>0</v>
      </c>
      <c r="D5091" s="0" t="n">
        <v>0</v>
      </c>
      <c r="E5091" s="19" t="n">
        <v>49.8333333333333</v>
      </c>
    </row>
    <row r="5092" customFormat="false" ht="15" hidden="false" customHeight="false" outlineLevel="0" collapsed="false">
      <c r="A5092" s="0" t="n">
        <v>5091</v>
      </c>
      <c r="B5092" s="18" t="n">
        <v>1422593.99100599</v>
      </c>
      <c r="C5092" s="18" t="n">
        <v>1937863.20585587</v>
      </c>
      <c r="D5092" s="0" t="n">
        <v>1</v>
      </c>
    </row>
    <row r="5093" customFormat="false" ht="15" hidden="false" customHeight="false" outlineLevel="0" collapsed="false">
      <c r="A5093" s="0" t="n">
        <v>5092</v>
      </c>
      <c r="B5093" s="18" t="n">
        <v>896278.395002117</v>
      </c>
      <c r="C5093" s="18" t="n">
        <v>0</v>
      </c>
      <c r="D5093" s="0" t="n">
        <v>0</v>
      </c>
      <c r="E5093" s="19" t="n">
        <v>38.9166666666667</v>
      </c>
    </row>
    <row r="5094" customFormat="false" ht="15" hidden="false" customHeight="false" outlineLevel="0" collapsed="false">
      <c r="A5094" s="0" t="n">
        <v>5093</v>
      </c>
      <c r="B5094" s="18" t="n">
        <v>839497.103039906</v>
      </c>
      <c r="C5094" s="18" t="n">
        <v>0</v>
      </c>
      <c r="D5094" s="0" t="n">
        <v>0</v>
      </c>
      <c r="E5094" s="19" t="n">
        <v>37.0833333333333</v>
      </c>
    </row>
    <row r="5095" customFormat="false" ht="15" hidden="false" customHeight="false" outlineLevel="0" collapsed="false">
      <c r="A5095" s="0" t="n">
        <v>5094</v>
      </c>
      <c r="B5095" s="18" t="n">
        <v>1629246.39226356</v>
      </c>
      <c r="C5095" s="18" t="n">
        <v>0</v>
      </c>
      <c r="D5095" s="0" t="n">
        <v>0</v>
      </c>
      <c r="E5095" s="19" t="n">
        <v>43.1666666666667</v>
      </c>
    </row>
    <row r="5096" customFormat="false" ht="15" hidden="false" customHeight="false" outlineLevel="0" collapsed="false">
      <c r="A5096" s="0" t="n">
        <v>5095</v>
      </c>
      <c r="B5096" s="18" t="n">
        <v>950448.949626872</v>
      </c>
      <c r="C5096" s="18" t="n">
        <v>0</v>
      </c>
      <c r="D5096" s="0" t="n">
        <v>0</v>
      </c>
      <c r="E5096" s="19" t="n">
        <v>46.6666666666667</v>
      </c>
    </row>
    <row r="5097" customFormat="false" ht="15" hidden="false" customHeight="false" outlineLevel="0" collapsed="false">
      <c r="A5097" s="0" t="n">
        <v>5096</v>
      </c>
      <c r="B5097" s="18" t="n">
        <v>1143296.10131256</v>
      </c>
      <c r="C5097" s="18" t="n">
        <v>3272106.02770041</v>
      </c>
      <c r="D5097" s="0" t="n">
        <v>1</v>
      </c>
    </row>
    <row r="5098" customFormat="false" ht="15" hidden="false" customHeight="false" outlineLevel="0" collapsed="false">
      <c r="A5098" s="0" t="n">
        <v>5097</v>
      </c>
      <c r="B5098" s="18" t="n">
        <v>1080647.73696703</v>
      </c>
      <c r="C5098" s="18" t="n">
        <v>0</v>
      </c>
      <c r="D5098" s="0" t="n">
        <v>0</v>
      </c>
      <c r="E5098" s="19" t="n">
        <v>40.1666666666667</v>
      </c>
    </row>
    <row r="5099" customFormat="false" ht="15" hidden="false" customHeight="false" outlineLevel="0" collapsed="false">
      <c r="A5099" s="0" t="n">
        <v>5098</v>
      </c>
      <c r="B5099" s="18" t="n">
        <v>853208.236020288</v>
      </c>
      <c r="C5099" s="18" t="n">
        <v>0</v>
      </c>
      <c r="D5099" s="0" t="n">
        <v>0</v>
      </c>
      <c r="E5099" s="19" t="n">
        <v>40.6666666666667</v>
      </c>
    </row>
    <row r="5100" customFormat="false" ht="15" hidden="false" customHeight="false" outlineLevel="0" collapsed="false">
      <c r="A5100" s="0" t="n">
        <v>5099</v>
      </c>
      <c r="B5100" s="18" t="n">
        <v>302540.058303796</v>
      </c>
      <c r="C5100" s="18" t="n">
        <v>0</v>
      </c>
      <c r="D5100" s="0" t="n">
        <v>0</v>
      </c>
      <c r="E5100" s="19" t="n">
        <v>32.9166666666667</v>
      </c>
    </row>
    <row r="5101" customFormat="false" ht="15" hidden="false" customHeight="false" outlineLevel="0" collapsed="false">
      <c r="A5101" s="0" t="n">
        <v>5100</v>
      </c>
      <c r="B5101" s="18" t="n">
        <v>840507.638109381</v>
      </c>
      <c r="C5101" s="18" t="n">
        <v>0</v>
      </c>
      <c r="D5101" s="0" t="n">
        <v>0</v>
      </c>
      <c r="E5101" s="19" t="n">
        <v>36.75</v>
      </c>
    </row>
    <row r="5102" customFormat="false" ht="15" hidden="false" customHeight="false" outlineLevel="0" collapsed="false">
      <c r="A5102" s="0" t="n">
        <v>5101</v>
      </c>
      <c r="B5102" s="18" t="n">
        <v>579122.728487858</v>
      </c>
      <c r="C5102" s="18" t="n">
        <v>0</v>
      </c>
      <c r="D5102" s="0" t="n">
        <v>0</v>
      </c>
      <c r="E5102" s="19" t="n">
        <v>38.1666666666667</v>
      </c>
    </row>
    <row r="5103" customFormat="false" ht="15" hidden="false" customHeight="false" outlineLevel="0" collapsed="false">
      <c r="A5103" s="0" t="n">
        <v>5102</v>
      </c>
      <c r="B5103" s="18" t="n">
        <v>1800614.9573582</v>
      </c>
      <c r="C5103" s="18" t="n">
        <v>7801932.1512137</v>
      </c>
      <c r="D5103" s="0" t="n">
        <v>1</v>
      </c>
    </row>
    <row r="5104" customFormat="false" ht="15" hidden="false" customHeight="false" outlineLevel="0" collapsed="false">
      <c r="A5104" s="0" t="n">
        <v>5103</v>
      </c>
      <c r="B5104" s="18" t="n">
        <v>512907.186373352</v>
      </c>
      <c r="C5104" s="18" t="n">
        <v>0</v>
      </c>
      <c r="D5104" s="0" t="n">
        <v>0</v>
      </c>
      <c r="E5104" s="19" t="n">
        <v>30.75</v>
      </c>
    </row>
    <row r="5105" customFormat="false" ht="15" hidden="false" customHeight="false" outlineLevel="0" collapsed="false">
      <c r="A5105" s="0" t="n">
        <v>5104</v>
      </c>
      <c r="B5105" s="18" t="n">
        <v>405929.117681362</v>
      </c>
      <c r="C5105" s="18" t="n">
        <v>0</v>
      </c>
      <c r="D5105" s="0" t="n">
        <v>0</v>
      </c>
      <c r="E5105" s="19" t="n">
        <v>31.6666666666667</v>
      </c>
    </row>
    <row r="5106" customFormat="false" ht="15" hidden="false" customHeight="false" outlineLevel="0" collapsed="false">
      <c r="A5106" s="0" t="n">
        <v>5105</v>
      </c>
      <c r="B5106" s="18" t="n">
        <v>1233912.61410563</v>
      </c>
      <c r="C5106" s="18" t="n">
        <v>0</v>
      </c>
      <c r="D5106" s="0" t="n">
        <v>0</v>
      </c>
      <c r="E5106" s="19" t="n">
        <v>54.9166666666667</v>
      </c>
    </row>
    <row r="5107" customFormat="false" ht="15" hidden="false" customHeight="false" outlineLevel="0" collapsed="false">
      <c r="A5107" s="0" t="n">
        <v>5106</v>
      </c>
      <c r="B5107" s="18" t="n">
        <v>414583.782658077</v>
      </c>
      <c r="C5107" s="18" t="n">
        <v>0</v>
      </c>
      <c r="D5107" s="0" t="n">
        <v>0</v>
      </c>
      <c r="E5107" s="19" t="n">
        <v>32.3333333333333</v>
      </c>
    </row>
    <row r="5108" customFormat="false" ht="15" hidden="false" customHeight="false" outlineLevel="0" collapsed="false">
      <c r="A5108" s="0" t="n">
        <v>5107</v>
      </c>
      <c r="B5108" s="18" t="n">
        <v>777355.182282379</v>
      </c>
      <c r="C5108" s="18" t="n">
        <v>3747564.10306728</v>
      </c>
      <c r="D5108" s="0" t="n">
        <v>1</v>
      </c>
    </row>
    <row r="5109" customFormat="false" ht="15" hidden="false" customHeight="false" outlineLevel="0" collapsed="false">
      <c r="A5109" s="0" t="n">
        <v>5108</v>
      </c>
      <c r="B5109" s="18" t="n">
        <v>518311.139921215</v>
      </c>
      <c r="C5109" s="18" t="n">
        <v>0</v>
      </c>
      <c r="D5109" s="0" t="n">
        <v>0</v>
      </c>
      <c r="E5109" s="19" t="n">
        <v>40.6666666666667</v>
      </c>
    </row>
    <row r="5110" customFormat="false" ht="15" hidden="false" customHeight="false" outlineLevel="0" collapsed="false">
      <c r="A5110" s="0" t="n">
        <v>5109</v>
      </c>
      <c r="B5110" s="18" t="n">
        <v>1577272.26694889</v>
      </c>
      <c r="C5110" s="18" t="n">
        <v>1019177.43472444</v>
      </c>
      <c r="D5110" s="0" t="n">
        <v>1</v>
      </c>
    </row>
    <row r="5111" customFormat="false" ht="15" hidden="false" customHeight="false" outlineLevel="0" collapsed="false">
      <c r="A5111" s="0" t="n">
        <v>5110</v>
      </c>
      <c r="B5111" s="18" t="n">
        <v>537103.90053345</v>
      </c>
      <c r="C5111" s="18" t="n">
        <v>0</v>
      </c>
      <c r="D5111" s="0" t="n">
        <v>0</v>
      </c>
      <c r="E5111" s="19" t="n">
        <v>33</v>
      </c>
    </row>
    <row r="5112" customFormat="false" ht="15" hidden="false" customHeight="false" outlineLevel="0" collapsed="false">
      <c r="A5112" s="0" t="n">
        <v>5111</v>
      </c>
      <c r="B5112" s="18" t="n">
        <v>1083234.81253726</v>
      </c>
      <c r="C5112" s="18" t="n">
        <v>0</v>
      </c>
      <c r="D5112" s="0" t="n">
        <v>0</v>
      </c>
      <c r="E5112" s="19" t="n">
        <v>45.75</v>
      </c>
    </row>
    <row r="5113" customFormat="false" ht="15" hidden="false" customHeight="false" outlineLevel="0" collapsed="false">
      <c r="A5113" s="0" t="n">
        <v>5112</v>
      </c>
      <c r="B5113" s="18" t="n">
        <v>2883067.87930403</v>
      </c>
      <c r="C5113" s="18" t="n">
        <v>1837302.71491362</v>
      </c>
      <c r="D5113" s="0" t="n">
        <v>1</v>
      </c>
    </row>
    <row r="5114" customFormat="false" ht="15" hidden="false" customHeight="false" outlineLevel="0" collapsed="false">
      <c r="A5114" s="0" t="n">
        <v>5113</v>
      </c>
      <c r="B5114" s="18" t="n">
        <v>977471.253458681</v>
      </c>
      <c r="C5114" s="18" t="n">
        <v>0</v>
      </c>
      <c r="D5114" s="0" t="n">
        <v>0</v>
      </c>
      <c r="E5114" s="19" t="n">
        <v>46.4166666666667</v>
      </c>
    </row>
    <row r="5115" customFormat="false" ht="15" hidden="false" customHeight="false" outlineLevel="0" collapsed="false">
      <c r="A5115" s="0" t="n">
        <v>5114</v>
      </c>
      <c r="B5115" s="18" t="n">
        <v>1364644.94579944</v>
      </c>
      <c r="C5115" s="18" t="n">
        <v>923940.636856222</v>
      </c>
      <c r="D5115" s="0" t="n">
        <v>1</v>
      </c>
    </row>
    <row r="5116" customFormat="false" ht="15" hidden="false" customHeight="false" outlineLevel="0" collapsed="false">
      <c r="A5116" s="0" t="n">
        <v>5115</v>
      </c>
      <c r="B5116" s="18" t="n">
        <v>1218339.11662178</v>
      </c>
      <c r="C5116" s="18" t="n">
        <v>6539652.20640413</v>
      </c>
      <c r="D5116" s="0" t="n">
        <v>1</v>
      </c>
    </row>
    <row r="5117" customFormat="false" ht="15" hidden="false" customHeight="false" outlineLevel="0" collapsed="false">
      <c r="A5117" s="0" t="n">
        <v>5116</v>
      </c>
      <c r="B5117" s="18" t="n">
        <v>709096.539001701</v>
      </c>
      <c r="C5117" s="18" t="n">
        <v>0</v>
      </c>
      <c r="D5117" s="0" t="n">
        <v>0</v>
      </c>
      <c r="E5117" s="19" t="n">
        <v>45</v>
      </c>
    </row>
    <row r="5118" customFormat="false" ht="15" hidden="false" customHeight="false" outlineLevel="0" collapsed="false">
      <c r="A5118" s="0" t="n">
        <v>5117</v>
      </c>
      <c r="B5118" s="18" t="n">
        <v>1313853.22070933</v>
      </c>
      <c r="C5118" s="18" t="n">
        <v>0</v>
      </c>
      <c r="D5118" s="0" t="n">
        <v>0</v>
      </c>
      <c r="E5118" s="19" t="n">
        <v>43.1666666666667</v>
      </c>
    </row>
    <row r="5119" customFormat="false" ht="15" hidden="false" customHeight="false" outlineLevel="0" collapsed="false">
      <c r="A5119" s="0" t="n">
        <v>5118</v>
      </c>
      <c r="B5119" s="18" t="n">
        <v>572692.424162146</v>
      </c>
      <c r="C5119" s="18" t="n">
        <v>0</v>
      </c>
      <c r="D5119" s="0" t="n">
        <v>0</v>
      </c>
      <c r="E5119" s="19" t="n">
        <v>38.0833333333333</v>
      </c>
    </row>
    <row r="5120" customFormat="false" ht="15" hidden="false" customHeight="false" outlineLevel="0" collapsed="false">
      <c r="A5120" s="0" t="n">
        <v>5119</v>
      </c>
      <c r="B5120" s="18" t="n">
        <v>564626.504631943</v>
      </c>
      <c r="C5120" s="18" t="n">
        <v>0</v>
      </c>
      <c r="D5120" s="0" t="n">
        <v>0</v>
      </c>
      <c r="E5120" s="19" t="n">
        <v>34</v>
      </c>
    </row>
    <row r="5121" customFormat="false" ht="15" hidden="false" customHeight="false" outlineLevel="0" collapsed="false">
      <c r="A5121" s="0" t="n">
        <v>5120</v>
      </c>
      <c r="B5121" s="18" t="n">
        <v>659151.721076087</v>
      </c>
      <c r="C5121" s="18" t="n">
        <v>0</v>
      </c>
      <c r="D5121" s="0" t="n">
        <v>0</v>
      </c>
      <c r="E5121" s="19" t="n">
        <v>34.9166666666667</v>
      </c>
    </row>
    <row r="5122" customFormat="false" ht="15" hidden="false" customHeight="false" outlineLevel="0" collapsed="false">
      <c r="A5122" s="0" t="n">
        <v>5121</v>
      </c>
      <c r="B5122" s="18" t="n">
        <v>1600196.5642133</v>
      </c>
      <c r="C5122" s="18" t="n">
        <v>116041.784081526</v>
      </c>
      <c r="D5122" s="0" t="n">
        <v>1</v>
      </c>
    </row>
    <row r="5123" customFormat="false" ht="15" hidden="false" customHeight="false" outlineLevel="0" collapsed="false">
      <c r="A5123" s="0" t="n">
        <v>5122</v>
      </c>
      <c r="B5123" s="18" t="n">
        <v>891885.005011909</v>
      </c>
      <c r="C5123" s="18" t="n">
        <v>2801216.12422809</v>
      </c>
      <c r="D5123" s="0" t="n">
        <v>1</v>
      </c>
    </row>
    <row r="5124" customFormat="false" ht="15" hidden="false" customHeight="false" outlineLevel="0" collapsed="false">
      <c r="A5124" s="0" t="n">
        <v>5123</v>
      </c>
      <c r="B5124" s="18" t="n">
        <v>190990.951538302</v>
      </c>
      <c r="C5124" s="18" t="n">
        <v>0</v>
      </c>
      <c r="D5124" s="0" t="n">
        <v>0</v>
      </c>
      <c r="E5124" s="19" t="n">
        <v>29.6666666666667</v>
      </c>
    </row>
    <row r="5125" customFormat="false" ht="15" hidden="false" customHeight="false" outlineLevel="0" collapsed="false">
      <c r="A5125" s="0" t="n">
        <v>5124</v>
      </c>
      <c r="B5125" s="18" t="n">
        <v>3604307.99204979</v>
      </c>
      <c r="C5125" s="18" t="n">
        <v>26801637.9085977</v>
      </c>
      <c r="D5125" s="0" t="n">
        <v>1</v>
      </c>
    </row>
    <row r="5126" customFormat="false" ht="15" hidden="false" customHeight="false" outlineLevel="0" collapsed="false">
      <c r="A5126" s="0" t="n">
        <v>5125</v>
      </c>
      <c r="B5126" s="18" t="n">
        <v>530858.821229456</v>
      </c>
      <c r="C5126" s="18" t="n">
        <v>0</v>
      </c>
      <c r="D5126" s="0" t="n">
        <v>0</v>
      </c>
      <c r="E5126" s="19" t="n">
        <v>32.0833333333333</v>
      </c>
    </row>
    <row r="5127" customFormat="false" ht="15" hidden="false" customHeight="false" outlineLevel="0" collapsed="false">
      <c r="A5127" s="0" t="n">
        <v>5126</v>
      </c>
      <c r="B5127" s="18" t="n">
        <v>558493.169856464</v>
      </c>
      <c r="C5127" s="18" t="n">
        <v>0</v>
      </c>
      <c r="D5127" s="0" t="n">
        <v>0</v>
      </c>
      <c r="E5127" s="19" t="n">
        <v>34.75</v>
      </c>
    </row>
    <row r="5128" customFormat="false" ht="15" hidden="false" customHeight="false" outlineLevel="0" collapsed="false">
      <c r="A5128" s="0" t="n">
        <v>5127</v>
      </c>
      <c r="B5128" s="18" t="n">
        <v>962803.584127495</v>
      </c>
      <c r="C5128" s="18" t="n">
        <v>0</v>
      </c>
      <c r="D5128" s="0" t="n">
        <v>0</v>
      </c>
      <c r="E5128" s="19" t="n">
        <v>41.5833333333333</v>
      </c>
    </row>
    <row r="5129" customFormat="false" ht="15" hidden="false" customHeight="false" outlineLevel="0" collapsed="false">
      <c r="A5129" s="0" t="n">
        <v>5128</v>
      </c>
      <c r="B5129" s="18" t="n">
        <v>1349064.59912664</v>
      </c>
      <c r="C5129" s="18" t="n">
        <v>3347706.16896449</v>
      </c>
      <c r="D5129" s="0" t="n">
        <v>1</v>
      </c>
    </row>
    <row r="5130" customFormat="false" ht="15" hidden="false" customHeight="false" outlineLevel="0" collapsed="false">
      <c r="A5130" s="0" t="n">
        <v>5129</v>
      </c>
      <c r="B5130" s="18" t="n">
        <v>1131524.71682936</v>
      </c>
      <c r="C5130" s="18" t="n">
        <v>1937767.14038351</v>
      </c>
      <c r="D5130" s="0" t="n">
        <v>1</v>
      </c>
    </row>
    <row r="5131" customFormat="false" ht="15" hidden="false" customHeight="false" outlineLevel="0" collapsed="false">
      <c r="A5131" s="0" t="n">
        <v>5130</v>
      </c>
      <c r="B5131" s="18" t="n">
        <v>1303991.23896066</v>
      </c>
      <c r="C5131" s="18" t="n">
        <v>0</v>
      </c>
      <c r="D5131" s="0" t="n">
        <v>0</v>
      </c>
      <c r="E5131" s="19" t="n">
        <v>49.75</v>
      </c>
    </row>
    <row r="5132" customFormat="false" ht="15" hidden="false" customHeight="false" outlineLevel="0" collapsed="false">
      <c r="A5132" s="0" t="n">
        <v>5131</v>
      </c>
      <c r="B5132" s="18" t="n">
        <v>794163.465893447</v>
      </c>
      <c r="C5132" s="18" t="n">
        <v>0</v>
      </c>
      <c r="D5132" s="0" t="n">
        <v>0</v>
      </c>
      <c r="E5132" s="19" t="n">
        <v>43.1666666666667</v>
      </c>
    </row>
    <row r="5133" customFormat="false" ht="15" hidden="false" customHeight="false" outlineLevel="0" collapsed="false">
      <c r="A5133" s="0" t="n">
        <v>5132</v>
      </c>
      <c r="B5133" s="18" t="n">
        <v>1949247.88378449</v>
      </c>
      <c r="C5133" s="18" t="n">
        <v>6956898.60848381</v>
      </c>
      <c r="D5133" s="0" t="n">
        <v>1</v>
      </c>
    </row>
    <row r="5134" customFormat="false" ht="15" hidden="false" customHeight="false" outlineLevel="0" collapsed="false">
      <c r="A5134" s="0" t="n">
        <v>5133</v>
      </c>
      <c r="B5134" s="18" t="n">
        <v>728833.354051602</v>
      </c>
      <c r="C5134" s="18" t="n">
        <v>3579802.41630094</v>
      </c>
      <c r="D5134" s="0" t="n">
        <v>1</v>
      </c>
    </row>
    <row r="5135" customFormat="false" ht="15" hidden="false" customHeight="false" outlineLevel="0" collapsed="false">
      <c r="A5135" s="0" t="n">
        <v>5134</v>
      </c>
      <c r="B5135" s="18" t="n">
        <v>527425.768026483</v>
      </c>
      <c r="C5135" s="18" t="n">
        <v>0</v>
      </c>
      <c r="D5135" s="0" t="n">
        <v>0</v>
      </c>
      <c r="E5135" s="19" t="n">
        <v>34.75</v>
      </c>
    </row>
    <row r="5136" customFormat="false" ht="15" hidden="false" customHeight="false" outlineLevel="0" collapsed="false">
      <c r="A5136" s="0" t="n">
        <v>5135</v>
      </c>
      <c r="B5136" s="18" t="n">
        <v>1019987.60714737</v>
      </c>
      <c r="C5136" s="18" t="n">
        <v>0</v>
      </c>
      <c r="D5136" s="0" t="n">
        <v>0</v>
      </c>
      <c r="E5136" s="19" t="n">
        <v>43.5</v>
      </c>
    </row>
    <row r="5137" customFormat="false" ht="15" hidden="false" customHeight="false" outlineLevel="0" collapsed="false">
      <c r="A5137" s="0" t="n">
        <v>5136</v>
      </c>
      <c r="B5137" s="18" t="n">
        <v>584896.749788788</v>
      </c>
      <c r="C5137" s="18" t="n">
        <v>0</v>
      </c>
      <c r="D5137" s="0" t="n">
        <v>0</v>
      </c>
      <c r="E5137" s="19" t="n">
        <v>32.5833333333333</v>
      </c>
    </row>
    <row r="5138" customFormat="false" ht="15" hidden="false" customHeight="false" outlineLevel="0" collapsed="false">
      <c r="A5138" s="0" t="n">
        <v>5137</v>
      </c>
      <c r="B5138" s="18" t="n">
        <v>626635.079703982</v>
      </c>
      <c r="C5138" s="18" t="n">
        <v>0</v>
      </c>
      <c r="D5138" s="0" t="n">
        <v>0</v>
      </c>
      <c r="E5138" s="19" t="n">
        <v>31.75</v>
      </c>
    </row>
    <row r="5139" customFormat="false" ht="15" hidden="false" customHeight="false" outlineLevel="0" collapsed="false">
      <c r="A5139" s="0" t="n">
        <v>5138</v>
      </c>
      <c r="B5139" s="18" t="n">
        <v>1651361.43013688</v>
      </c>
      <c r="C5139" s="18" t="n">
        <v>200485.895279947</v>
      </c>
      <c r="D5139" s="0" t="n">
        <v>1</v>
      </c>
    </row>
    <row r="5140" customFormat="false" ht="15" hidden="false" customHeight="false" outlineLevel="0" collapsed="false">
      <c r="A5140" s="0" t="n">
        <v>5139</v>
      </c>
      <c r="B5140" s="18" t="n">
        <v>1414863.12206629</v>
      </c>
      <c r="C5140" s="18" t="n">
        <v>6403555.45460062</v>
      </c>
      <c r="D5140" s="0" t="n">
        <v>1</v>
      </c>
    </row>
    <row r="5141" customFormat="false" ht="15" hidden="false" customHeight="false" outlineLevel="0" collapsed="false">
      <c r="A5141" s="0" t="n">
        <v>5140</v>
      </c>
      <c r="B5141" s="18" t="n">
        <v>2928511.64202171</v>
      </c>
      <c r="C5141" s="18" t="n">
        <v>20308553.3071655</v>
      </c>
      <c r="D5141" s="0" t="n">
        <v>1</v>
      </c>
    </row>
    <row r="5142" customFormat="false" ht="15" hidden="false" customHeight="false" outlineLevel="0" collapsed="false">
      <c r="A5142" s="0" t="n">
        <v>5141</v>
      </c>
      <c r="B5142" s="18" t="n">
        <v>2202334.39198125</v>
      </c>
      <c r="C5142" s="18" t="n">
        <v>47430970.092626</v>
      </c>
      <c r="D5142" s="0" t="n">
        <v>1</v>
      </c>
    </row>
    <row r="5143" customFormat="false" ht="15" hidden="false" customHeight="false" outlineLevel="0" collapsed="false">
      <c r="A5143" s="0" t="n">
        <v>5142</v>
      </c>
      <c r="B5143" s="18" t="n">
        <v>270261.504720369</v>
      </c>
      <c r="C5143" s="18" t="n">
        <v>0</v>
      </c>
      <c r="D5143" s="0" t="n">
        <v>0</v>
      </c>
      <c r="E5143" s="19" t="n">
        <v>28.5833333333333</v>
      </c>
    </row>
    <row r="5144" customFormat="false" ht="15" hidden="false" customHeight="false" outlineLevel="0" collapsed="false">
      <c r="A5144" s="0" t="n">
        <v>5143</v>
      </c>
      <c r="B5144" s="18" t="n">
        <v>649423.363364737</v>
      </c>
      <c r="C5144" s="18" t="n">
        <v>0</v>
      </c>
      <c r="D5144" s="0" t="n">
        <v>0</v>
      </c>
      <c r="E5144" s="19" t="n">
        <v>34.5</v>
      </c>
    </row>
    <row r="5145" customFormat="false" ht="15" hidden="false" customHeight="false" outlineLevel="0" collapsed="false">
      <c r="A5145" s="0" t="n">
        <v>5144</v>
      </c>
      <c r="B5145" s="18" t="n">
        <v>240347.738723014</v>
      </c>
      <c r="C5145" s="18" t="n">
        <v>0</v>
      </c>
      <c r="D5145" s="0" t="n">
        <v>0</v>
      </c>
      <c r="E5145" s="19" t="n">
        <v>31.0833333333333</v>
      </c>
    </row>
    <row r="5146" customFormat="false" ht="15" hidden="false" customHeight="false" outlineLevel="0" collapsed="false">
      <c r="A5146" s="0" t="n">
        <v>5145</v>
      </c>
      <c r="B5146" s="18" t="n">
        <v>312633.817004306</v>
      </c>
      <c r="C5146" s="18" t="n">
        <v>0</v>
      </c>
      <c r="D5146" s="0" t="n">
        <v>0</v>
      </c>
      <c r="E5146" s="19" t="n">
        <v>31.0833333333333</v>
      </c>
    </row>
    <row r="5147" customFormat="false" ht="15" hidden="false" customHeight="false" outlineLevel="0" collapsed="false">
      <c r="A5147" s="0" t="n">
        <v>5146</v>
      </c>
      <c r="B5147" s="18" t="n">
        <v>1430898.65977308</v>
      </c>
      <c r="C5147" s="18" t="n">
        <v>2437358.78801174</v>
      </c>
      <c r="D5147" s="0" t="n">
        <v>1</v>
      </c>
    </row>
    <row r="5148" customFormat="false" ht="15" hidden="false" customHeight="false" outlineLevel="0" collapsed="false">
      <c r="A5148" s="0" t="n">
        <v>5147</v>
      </c>
      <c r="B5148" s="18" t="n">
        <v>753208.192965696</v>
      </c>
      <c r="C5148" s="18" t="n">
        <v>786267.5696297</v>
      </c>
      <c r="D5148" s="0" t="n">
        <v>1</v>
      </c>
    </row>
    <row r="5149" customFormat="false" ht="15" hidden="false" customHeight="false" outlineLevel="0" collapsed="false">
      <c r="A5149" s="0" t="n">
        <v>5148</v>
      </c>
      <c r="B5149" s="18" t="n">
        <v>1079644.60731076</v>
      </c>
      <c r="C5149" s="18" t="n">
        <v>0</v>
      </c>
      <c r="D5149" s="0" t="n">
        <v>0</v>
      </c>
      <c r="E5149" s="19" t="n">
        <v>37.8333333333333</v>
      </c>
    </row>
    <row r="5150" customFormat="false" ht="15" hidden="false" customHeight="false" outlineLevel="0" collapsed="false">
      <c r="A5150" s="0" t="n">
        <v>5149</v>
      </c>
      <c r="B5150" s="18" t="n">
        <v>1646222.53943553</v>
      </c>
      <c r="C5150" s="18" t="n">
        <v>1705674.29584952</v>
      </c>
      <c r="D5150" s="0" t="n">
        <v>1</v>
      </c>
    </row>
    <row r="5151" customFormat="false" ht="15" hidden="false" customHeight="false" outlineLevel="0" collapsed="false">
      <c r="A5151" s="0" t="n">
        <v>5150</v>
      </c>
      <c r="B5151" s="18" t="n">
        <v>442707.452438148</v>
      </c>
      <c r="C5151" s="18" t="n">
        <v>0</v>
      </c>
      <c r="D5151" s="0" t="n">
        <v>0</v>
      </c>
      <c r="E5151" s="19" t="n">
        <v>34.6666666666667</v>
      </c>
    </row>
    <row r="5152" customFormat="false" ht="15" hidden="false" customHeight="false" outlineLevel="0" collapsed="false">
      <c r="A5152" s="0" t="n">
        <v>5151</v>
      </c>
      <c r="B5152" s="18" t="n">
        <v>565622.334725212</v>
      </c>
      <c r="C5152" s="18" t="n">
        <v>0</v>
      </c>
      <c r="D5152" s="0" t="n">
        <v>0</v>
      </c>
      <c r="E5152" s="19" t="n">
        <v>35.3333333333333</v>
      </c>
    </row>
    <row r="5153" customFormat="false" ht="15" hidden="false" customHeight="false" outlineLevel="0" collapsed="false">
      <c r="A5153" s="0" t="n">
        <v>5152</v>
      </c>
      <c r="B5153" s="18" t="n">
        <v>1010928.00673976</v>
      </c>
      <c r="C5153" s="18" t="n">
        <v>635809.952177223</v>
      </c>
      <c r="D5153" s="0" t="n">
        <v>1</v>
      </c>
    </row>
    <row r="5154" customFormat="false" ht="15" hidden="false" customHeight="false" outlineLevel="0" collapsed="false">
      <c r="A5154" s="0" t="n">
        <v>5153</v>
      </c>
      <c r="B5154" s="18" t="n">
        <v>406262.108560396</v>
      </c>
      <c r="C5154" s="18" t="n">
        <v>0</v>
      </c>
      <c r="D5154" s="0" t="n">
        <v>0</v>
      </c>
      <c r="E5154" s="19" t="n">
        <v>31.75</v>
      </c>
    </row>
    <row r="5155" customFormat="false" ht="15" hidden="false" customHeight="false" outlineLevel="0" collapsed="false">
      <c r="A5155" s="0" t="n">
        <v>5154</v>
      </c>
      <c r="B5155" s="18" t="n">
        <v>1028216.38796421</v>
      </c>
      <c r="C5155" s="18" t="n">
        <v>8517127.55307327</v>
      </c>
      <c r="D5155" s="0" t="n">
        <v>1</v>
      </c>
    </row>
    <row r="5156" customFormat="false" ht="15" hidden="false" customHeight="false" outlineLevel="0" collapsed="false">
      <c r="A5156" s="0" t="n">
        <v>5155</v>
      </c>
      <c r="B5156" s="18" t="n">
        <v>1136852.62916936</v>
      </c>
      <c r="C5156" s="18" t="n">
        <v>0</v>
      </c>
      <c r="D5156" s="0" t="n">
        <v>0</v>
      </c>
      <c r="E5156" s="19" t="n">
        <v>50.8333333333333</v>
      </c>
    </row>
    <row r="5157" customFormat="false" ht="15" hidden="false" customHeight="false" outlineLevel="0" collapsed="false">
      <c r="A5157" s="0" t="n">
        <v>5156</v>
      </c>
      <c r="B5157" s="18" t="n">
        <v>586773.937823825</v>
      </c>
      <c r="C5157" s="18" t="n">
        <v>0</v>
      </c>
      <c r="D5157" s="0" t="n">
        <v>0</v>
      </c>
      <c r="E5157" s="19" t="n">
        <v>37.75</v>
      </c>
    </row>
    <row r="5158" customFormat="false" ht="15" hidden="false" customHeight="false" outlineLevel="0" collapsed="false">
      <c r="A5158" s="0" t="n">
        <v>5157</v>
      </c>
      <c r="B5158" s="18" t="n">
        <v>9443515.7683625</v>
      </c>
      <c r="C5158" s="18" t="n">
        <v>29476967.5638779</v>
      </c>
      <c r="D5158" s="0" t="n">
        <v>1</v>
      </c>
    </row>
    <row r="5159" customFormat="false" ht="15" hidden="false" customHeight="false" outlineLevel="0" collapsed="false">
      <c r="A5159" s="0" t="n">
        <v>5158</v>
      </c>
      <c r="B5159" s="18" t="n">
        <v>2878383.53265397</v>
      </c>
      <c r="C5159" s="18" t="n">
        <v>9955636.93826356</v>
      </c>
      <c r="D5159" s="0" t="n">
        <v>1</v>
      </c>
    </row>
    <row r="5160" customFormat="false" ht="15" hidden="false" customHeight="false" outlineLevel="0" collapsed="false">
      <c r="A5160" s="0" t="n">
        <v>5159</v>
      </c>
      <c r="B5160" s="18" t="n">
        <v>392009.919724495</v>
      </c>
      <c r="C5160" s="18" t="n">
        <v>0</v>
      </c>
      <c r="D5160" s="0" t="n">
        <v>0</v>
      </c>
      <c r="E5160" s="19" t="n">
        <v>33.25</v>
      </c>
    </row>
    <row r="5161" customFormat="false" ht="15" hidden="false" customHeight="false" outlineLevel="0" collapsed="false">
      <c r="A5161" s="0" t="n">
        <v>5160</v>
      </c>
      <c r="B5161" s="18" t="n">
        <v>552445.810796524</v>
      </c>
      <c r="C5161" s="18" t="n">
        <v>0</v>
      </c>
      <c r="D5161" s="0" t="n">
        <v>0</v>
      </c>
      <c r="E5161" s="19" t="n">
        <v>33.6666666666667</v>
      </c>
    </row>
    <row r="5162" customFormat="false" ht="15" hidden="false" customHeight="false" outlineLevel="0" collapsed="false">
      <c r="A5162" s="0" t="n">
        <v>5161</v>
      </c>
      <c r="B5162" s="18" t="n">
        <v>1390557.50172006</v>
      </c>
      <c r="C5162" s="18" t="n">
        <v>0</v>
      </c>
      <c r="D5162" s="0" t="n">
        <v>0</v>
      </c>
      <c r="E5162" s="19" t="n">
        <v>47.8333333333333</v>
      </c>
    </row>
    <row r="5163" customFormat="false" ht="15" hidden="false" customHeight="false" outlineLevel="0" collapsed="false">
      <c r="A5163" s="0" t="n">
        <v>5162</v>
      </c>
      <c r="B5163" s="18" t="n">
        <v>1123044.95459563</v>
      </c>
      <c r="C5163" s="18" t="n">
        <v>0</v>
      </c>
      <c r="D5163" s="0" t="n">
        <v>0</v>
      </c>
      <c r="E5163" s="19" t="n">
        <v>39.9166666666667</v>
      </c>
    </row>
    <row r="5164" customFormat="false" ht="15" hidden="false" customHeight="false" outlineLevel="0" collapsed="false">
      <c r="A5164" s="0" t="n">
        <v>5163</v>
      </c>
      <c r="B5164" s="18" t="n">
        <v>580637.717872866</v>
      </c>
      <c r="C5164" s="18" t="n">
        <v>0</v>
      </c>
      <c r="D5164" s="0" t="n">
        <v>0</v>
      </c>
      <c r="E5164" s="19" t="n">
        <v>34.6666666666667</v>
      </c>
    </row>
    <row r="5165" customFormat="false" ht="15" hidden="false" customHeight="false" outlineLevel="0" collapsed="false">
      <c r="A5165" s="0" t="n">
        <v>5164</v>
      </c>
      <c r="B5165" s="18" t="n">
        <v>1334170.90736843</v>
      </c>
      <c r="C5165" s="18" t="n">
        <v>1728081.79544814</v>
      </c>
      <c r="D5165" s="0" t="n">
        <v>1</v>
      </c>
    </row>
    <row r="5166" customFormat="false" ht="15" hidden="false" customHeight="false" outlineLevel="0" collapsed="false">
      <c r="A5166" s="0" t="n">
        <v>5165</v>
      </c>
      <c r="B5166" s="18" t="n">
        <v>3309351.68066976</v>
      </c>
      <c r="C5166" s="18" t="n">
        <v>2084729.94282869</v>
      </c>
      <c r="D5166" s="0" t="n">
        <v>1</v>
      </c>
    </row>
    <row r="5167" customFormat="false" ht="15" hidden="false" customHeight="false" outlineLevel="0" collapsed="false">
      <c r="A5167" s="0" t="n">
        <v>5166</v>
      </c>
      <c r="B5167" s="18" t="n">
        <v>1201356.77112181</v>
      </c>
      <c r="C5167" s="18" t="n">
        <v>0</v>
      </c>
      <c r="D5167" s="0" t="n">
        <v>0</v>
      </c>
      <c r="E5167" s="19" t="n">
        <v>47.8333333333333</v>
      </c>
    </row>
    <row r="5168" customFormat="false" ht="15" hidden="false" customHeight="false" outlineLevel="0" collapsed="false">
      <c r="A5168" s="0" t="n">
        <v>5167</v>
      </c>
      <c r="B5168" s="18" t="n">
        <v>1281890.02014841</v>
      </c>
      <c r="C5168" s="18" t="n">
        <v>2787498.74652861</v>
      </c>
      <c r="D5168" s="0" t="n">
        <v>1</v>
      </c>
    </row>
    <row r="5169" customFormat="false" ht="15" hidden="false" customHeight="false" outlineLevel="0" collapsed="false">
      <c r="A5169" s="0" t="n">
        <v>5168</v>
      </c>
      <c r="B5169" s="18" t="n">
        <v>908377.253027209</v>
      </c>
      <c r="C5169" s="18" t="n">
        <v>0</v>
      </c>
      <c r="D5169" s="0" t="n">
        <v>0</v>
      </c>
      <c r="E5169" s="19" t="n">
        <v>45.1666666666667</v>
      </c>
    </row>
    <row r="5170" customFormat="false" ht="15" hidden="false" customHeight="false" outlineLevel="0" collapsed="false">
      <c r="A5170" s="0" t="n">
        <v>5169</v>
      </c>
      <c r="B5170" s="18" t="n">
        <v>846223.604653475</v>
      </c>
      <c r="C5170" s="18" t="n">
        <v>0</v>
      </c>
      <c r="D5170" s="0" t="n">
        <v>0</v>
      </c>
      <c r="E5170" s="19" t="n">
        <v>44.75</v>
      </c>
    </row>
    <row r="5171" customFormat="false" ht="15" hidden="false" customHeight="false" outlineLevel="0" collapsed="false">
      <c r="A5171" s="0" t="n">
        <v>5170</v>
      </c>
      <c r="B5171" s="18" t="n">
        <v>1108713.10003211</v>
      </c>
      <c r="C5171" s="18" t="n">
        <v>0</v>
      </c>
      <c r="D5171" s="0" t="n">
        <v>0</v>
      </c>
      <c r="E5171" s="19" t="n">
        <v>54.0833333333333</v>
      </c>
    </row>
    <row r="5172" customFormat="false" ht="15" hidden="false" customHeight="false" outlineLevel="0" collapsed="false">
      <c r="A5172" s="0" t="n">
        <v>5171</v>
      </c>
      <c r="B5172" s="18" t="n">
        <v>1108836.39272779</v>
      </c>
      <c r="C5172" s="18" t="n">
        <v>482985.123786825</v>
      </c>
      <c r="D5172" s="0" t="n">
        <v>1</v>
      </c>
    </row>
    <row r="5173" customFormat="false" ht="15" hidden="false" customHeight="false" outlineLevel="0" collapsed="false">
      <c r="A5173" s="0" t="n">
        <v>5172</v>
      </c>
      <c r="B5173" s="18" t="n">
        <v>480156.89914455</v>
      </c>
      <c r="C5173" s="18" t="n">
        <v>0</v>
      </c>
      <c r="D5173" s="0" t="n">
        <v>0</v>
      </c>
      <c r="E5173" s="19" t="n">
        <v>31.25</v>
      </c>
    </row>
    <row r="5174" customFormat="false" ht="15" hidden="false" customHeight="false" outlineLevel="0" collapsed="false">
      <c r="A5174" s="0" t="n">
        <v>5173</v>
      </c>
      <c r="B5174" s="18" t="n">
        <v>562904.798220034</v>
      </c>
      <c r="C5174" s="18" t="n">
        <v>0</v>
      </c>
      <c r="D5174" s="0" t="n">
        <v>0</v>
      </c>
      <c r="E5174" s="19" t="n">
        <v>34.0833333333333</v>
      </c>
    </row>
    <row r="5175" customFormat="false" ht="15" hidden="false" customHeight="false" outlineLevel="0" collapsed="false">
      <c r="A5175" s="0" t="n">
        <v>5174</v>
      </c>
      <c r="B5175" s="18" t="n">
        <v>1731824.85734644</v>
      </c>
      <c r="C5175" s="18" t="n">
        <v>1233797.22202865</v>
      </c>
      <c r="D5175" s="0" t="n">
        <v>1</v>
      </c>
    </row>
    <row r="5176" customFormat="false" ht="15" hidden="false" customHeight="false" outlineLevel="0" collapsed="false">
      <c r="A5176" s="0" t="n">
        <v>5175</v>
      </c>
      <c r="B5176" s="18" t="n">
        <v>1092658.69827127</v>
      </c>
      <c r="C5176" s="18" t="n">
        <v>0</v>
      </c>
      <c r="D5176" s="0" t="n">
        <v>0</v>
      </c>
      <c r="E5176" s="19" t="n">
        <v>39.0833333333333</v>
      </c>
    </row>
    <row r="5177" customFormat="false" ht="15" hidden="false" customHeight="false" outlineLevel="0" collapsed="false">
      <c r="A5177" s="0" t="n">
        <v>5176</v>
      </c>
      <c r="B5177" s="18" t="n">
        <v>2483019.72457216</v>
      </c>
      <c r="C5177" s="18" t="n">
        <v>75725.4083036612</v>
      </c>
      <c r="D5177" s="0" t="n">
        <v>1</v>
      </c>
    </row>
    <row r="5178" customFormat="false" ht="15" hidden="false" customHeight="false" outlineLevel="0" collapsed="false">
      <c r="A5178" s="0" t="n">
        <v>5177</v>
      </c>
      <c r="B5178" s="18" t="n">
        <v>1326933.75322741</v>
      </c>
      <c r="C5178" s="18" t="n">
        <v>0</v>
      </c>
      <c r="D5178" s="0" t="n">
        <v>0</v>
      </c>
      <c r="E5178" s="19" t="n">
        <v>53.25</v>
      </c>
    </row>
    <row r="5179" customFormat="false" ht="15" hidden="false" customHeight="false" outlineLevel="0" collapsed="false">
      <c r="A5179" s="0" t="n">
        <v>5178</v>
      </c>
      <c r="B5179" s="18" t="n">
        <v>1489865.22033676</v>
      </c>
      <c r="C5179" s="18" t="n">
        <v>0</v>
      </c>
      <c r="D5179" s="0" t="n">
        <v>0</v>
      </c>
      <c r="E5179" s="19" t="n">
        <v>54.1666666666667</v>
      </c>
    </row>
    <row r="5180" customFormat="false" ht="15" hidden="false" customHeight="false" outlineLevel="0" collapsed="false">
      <c r="A5180" s="0" t="n">
        <v>5179</v>
      </c>
      <c r="B5180" s="18" t="n">
        <v>575552.599015432</v>
      </c>
      <c r="C5180" s="18" t="n">
        <v>0</v>
      </c>
      <c r="D5180" s="0" t="n">
        <v>0</v>
      </c>
      <c r="E5180" s="19" t="n">
        <v>37.6666666666667</v>
      </c>
    </row>
    <row r="5181" customFormat="false" ht="15" hidden="false" customHeight="false" outlineLevel="0" collapsed="false">
      <c r="A5181" s="0" t="n">
        <v>5180</v>
      </c>
      <c r="B5181" s="18" t="n">
        <v>1372219.22929007</v>
      </c>
      <c r="C5181" s="18" t="n">
        <v>0</v>
      </c>
      <c r="D5181" s="0" t="n">
        <v>0</v>
      </c>
      <c r="E5181" s="19" t="n">
        <v>52.3333333333333</v>
      </c>
    </row>
    <row r="5182" customFormat="false" ht="15" hidden="false" customHeight="false" outlineLevel="0" collapsed="false">
      <c r="A5182" s="0" t="n">
        <v>5181</v>
      </c>
      <c r="B5182" s="18" t="n">
        <v>497748.068639355</v>
      </c>
      <c r="C5182" s="18" t="n">
        <v>0</v>
      </c>
      <c r="D5182" s="0" t="n">
        <v>0</v>
      </c>
      <c r="E5182" s="19" t="n">
        <v>37.3333333333333</v>
      </c>
    </row>
    <row r="5183" customFormat="false" ht="15" hidden="false" customHeight="false" outlineLevel="0" collapsed="false">
      <c r="A5183" s="0" t="n">
        <v>5182</v>
      </c>
      <c r="B5183" s="18" t="n">
        <v>502352.82875837</v>
      </c>
      <c r="C5183" s="18" t="n">
        <v>0</v>
      </c>
      <c r="D5183" s="0" t="n">
        <v>0</v>
      </c>
      <c r="E5183" s="19" t="n">
        <v>43.25</v>
      </c>
    </row>
    <row r="5184" customFormat="false" ht="15" hidden="false" customHeight="false" outlineLevel="0" collapsed="false">
      <c r="A5184" s="0" t="n">
        <v>5183</v>
      </c>
      <c r="B5184" s="18" t="n">
        <v>719454.407338738</v>
      </c>
      <c r="C5184" s="18" t="n">
        <v>145368.95765944</v>
      </c>
      <c r="D5184" s="0" t="n">
        <v>1</v>
      </c>
    </row>
    <row r="5185" customFormat="false" ht="15" hidden="false" customHeight="false" outlineLevel="0" collapsed="false">
      <c r="A5185" s="0" t="n">
        <v>5184</v>
      </c>
      <c r="B5185" s="18" t="n">
        <v>765909.468866236</v>
      </c>
      <c r="C5185" s="18" t="n">
        <v>0</v>
      </c>
      <c r="D5185" s="0" t="n">
        <v>0</v>
      </c>
      <c r="E5185" s="19" t="n">
        <v>47.6666666666667</v>
      </c>
    </row>
    <row r="5186" customFormat="false" ht="15" hidden="false" customHeight="false" outlineLevel="0" collapsed="false">
      <c r="A5186" s="0" t="n">
        <v>5185</v>
      </c>
      <c r="B5186" s="18" t="n">
        <v>366148.128226586</v>
      </c>
      <c r="C5186" s="18" t="n">
        <v>0</v>
      </c>
      <c r="D5186" s="0" t="n">
        <v>0</v>
      </c>
      <c r="E5186" s="19" t="n">
        <v>35.4166666666667</v>
      </c>
    </row>
    <row r="5187" customFormat="false" ht="15" hidden="false" customHeight="false" outlineLevel="0" collapsed="false">
      <c r="A5187" s="0" t="n">
        <v>5186</v>
      </c>
      <c r="B5187" s="18" t="n">
        <v>736398.36495734</v>
      </c>
      <c r="C5187" s="18" t="n">
        <v>0</v>
      </c>
      <c r="D5187" s="0" t="n">
        <v>0</v>
      </c>
      <c r="E5187" s="19" t="n">
        <v>53.3333333333333</v>
      </c>
    </row>
    <row r="5188" customFormat="false" ht="15" hidden="false" customHeight="false" outlineLevel="0" collapsed="false">
      <c r="A5188" s="0" t="n">
        <v>5187</v>
      </c>
      <c r="B5188" s="18" t="n">
        <v>1781971.47601749</v>
      </c>
      <c r="C5188" s="18" t="n">
        <v>1815044.85862488</v>
      </c>
      <c r="D5188" s="0" t="n">
        <v>1</v>
      </c>
    </row>
    <row r="5189" customFormat="false" ht="15" hidden="false" customHeight="false" outlineLevel="0" collapsed="false">
      <c r="A5189" s="0" t="n">
        <v>5188</v>
      </c>
      <c r="B5189" s="18" t="n">
        <v>717469.077006572</v>
      </c>
      <c r="C5189" s="18" t="n">
        <v>0</v>
      </c>
      <c r="D5189" s="0" t="n">
        <v>0</v>
      </c>
      <c r="E5189" s="19" t="n">
        <v>41.5</v>
      </c>
    </row>
    <row r="5190" customFormat="false" ht="15" hidden="false" customHeight="false" outlineLevel="0" collapsed="false">
      <c r="A5190" s="0" t="n">
        <v>5189</v>
      </c>
      <c r="B5190" s="18" t="n">
        <v>257875.51045346</v>
      </c>
      <c r="C5190" s="18" t="n">
        <v>0</v>
      </c>
      <c r="D5190" s="0" t="n">
        <v>0</v>
      </c>
      <c r="E5190" s="19" t="n">
        <v>32.6666666666667</v>
      </c>
    </row>
    <row r="5191" customFormat="false" ht="15" hidden="false" customHeight="false" outlineLevel="0" collapsed="false">
      <c r="A5191" s="0" t="n">
        <v>5190</v>
      </c>
      <c r="B5191" s="18" t="n">
        <v>694449.070669632</v>
      </c>
      <c r="C5191" s="18" t="n">
        <v>0</v>
      </c>
      <c r="D5191" s="0" t="n">
        <v>0</v>
      </c>
      <c r="E5191" s="19" t="n">
        <v>39.6666666666667</v>
      </c>
    </row>
    <row r="5192" customFormat="false" ht="15" hidden="false" customHeight="false" outlineLevel="0" collapsed="false">
      <c r="A5192" s="0" t="n">
        <v>5191</v>
      </c>
      <c r="B5192" s="18" t="n">
        <v>803639.416356004</v>
      </c>
      <c r="C5192" s="18" t="n">
        <v>0</v>
      </c>
      <c r="D5192" s="0" t="n">
        <v>0</v>
      </c>
      <c r="E5192" s="19" t="n">
        <v>40.3333333333333</v>
      </c>
    </row>
    <row r="5193" customFormat="false" ht="15" hidden="false" customHeight="false" outlineLevel="0" collapsed="false">
      <c r="A5193" s="0" t="n">
        <v>5192</v>
      </c>
      <c r="B5193" s="18" t="n">
        <v>1343942.3053854</v>
      </c>
      <c r="C5193" s="18" t="n">
        <v>11841787.8296531</v>
      </c>
      <c r="D5193" s="0" t="n">
        <v>1</v>
      </c>
    </row>
    <row r="5194" customFormat="false" ht="15" hidden="false" customHeight="false" outlineLevel="0" collapsed="false">
      <c r="A5194" s="0" t="n">
        <v>5193</v>
      </c>
      <c r="B5194" s="18" t="n">
        <v>1579791.85187927</v>
      </c>
      <c r="C5194" s="18" t="n">
        <v>0</v>
      </c>
      <c r="D5194" s="0" t="n">
        <v>0</v>
      </c>
      <c r="E5194" s="19" t="n">
        <v>47.5</v>
      </c>
    </row>
    <row r="5195" customFormat="false" ht="15" hidden="false" customHeight="false" outlineLevel="0" collapsed="false">
      <c r="A5195" s="0" t="n">
        <v>5194</v>
      </c>
      <c r="B5195" s="18" t="n">
        <v>683470.11198769</v>
      </c>
      <c r="C5195" s="18" t="n">
        <v>0</v>
      </c>
      <c r="D5195" s="0" t="n">
        <v>0</v>
      </c>
      <c r="E5195" s="19" t="n">
        <v>36.3333333333333</v>
      </c>
    </row>
    <row r="5196" customFormat="false" ht="15" hidden="false" customHeight="false" outlineLevel="0" collapsed="false">
      <c r="A5196" s="0" t="n">
        <v>5195</v>
      </c>
      <c r="B5196" s="18" t="n">
        <v>1325830.36787225</v>
      </c>
      <c r="C5196" s="18" t="n">
        <v>422854.993237228</v>
      </c>
      <c r="D5196" s="0" t="n">
        <v>1</v>
      </c>
    </row>
    <row r="5197" customFormat="false" ht="15" hidden="false" customHeight="false" outlineLevel="0" collapsed="false">
      <c r="A5197" s="0" t="n">
        <v>5196</v>
      </c>
      <c r="B5197" s="18" t="n">
        <v>954019.295287569</v>
      </c>
      <c r="C5197" s="18" t="n">
        <v>2914909.03317297</v>
      </c>
      <c r="D5197" s="0" t="n">
        <v>1</v>
      </c>
    </row>
    <row r="5198" customFormat="false" ht="15" hidden="false" customHeight="false" outlineLevel="0" collapsed="false">
      <c r="A5198" s="0" t="n">
        <v>5197</v>
      </c>
      <c r="B5198" s="18" t="n">
        <v>1738970.08648496</v>
      </c>
      <c r="C5198" s="18" t="n">
        <v>2196746.72169382</v>
      </c>
      <c r="D5198" s="0" t="n">
        <v>1</v>
      </c>
    </row>
    <row r="5199" customFormat="false" ht="15" hidden="false" customHeight="false" outlineLevel="0" collapsed="false">
      <c r="A5199" s="0" t="n">
        <v>5198</v>
      </c>
      <c r="B5199" s="18" t="n">
        <v>745358.320712027</v>
      </c>
      <c r="C5199" s="18" t="n">
        <v>0</v>
      </c>
      <c r="D5199" s="0" t="n">
        <v>0</v>
      </c>
      <c r="E5199" s="19" t="n">
        <v>35.4166666666667</v>
      </c>
    </row>
    <row r="5200" customFormat="false" ht="15" hidden="false" customHeight="false" outlineLevel="0" collapsed="false">
      <c r="A5200" s="0" t="n">
        <v>5199</v>
      </c>
      <c r="B5200" s="18" t="n">
        <v>965281.639331</v>
      </c>
      <c r="C5200" s="18" t="n">
        <v>4688672.95075554</v>
      </c>
      <c r="D5200" s="0" t="n">
        <v>1</v>
      </c>
    </row>
    <row r="5201" customFormat="false" ht="15" hidden="false" customHeight="false" outlineLevel="0" collapsed="false">
      <c r="A5201" s="0" t="n">
        <v>5200</v>
      </c>
      <c r="B5201" s="18" t="n">
        <v>1436233.84491598</v>
      </c>
      <c r="C5201" s="18" t="n">
        <v>2074161.51942679</v>
      </c>
      <c r="D5201" s="0" t="n">
        <v>1</v>
      </c>
    </row>
    <row r="5202" customFormat="false" ht="15" hidden="false" customHeight="false" outlineLevel="0" collapsed="false">
      <c r="A5202" s="0" t="n">
        <v>5201</v>
      </c>
      <c r="B5202" s="18" t="n">
        <v>552053.477165411</v>
      </c>
      <c r="C5202" s="18" t="n">
        <v>0</v>
      </c>
      <c r="D5202" s="0" t="n">
        <v>0</v>
      </c>
      <c r="E5202" s="19" t="n">
        <v>43.3333333333333</v>
      </c>
    </row>
    <row r="5203" customFormat="false" ht="15" hidden="false" customHeight="false" outlineLevel="0" collapsed="false">
      <c r="A5203" s="0" t="n">
        <v>5202</v>
      </c>
      <c r="B5203" s="18" t="n">
        <v>706552.191656721</v>
      </c>
      <c r="C5203" s="18" t="n">
        <v>0</v>
      </c>
      <c r="D5203" s="0" t="n">
        <v>0</v>
      </c>
      <c r="E5203" s="19" t="n">
        <v>34</v>
      </c>
    </row>
    <row r="5204" customFormat="false" ht="15" hidden="false" customHeight="false" outlineLevel="0" collapsed="false">
      <c r="A5204" s="0" t="n">
        <v>5203</v>
      </c>
      <c r="B5204" s="18" t="n">
        <v>979084.873055894</v>
      </c>
      <c r="C5204" s="18" t="n">
        <v>0</v>
      </c>
      <c r="D5204" s="0" t="n">
        <v>0</v>
      </c>
      <c r="E5204" s="19" t="n">
        <v>49.8333333333333</v>
      </c>
    </row>
    <row r="5205" customFormat="false" ht="15" hidden="false" customHeight="false" outlineLevel="0" collapsed="false">
      <c r="A5205" s="0" t="n">
        <v>5204</v>
      </c>
      <c r="B5205" s="18" t="n">
        <v>908448.800628476</v>
      </c>
      <c r="C5205" s="18" t="n">
        <v>291441.598571347</v>
      </c>
      <c r="D5205" s="0" t="n">
        <v>1</v>
      </c>
    </row>
    <row r="5206" customFormat="false" ht="15" hidden="false" customHeight="false" outlineLevel="0" collapsed="false">
      <c r="A5206" s="0" t="n">
        <v>5205</v>
      </c>
      <c r="B5206" s="18" t="n">
        <v>900713.896653856</v>
      </c>
      <c r="C5206" s="18" t="n">
        <v>0</v>
      </c>
      <c r="D5206" s="0" t="n">
        <v>0</v>
      </c>
      <c r="E5206" s="19" t="n">
        <v>44.4166666666667</v>
      </c>
    </row>
    <row r="5207" customFormat="false" ht="15" hidden="false" customHeight="false" outlineLevel="0" collapsed="false">
      <c r="A5207" s="0" t="n">
        <v>5206</v>
      </c>
      <c r="B5207" s="18" t="n">
        <v>823945.982055717</v>
      </c>
      <c r="C5207" s="18" t="n">
        <v>3005264.51236551</v>
      </c>
      <c r="D5207" s="0" t="n">
        <v>1</v>
      </c>
    </row>
    <row r="5208" customFormat="false" ht="15" hidden="false" customHeight="false" outlineLevel="0" collapsed="false">
      <c r="A5208" s="0" t="n">
        <v>5207</v>
      </c>
      <c r="B5208" s="18" t="n">
        <v>499604.994318232</v>
      </c>
      <c r="C5208" s="18" t="n">
        <v>0</v>
      </c>
      <c r="D5208" s="0" t="n">
        <v>0</v>
      </c>
      <c r="E5208" s="19" t="n">
        <v>39</v>
      </c>
    </row>
    <row r="5209" customFormat="false" ht="15" hidden="false" customHeight="false" outlineLevel="0" collapsed="false">
      <c r="A5209" s="0" t="n">
        <v>5208</v>
      </c>
      <c r="B5209" s="18" t="n">
        <v>908954.330296833</v>
      </c>
      <c r="C5209" s="18" t="n">
        <v>0</v>
      </c>
      <c r="D5209" s="0" t="n">
        <v>0</v>
      </c>
      <c r="E5209" s="19" t="n">
        <v>45.9166666666667</v>
      </c>
    </row>
    <row r="5210" customFormat="false" ht="15" hidden="false" customHeight="false" outlineLevel="0" collapsed="false">
      <c r="A5210" s="0" t="n">
        <v>5209</v>
      </c>
      <c r="B5210" s="18" t="n">
        <v>536778.425865163</v>
      </c>
      <c r="C5210" s="18" t="n">
        <v>0</v>
      </c>
      <c r="D5210" s="0" t="n">
        <v>0</v>
      </c>
      <c r="E5210" s="19" t="n">
        <v>33.5</v>
      </c>
    </row>
    <row r="5211" customFormat="false" ht="15" hidden="false" customHeight="false" outlineLevel="0" collapsed="false">
      <c r="A5211" s="0" t="n">
        <v>5210</v>
      </c>
      <c r="B5211" s="18" t="n">
        <v>814810.924485494</v>
      </c>
      <c r="C5211" s="18" t="n">
        <v>0</v>
      </c>
      <c r="D5211" s="0" t="n">
        <v>0</v>
      </c>
      <c r="E5211" s="19" t="n">
        <v>37.8333333333333</v>
      </c>
    </row>
    <row r="5212" customFormat="false" ht="15" hidden="false" customHeight="false" outlineLevel="0" collapsed="false">
      <c r="A5212" s="0" t="n">
        <v>5211</v>
      </c>
      <c r="B5212" s="18" t="n">
        <v>1229757.72931452</v>
      </c>
      <c r="C5212" s="18" t="n">
        <v>0</v>
      </c>
      <c r="D5212" s="0" t="n">
        <v>0</v>
      </c>
      <c r="E5212" s="19" t="n">
        <v>42.5833333333333</v>
      </c>
    </row>
    <row r="5213" customFormat="false" ht="15" hidden="false" customHeight="false" outlineLevel="0" collapsed="false">
      <c r="A5213" s="0" t="n">
        <v>5212</v>
      </c>
      <c r="B5213" s="18" t="n">
        <v>860139.6775509</v>
      </c>
      <c r="C5213" s="18" t="n">
        <v>276573.775051964</v>
      </c>
      <c r="D5213" s="0" t="n">
        <v>1</v>
      </c>
    </row>
    <row r="5214" customFormat="false" ht="15" hidden="false" customHeight="false" outlineLevel="0" collapsed="false">
      <c r="A5214" s="0" t="n">
        <v>5213</v>
      </c>
      <c r="B5214" s="18" t="n">
        <v>765874.948873634</v>
      </c>
      <c r="C5214" s="18" t="n">
        <v>0</v>
      </c>
      <c r="D5214" s="0" t="n">
        <v>0</v>
      </c>
      <c r="E5214" s="19" t="n">
        <v>41.0833333333333</v>
      </c>
    </row>
    <row r="5215" customFormat="false" ht="15" hidden="false" customHeight="false" outlineLevel="0" collapsed="false">
      <c r="A5215" s="0" t="n">
        <v>5214</v>
      </c>
      <c r="B5215" s="18" t="n">
        <v>1498045.39793438</v>
      </c>
      <c r="C5215" s="18" t="n">
        <v>1410559.77251653</v>
      </c>
      <c r="D5215" s="0" t="n">
        <v>1</v>
      </c>
    </row>
    <row r="5216" customFormat="false" ht="15" hidden="false" customHeight="false" outlineLevel="0" collapsed="false">
      <c r="A5216" s="0" t="n">
        <v>5215</v>
      </c>
      <c r="B5216" s="18" t="n">
        <v>653166.266202569</v>
      </c>
      <c r="C5216" s="18" t="n">
        <v>0</v>
      </c>
      <c r="D5216" s="0" t="n">
        <v>0</v>
      </c>
      <c r="E5216" s="19" t="n">
        <v>36</v>
      </c>
    </row>
    <row r="5217" customFormat="false" ht="15" hidden="false" customHeight="false" outlineLevel="0" collapsed="false">
      <c r="A5217" s="0" t="n">
        <v>5216</v>
      </c>
      <c r="B5217" s="18" t="n">
        <v>419115.999296182</v>
      </c>
      <c r="C5217" s="18" t="n">
        <v>0</v>
      </c>
      <c r="D5217" s="0" t="n">
        <v>0</v>
      </c>
      <c r="E5217" s="19" t="n">
        <v>33.5</v>
      </c>
    </row>
    <row r="5218" customFormat="false" ht="15" hidden="false" customHeight="false" outlineLevel="0" collapsed="false">
      <c r="A5218" s="0" t="n">
        <v>5217</v>
      </c>
      <c r="B5218" s="18" t="n">
        <v>820198.338692528</v>
      </c>
      <c r="C5218" s="18" t="n">
        <v>0</v>
      </c>
      <c r="D5218" s="0" t="n">
        <v>0</v>
      </c>
      <c r="E5218" s="19" t="n">
        <v>45.9166666666667</v>
      </c>
    </row>
    <row r="5219" customFormat="false" ht="15" hidden="false" customHeight="false" outlineLevel="0" collapsed="false">
      <c r="A5219" s="0" t="n">
        <v>5218</v>
      </c>
      <c r="B5219" s="18" t="n">
        <v>1213099.51739504</v>
      </c>
      <c r="C5219" s="18" t="n">
        <v>0</v>
      </c>
      <c r="D5219" s="0" t="n">
        <v>0</v>
      </c>
      <c r="E5219" s="19" t="n">
        <v>47.5</v>
      </c>
    </row>
    <row r="5220" customFormat="false" ht="15" hidden="false" customHeight="false" outlineLevel="0" collapsed="false">
      <c r="A5220" s="0" t="n">
        <v>5219</v>
      </c>
      <c r="B5220" s="18" t="n">
        <v>2420590.94730068</v>
      </c>
      <c r="C5220" s="18" t="n">
        <v>6337968.91294657</v>
      </c>
      <c r="D5220" s="0" t="n">
        <v>1</v>
      </c>
    </row>
    <row r="5221" customFormat="false" ht="15" hidden="false" customHeight="false" outlineLevel="0" collapsed="false">
      <c r="A5221" s="0" t="n">
        <v>5220</v>
      </c>
      <c r="B5221" s="18" t="n">
        <v>426068.711813741</v>
      </c>
      <c r="C5221" s="18" t="n">
        <v>0</v>
      </c>
      <c r="D5221" s="0" t="n">
        <v>0</v>
      </c>
      <c r="E5221" s="19" t="n">
        <v>35.0833333333333</v>
      </c>
    </row>
    <row r="5222" customFormat="false" ht="15" hidden="false" customHeight="false" outlineLevel="0" collapsed="false">
      <c r="A5222" s="0" t="n">
        <v>5221</v>
      </c>
      <c r="B5222" s="18" t="n">
        <v>679848.255714749</v>
      </c>
      <c r="C5222" s="18" t="n">
        <v>0</v>
      </c>
      <c r="D5222" s="0" t="n">
        <v>0</v>
      </c>
      <c r="E5222" s="19" t="n">
        <v>45.1666666666667</v>
      </c>
    </row>
    <row r="5223" customFormat="false" ht="15" hidden="false" customHeight="false" outlineLevel="0" collapsed="false">
      <c r="A5223" s="0" t="n">
        <v>5222</v>
      </c>
      <c r="B5223" s="18" t="n">
        <v>470489.139640503</v>
      </c>
      <c r="C5223" s="18" t="n">
        <v>0</v>
      </c>
      <c r="D5223" s="0" t="n">
        <v>0</v>
      </c>
      <c r="E5223" s="19" t="n">
        <v>33.9166666666667</v>
      </c>
    </row>
    <row r="5224" customFormat="false" ht="15" hidden="false" customHeight="false" outlineLevel="0" collapsed="false">
      <c r="A5224" s="0" t="n">
        <v>5223</v>
      </c>
      <c r="B5224" s="18" t="n">
        <v>794319.57353296</v>
      </c>
      <c r="C5224" s="18" t="n">
        <v>0</v>
      </c>
      <c r="D5224" s="0" t="n">
        <v>0</v>
      </c>
      <c r="E5224" s="19" t="n">
        <v>37.3333333333333</v>
      </c>
    </row>
    <row r="5225" customFormat="false" ht="15" hidden="false" customHeight="false" outlineLevel="0" collapsed="false">
      <c r="A5225" s="0" t="n">
        <v>5224</v>
      </c>
      <c r="B5225" s="18" t="n">
        <v>1498375.72012161</v>
      </c>
      <c r="C5225" s="18" t="n">
        <v>1021071.93947331</v>
      </c>
      <c r="D5225" s="0" t="n">
        <v>1</v>
      </c>
    </row>
    <row r="5226" customFormat="false" ht="15" hidden="false" customHeight="false" outlineLevel="0" collapsed="false">
      <c r="A5226" s="0" t="n">
        <v>5225</v>
      </c>
      <c r="B5226" s="18" t="n">
        <v>390973.133663244</v>
      </c>
      <c r="C5226" s="18" t="n">
        <v>0</v>
      </c>
      <c r="D5226" s="0" t="n">
        <v>0</v>
      </c>
      <c r="E5226" s="19" t="n">
        <v>34.6666666666667</v>
      </c>
    </row>
    <row r="5227" customFormat="false" ht="15" hidden="false" customHeight="false" outlineLevel="0" collapsed="false">
      <c r="A5227" s="0" t="n">
        <v>5226</v>
      </c>
      <c r="B5227" s="18" t="n">
        <v>645362.77766523</v>
      </c>
      <c r="C5227" s="18" t="n">
        <v>808342.033427054</v>
      </c>
      <c r="D5227" s="0" t="n">
        <v>1</v>
      </c>
    </row>
    <row r="5228" customFormat="false" ht="15" hidden="false" customHeight="false" outlineLevel="0" collapsed="false">
      <c r="A5228" s="0" t="n">
        <v>5227</v>
      </c>
      <c r="B5228" s="18" t="n">
        <v>1909722.7780258</v>
      </c>
      <c r="C5228" s="18" t="n">
        <v>5173743.2923704</v>
      </c>
      <c r="D5228" s="0" t="n">
        <v>1</v>
      </c>
    </row>
    <row r="5229" customFormat="false" ht="15" hidden="false" customHeight="false" outlineLevel="0" collapsed="false">
      <c r="A5229" s="0" t="n">
        <v>5228</v>
      </c>
      <c r="B5229" s="18" t="n">
        <v>1226440.42075059</v>
      </c>
      <c r="C5229" s="18" t="n">
        <v>0</v>
      </c>
      <c r="D5229" s="0" t="n">
        <v>0</v>
      </c>
      <c r="E5229" s="19" t="n">
        <v>46.1666666666667</v>
      </c>
    </row>
    <row r="5230" customFormat="false" ht="15" hidden="false" customHeight="false" outlineLevel="0" collapsed="false">
      <c r="A5230" s="0" t="n">
        <v>5229</v>
      </c>
      <c r="B5230" s="18" t="n">
        <v>848598.017638041</v>
      </c>
      <c r="C5230" s="18" t="n">
        <v>0</v>
      </c>
      <c r="D5230" s="0" t="n">
        <v>0</v>
      </c>
      <c r="E5230" s="19" t="n">
        <v>46.9166666666667</v>
      </c>
    </row>
    <row r="5231" customFormat="false" ht="15" hidden="false" customHeight="false" outlineLevel="0" collapsed="false">
      <c r="A5231" s="0" t="n">
        <v>5230</v>
      </c>
      <c r="B5231" s="18" t="n">
        <v>1902559.10712431</v>
      </c>
      <c r="C5231" s="18" t="n">
        <v>1239833.05730293</v>
      </c>
      <c r="D5231" s="0" t="n">
        <v>1</v>
      </c>
    </row>
    <row r="5232" customFormat="false" ht="15" hidden="false" customHeight="false" outlineLevel="0" collapsed="false">
      <c r="A5232" s="0" t="n">
        <v>5231</v>
      </c>
      <c r="B5232" s="18" t="n">
        <v>1189235.56592775</v>
      </c>
      <c r="C5232" s="18" t="n">
        <v>7205412.600259</v>
      </c>
      <c r="D5232" s="0" t="n">
        <v>1</v>
      </c>
    </row>
    <row r="5233" customFormat="false" ht="15" hidden="false" customHeight="false" outlineLevel="0" collapsed="false">
      <c r="A5233" s="0" t="n">
        <v>5232</v>
      </c>
      <c r="B5233" s="18" t="n">
        <v>691744.871941996</v>
      </c>
      <c r="C5233" s="18" t="n">
        <v>0</v>
      </c>
      <c r="D5233" s="0" t="n">
        <v>0</v>
      </c>
      <c r="E5233" s="19" t="n">
        <v>49.3333333333333</v>
      </c>
    </row>
    <row r="5234" customFormat="false" ht="15" hidden="false" customHeight="false" outlineLevel="0" collapsed="false">
      <c r="A5234" s="0" t="n">
        <v>5233</v>
      </c>
      <c r="B5234" s="18" t="n">
        <v>684602.572981661</v>
      </c>
      <c r="C5234" s="18" t="n">
        <v>0</v>
      </c>
      <c r="D5234" s="0" t="n">
        <v>0</v>
      </c>
      <c r="E5234" s="19" t="n">
        <v>43.5833333333333</v>
      </c>
    </row>
    <row r="5235" customFormat="false" ht="15" hidden="false" customHeight="false" outlineLevel="0" collapsed="false">
      <c r="A5235" s="0" t="n">
        <v>5234</v>
      </c>
      <c r="B5235" s="18" t="n">
        <v>444980.165994087</v>
      </c>
      <c r="C5235" s="18" t="n">
        <v>0</v>
      </c>
      <c r="D5235" s="0" t="n">
        <v>0</v>
      </c>
      <c r="E5235" s="19" t="n">
        <v>35.5</v>
      </c>
    </row>
    <row r="5236" customFormat="false" ht="15" hidden="false" customHeight="false" outlineLevel="0" collapsed="false">
      <c r="A5236" s="0" t="n">
        <v>5235</v>
      </c>
      <c r="B5236" s="18" t="n">
        <v>1228482.5464802</v>
      </c>
      <c r="C5236" s="18" t="n">
        <v>0</v>
      </c>
      <c r="D5236" s="0" t="n">
        <v>0</v>
      </c>
      <c r="E5236" s="19" t="n">
        <v>48.75</v>
      </c>
    </row>
    <row r="5237" customFormat="false" ht="15" hidden="false" customHeight="false" outlineLevel="0" collapsed="false">
      <c r="A5237" s="0" t="n">
        <v>5236</v>
      </c>
      <c r="B5237" s="18" t="n">
        <v>633208.243066513</v>
      </c>
      <c r="C5237" s="18" t="n">
        <v>0</v>
      </c>
      <c r="D5237" s="0" t="n">
        <v>0</v>
      </c>
      <c r="E5237" s="19" t="n">
        <v>38.25</v>
      </c>
    </row>
    <row r="5238" customFormat="false" ht="15" hidden="false" customHeight="false" outlineLevel="0" collapsed="false">
      <c r="A5238" s="0" t="n">
        <v>5237</v>
      </c>
      <c r="B5238" s="18" t="n">
        <v>775282.024497915</v>
      </c>
      <c r="C5238" s="18" t="n">
        <v>373436.2431091</v>
      </c>
      <c r="D5238" s="0" t="n">
        <v>1</v>
      </c>
    </row>
    <row r="5239" customFormat="false" ht="15" hidden="false" customHeight="false" outlineLevel="0" collapsed="false">
      <c r="A5239" s="0" t="n">
        <v>5238</v>
      </c>
      <c r="B5239" s="18" t="n">
        <v>899182.430213088</v>
      </c>
      <c r="C5239" s="18" t="n">
        <v>0</v>
      </c>
      <c r="D5239" s="0" t="n">
        <v>0</v>
      </c>
      <c r="E5239" s="19" t="n">
        <v>41.0833333333333</v>
      </c>
    </row>
    <row r="5240" customFormat="false" ht="15" hidden="false" customHeight="false" outlineLevel="0" collapsed="false">
      <c r="A5240" s="0" t="n">
        <v>5239</v>
      </c>
      <c r="B5240" s="18" t="n">
        <v>636135.878873243</v>
      </c>
      <c r="C5240" s="18" t="n">
        <v>0</v>
      </c>
      <c r="D5240" s="0" t="n">
        <v>0</v>
      </c>
      <c r="E5240" s="19" t="n">
        <v>37.25</v>
      </c>
    </row>
    <row r="5241" customFormat="false" ht="15" hidden="false" customHeight="false" outlineLevel="0" collapsed="false">
      <c r="A5241" s="0" t="n">
        <v>5240</v>
      </c>
      <c r="B5241" s="18" t="n">
        <v>1219213.25319046</v>
      </c>
      <c r="C5241" s="18" t="n">
        <v>174705.766479181</v>
      </c>
      <c r="D5241" s="0" t="n">
        <v>1</v>
      </c>
    </row>
    <row r="5242" customFormat="false" ht="15" hidden="false" customHeight="false" outlineLevel="0" collapsed="false">
      <c r="A5242" s="0" t="n">
        <v>5241</v>
      </c>
      <c r="B5242" s="18" t="n">
        <v>1121373.58797646</v>
      </c>
      <c r="C5242" s="18" t="n">
        <v>0</v>
      </c>
      <c r="D5242" s="0" t="n">
        <v>0</v>
      </c>
      <c r="E5242" s="19" t="n">
        <v>42.5833333333333</v>
      </c>
    </row>
    <row r="5243" customFormat="false" ht="15" hidden="false" customHeight="false" outlineLevel="0" collapsed="false">
      <c r="A5243" s="0" t="n">
        <v>5242</v>
      </c>
      <c r="B5243" s="18" t="n">
        <v>1509918.4622751</v>
      </c>
      <c r="C5243" s="18" t="n">
        <v>0</v>
      </c>
      <c r="D5243" s="0" t="n">
        <v>0</v>
      </c>
      <c r="E5243" s="19" t="n">
        <v>49</v>
      </c>
    </row>
    <row r="5244" customFormat="false" ht="15" hidden="false" customHeight="false" outlineLevel="0" collapsed="false">
      <c r="A5244" s="0" t="n">
        <v>5243</v>
      </c>
      <c r="B5244" s="18" t="n">
        <v>735717.102879466</v>
      </c>
      <c r="C5244" s="18" t="n">
        <v>0</v>
      </c>
      <c r="D5244" s="0" t="n">
        <v>0</v>
      </c>
      <c r="E5244" s="19" t="n">
        <v>39.75</v>
      </c>
    </row>
    <row r="5245" customFormat="false" ht="15" hidden="false" customHeight="false" outlineLevel="0" collapsed="false">
      <c r="A5245" s="0" t="n">
        <v>5244</v>
      </c>
      <c r="B5245" s="18" t="n">
        <v>707158.632789434</v>
      </c>
      <c r="C5245" s="18" t="n">
        <v>0</v>
      </c>
      <c r="D5245" s="0" t="n">
        <v>0</v>
      </c>
      <c r="E5245" s="19" t="n">
        <v>37.5833333333333</v>
      </c>
    </row>
    <row r="5246" customFormat="false" ht="15" hidden="false" customHeight="false" outlineLevel="0" collapsed="false">
      <c r="A5246" s="0" t="n">
        <v>5245</v>
      </c>
      <c r="B5246" s="18" t="n">
        <v>545429.175022518</v>
      </c>
      <c r="C5246" s="18" t="n">
        <v>0</v>
      </c>
      <c r="D5246" s="0" t="n">
        <v>0</v>
      </c>
      <c r="E5246" s="19" t="n">
        <v>35.5833333333333</v>
      </c>
    </row>
    <row r="5247" customFormat="false" ht="15" hidden="false" customHeight="false" outlineLevel="0" collapsed="false">
      <c r="A5247" s="0" t="n">
        <v>5246</v>
      </c>
      <c r="B5247" s="18" t="n">
        <v>827331.442874305</v>
      </c>
      <c r="C5247" s="18" t="n">
        <v>0</v>
      </c>
      <c r="D5247" s="0" t="n">
        <v>0</v>
      </c>
      <c r="E5247" s="19" t="n">
        <v>40.9166666666667</v>
      </c>
    </row>
    <row r="5248" customFormat="false" ht="15" hidden="false" customHeight="false" outlineLevel="0" collapsed="false">
      <c r="A5248" s="0" t="n">
        <v>5247</v>
      </c>
      <c r="B5248" s="18" t="n">
        <v>1259689.63098625</v>
      </c>
      <c r="C5248" s="18" t="n">
        <v>0</v>
      </c>
      <c r="D5248" s="0" t="n">
        <v>0</v>
      </c>
      <c r="E5248" s="19" t="n">
        <v>44.5833333333333</v>
      </c>
    </row>
    <row r="5249" customFormat="false" ht="15" hidden="false" customHeight="false" outlineLevel="0" collapsed="false">
      <c r="A5249" s="0" t="n">
        <v>5248</v>
      </c>
      <c r="B5249" s="18" t="n">
        <v>811424.06301915</v>
      </c>
      <c r="C5249" s="18" t="n">
        <v>0</v>
      </c>
      <c r="D5249" s="0" t="n">
        <v>0</v>
      </c>
      <c r="E5249" s="19" t="n">
        <v>44</v>
      </c>
    </row>
    <row r="5250" customFormat="false" ht="15" hidden="false" customHeight="false" outlineLevel="0" collapsed="false">
      <c r="A5250" s="0" t="n">
        <v>5249</v>
      </c>
      <c r="B5250" s="18" t="n">
        <v>447013.678235178</v>
      </c>
      <c r="C5250" s="18" t="n">
        <v>0</v>
      </c>
      <c r="D5250" s="0" t="n">
        <v>0</v>
      </c>
      <c r="E5250" s="19" t="n">
        <v>33.5833333333333</v>
      </c>
    </row>
    <row r="5251" customFormat="false" ht="15" hidden="false" customHeight="false" outlineLevel="0" collapsed="false">
      <c r="A5251" s="0" t="n">
        <v>5250</v>
      </c>
      <c r="B5251" s="18" t="n">
        <v>1737487.62371728</v>
      </c>
      <c r="C5251" s="18" t="n">
        <v>7448698.42656291</v>
      </c>
      <c r="D5251" s="0" t="n">
        <v>1</v>
      </c>
    </row>
    <row r="5252" customFormat="false" ht="15" hidden="false" customHeight="false" outlineLevel="0" collapsed="false">
      <c r="A5252" s="0" t="n">
        <v>5251</v>
      </c>
      <c r="B5252" s="18" t="n">
        <v>3003352.82088602</v>
      </c>
      <c r="C5252" s="18" t="n">
        <v>16296544.9106292</v>
      </c>
      <c r="D5252" s="0" t="n">
        <v>1</v>
      </c>
    </row>
    <row r="5253" customFormat="false" ht="15" hidden="false" customHeight="false" outlineLevel="0" collapsed="false">
      <c r="A5253" s="0" t="n">
        <v>5252</v>
      </c>
      <c r="B5253" s="18" t="n">
        <v>1418020.51738302</v>
      </c>
      <c r="C5253" s="18" t="n">
        <v>0</v>
      </c>
      <c r="D5253" s="0" t="n">
        <v>0</v>
      </c>
      <c r="E5253" s="19" t="n">
        <v>47.1666666666667</v>
      </c>
    </row>
    <row r="5254" customFormat="false" ht="15" hidden="false" customHeight="false" outlineLevel="0" collapsed="false">
      <c r="A5254" s="0" t="n">
        <v>5253</v>
      </c>
      <c r="B5254" s="18" t="n">
        <v>888948.654891815</v>
      </c>
      <c r="C5254" s="18" t="n">
        <v>0</v>
      </c>
      <c r="D5254" s="0" t="n">
        <v>0</v>
      </c>
      <c r="E5254" s="19" t="n">
        <v>41.3333333333333</v>
      </c>
    </row>
    <row r="5255" customFormat="false" ht="15" hidden="false" customHeight="false" outlineLevel="0" collapsed="false">
      <c r="A5255" s="0" t="n">
        <v>5254</v>
      </c>
      <c r="B5255" s="18" t="n">
        <v>839753.920778264</v>
      </c>
      <c r="C5255" s="18" t="n">
        <v>0</v>
      </c>
      <c r="D5255" s="0" t="n">
        <v>0</v>
      </c>
      <c r="E5255" s="19" t="n">
        <v>44.1666666666667</v>
      </c>
    </row>
    <row r="5256" customFormat="false" ht="15" hidden="false" customHeight="false" outlineLevel="0" collapsed="false">
      <c r="A5256" s="0" t="n">
        <v>5255</v>
      </c>
      <c r="B5256" s="18" t="n">
        <v>715916.776866268</v>
      </c>
      <c r="C5256" s="18" t="n">
        <v>0</v>
      </c>
      <c r="D5256" s="0" t="n">
        <v>0</v>
      </c>
      <c r="E5256" s="19" t="n">
        <v>37.6666666666667</v>
      </c>
    </row>
    <row r="5257" customFormat="false" ht="15" hidden="false" customHeight="false" outlineLevel="0" collapsed="false">
      <c r="A5257" s="0" t="n">
        <v>5256</v>
      </c>
      <c r="B5257" s="18" t="n">
        <v>1510194.37259908</v>
      </c>
      <c r="C5257" s="18" t="n">
        <v>1863937.76609934</v>
      </c>
      <c r="D5257" s="0" t="n">
        <v>1</v>
      </c>
    </row>
    <row r="5258" customFormat="false" ht="15" hidden="false" customHeight="false" outlineLevel="0" collapsed="false">
      <c r="A5258" s="0" t="n">
        <v>5257</v>
      </c>
      <c r="B5258" s="18" t="n">
        <v>796638.761756509</v>
      </c>
      <c r="C5258" s="18" t="n">
        <v>368016.851029752</v>
      </c>
      <c r="D5258" s="0" t="n">
        <v>1</v>
      </c>
    </row>
    <row r="5259" customFormat="false" ht="15" hidden="false" customHeight="false" outlineLevel="0" collapsed="false">
      <c r="A5259" s="0" t="n">
        <v>5258</v>
      </c>
      <c r="B5259" s="18" t="n">
        <v>817022.893275663</v>
      </c>
      <c r="C5259" s="18" t="n">
        <v>0</v>
      </c>
      <c r="D5259" s="0" t="n">
        <v>0</v>
      </c>
      <c r="E5259" s="19" t="n">
        <v>38.3333333333333</v>
      </c>
    </row>
    <row r="5260" customFormat="false" ht="15" hidden="false" customHeight="false" outlineLevel="0" collapsed="false">
      <c r="A5260" s="0" t="n">
        <v>5259</v>
      </c>
      <c r="B5260" s="18" t="n">
        <v>1543323.20104866</v>
      </c>
      <c r="C5260" s="18" t="n">
        <v>13018272.1668261</v>
      </c>
      <c r="D5260" s="0" t="n">
        <v>1</v>
      </c>
    </row>
    <row r="5261" customFormat="false" ht="15" hidden="false" customHeight="false" outlineLevel="0" collapsed="false">
      <c r="A5261" s="0" t="n">
        <v>5260</v>
      </c>
      <c r="B5261" s="18" t="n">
        <v>1437817.50104551</v>
      </c>
      <c r="C5261" s="18" t="n">
        <v>3733701.41315335</v>
      </c>
      <c r="D5261" s="0" t="n">
        <v>1</v>
      </c>
    </row>
    <row r="5262" customFormat="false" ht="15" hidden="false" customHeight="false" outlineLevel="0" collapsed="false">
      <c r="A5262" s="0" t="n">
        <v>5261</v>
      </c>
      <c r="B5262" s="18" t="n">
        <v>482588.405729936</v>
      </c>
      <c r="C5262" s="18" t="n">
        <v>0</v>
      </c>
      <c r="D5262" s="0" t="n">
        <v>0</v>
      </c>
      <c r="E5262" s="19" t="n">
        <v>31.5833333333333</v>
      </c>
    </row>
    <row r="5263" customFormat="false" ht="15" hidden="false" customHeight="false" outlineLevel="0" collapsed="false">
      <c r="A5263" s="0" t="n">
        <v>5262</v>
      </c>
      <c r="B5263" s="18" t="n">
        <v>1168595.06302918</v>
      </c>
      <c r="C5263" s="18" t="n">
        <v>573742.769802877</v>
      </c>
      <c r="D5263" s="0" t="n">
        <v>1</v>
      </c>
    </row>
    <row r="5264" customFormat="false" ht="15" hidden="false" customHeight="false" outlineLevel="0" collapsed="false">
      <c r="A5264" s="0" t="n">
        <v>5263</v>
      </c>
      <c r="B5264" s="18" t="n">
        <v>1021591.76178842</v>
      </c>
      <c r="C5264" s="18" t="n">
        <v>0</v>
      </c>
      <c r="D5264" s="0" t="n">
        <v>0</v>
      </c>
      <c r="E5264" s="19" t="n">
        <v>37.9166666666667</v>
      </c>
    </row>
    <row r="5265" customFormat="false" ht="15" hidden="false" customHeight="false" outlineLevel="0" collapsed="false">
      <c r="A5265" s="0" t="n">
        <v>5264</v>
      </c>
      <c r="B5265" s="18" t="n">
        <v>296687.287008282</v>
      </c>
      <c r="C5265" s="18" t="n">
        <v>0</v>
      </c>
      <c r="D5265" s="0" t="n">
        <v>0</v>
      </c>
      <c r="E5265" s="19" t="n">
        <v>31.5</v>
      </c>
    </row>
    <row r="5266" customFormat="false" ht="15" hidden="false" customHeight="false" outlineLevel="0" collapsed="false">
      <c r="A5266" s="0" t="n">
        <v>5265</v>
      </c>
      <c r="B5266" s="18" t="n">
        <v>840642.919390501</v>
      </c>
      <c r="C5266" s="18" t="n">
        <v>0</v>
      </c>
      <c r="D5266" s="0" t="n">
        <v>0</v>
      </c>
      <c r="E5266" s="19" t="n">
        <v>38.5</v>
      </c>
    </row>
    <row r="5267" customFormat="false" ht="15" hidden="false" customHeight="false" outlineLevel="0" collapsed="false">
      <c r="A5267" s="0" t="n">
        <v>5266</v>
      </c>
      <c r="B5267" s="18" t="n">
        <v>729895.188577384</v>
      </c>
      <c r="C5267" s="18" t="n">
        <v>0</v>
      </c>
      <c r="D5267" s="0" t="n">
        <v>0</v>
      </c>
      <c r="E5267" s="19" t="n">
        <v>43</v>
      </c>
    </row>
    <row r="5268" customFormat="false" ht="15" hidden="false" customHeight="false" outlineLevel="0" collapsed="false">
      <c r="A5268" s="0" t="n">
        <v>5267</v>
      </c>
      <c r="B5268" s="18" t="n">
        <v>1162750.43423539</v>
      </c>
      <c r="C5268" s="18" t="n">
        <v>474079.247240485</v>
      </c>
      <c r="D5268" s="0" t="n">
        <v>1</v>
      </c>
    </row>
    <row r="5269" customFormat="false" ht="15" hidden="false" customHeight="false" outlineLevel="0" collapsed="false">
      <c r="A5269" s="0" t="n">
        <v>5268</v>
      </c>
      <c r="B5269" s="18" t="n">
        <v>837163.757661754</v>
      </c>
      <c r="C5269" s="18" t="n">
        <v>0</v>
      </c>
      <c r="D5269" s="0" t="n">
        <v>0</v>
      </c>
      <c r="E5269" s="19" t="n">
        <v>41.75</v>
      </c>
    </row>
    <row r="5270" customFormat="false" ht="15" hidden="false" customHeight="false" outlineLevel="0" collapsed="false">
      <c r="A5270" s="0" t="n">
        <v>5269</v>
      </c>
      <c r="B5270" s="18" t="n">
        <v>988935.223936737</v>
      </c>
      <c r="C5270" s="18" t="n">
        <v>0</v>
      </c>
      <c r="D5270" s="0" t="n">
        <v>0</v>
      </c>
      <c r="E5270" s="19" t="n">
        <v>51.0833333333333</v>
      </c>
    </row>
    <row r="5271" customFormat="false" ht="15" hidden="false" customHeight="false" outlineLevel="0" collapsed="false">
      <c r="A5271" s="0" t="n">
        <v>5270</v>
      </c>
      <c r="B5271" s="18" t="n">
        <v>1610820.47300589</v>
      </c>
      <c r="C5271" s="18" t="n">
        <v>0</v>
      </c>
      <c r="D5271" s="0" t="n">
        <v>0</v>
      </c>
      <c r="E5271" s="19" t="n">
        <v>52.3333333333333</v>
      </c>
    </row>
    <row r="5272" customFormat="false" ht="15" hidden="false" customHeight="false" outlineLevel="0" collapsed="false">
      <c r="A5272" s="0" t="n">
        <v>5271</v>
      </c>
      <c r="B5272" s="18" t="n">
        <v>1962430.10429684</v>
      </c>
      <c r="C5272" s="18" t="n">
        <v>5060589.91740037</v>
      </c>
      <c r="D5272" s="0" t="n">
        <v>1</v>
      </c>
    </row>
    <row r="5273" customFormat="false" ht="15" hidden="false" customHeight="false" outlineLevel="0" collapsed="false">
      <c r="A5273" s="0" t="n">
        <v>5272</v>
      </c>
      <c r="B5273" s="18" t="n">
        <v>344217.339311807</v>
      </c>
      <c r="C5273" s="18" t="n">
        <v>0</v>
      </c>
      <c r="D5273" s="0" t="n">
        <v>0</v>
      </c>
      <c r="E5273" s="19" t="n">
        <v>30.8333333333333</v>
      </c>
    </row>
    <row r="5274" customFormat="false" ht="15" hidden="false" customHeight="false" outlineLevel="0" collapsed="false">
      <c r="A5274" s="0" t="n">
        <v>5273</v>
      </c>
      <c r="B5274" s="18" t="n">
        <v>451975.971893728</v>
      </c>
      <c r="C5274" s="18" t="n">
        <v>0</v>
      </c>
      <c r="D5274" s="0" t="n">
        <v>0</v>
      </c>
      <c r="E5274" s="19" t="n">
        <v>33.5</v>
      </c>
    </row>
    <row r="5275" customFormat="false" ht="15" hidden="false" customHeight="false" outlineLevel="0" collapsed="false">
      <c r="A5275" s="0" t="n">
        <v>5274</v>
      </c>
      <c r="B5275" s="18" t="n">
        <v>1131174.96841482</v>
      </c>
      <c r="C5275" s="18" t="n">
        <v>382509.233111843</v>
      </c>
      <c r="D5275" s="0" t="n">
        <v>1</v>
      </c>
    </row>
    <row r="5276" customFormat="false" ht="15" hidden="false" customHeight="false" outlineLevel="0" collapsed="false">
      <c r="A5276" s="0" t="n">
        <v>5275</v>
      </c>
      <c r="B5276" s="18" t="n">
        <v>3641610.91247433</v>
      </c>
      <c r="C5276" s="18" t="n">
        <v>15231754.3628813</v>
      </c>
      <c r="D5276" s="0" t="n">
        <v>1</v>
      </c>
    </row>
    <row r="5277" customFormat="false" ht="15" hidden="false" customHeight="false" outlineLevel="0" collapsed="false">
      <c r="A5277" s="0" t="n">
        <v>5276</v>
      </c>
      <c r="B5277" s="18" t="n">
        <v>790811.308214202</v>
      </c>
      <c r="C5277" s="18" t="n">
        <v>0</v>
      </c>
      <c r="D5277" s="0" t="n">
        <v>0</v>
      </c>
      <c r="E5277" s="19" t="n">
        <v>35.6666666666667</v>
      </c>
    </row>
    <row r="5278" customFormat="false" ht="15" hidden="false" customHeight="false" outlineLevel="0" collapsed="false">
      <c r="A5278" s="0" t="n">
        <v>5277</v>
      </c>
      <c r="B5278" s="18" t="n">
        <v>1581795.45533282</v>
      </c>
      <c r="C5278" s="18" t="n">
        <v>5543902.45602486</v>
      </c>
      <c r="D5278" s="0" t="n">
        <v>1</v>
      </c>
    </row>
    <row r="5279" customFormat="false" ht="15" hidden="false" customHeight="false" outlineLevel="0" collapsed="false">
      <c r="A5279" s="0" t="n">
        <v>5278</v>
      </c>
      <c r="B5279" s="18" t="n">
        <v>1602691.75435312</v>
      </c>
      <c r="C5279" s="18" t="n">
        <v>0</v>
      </c>
      <c r="D5279" s="0" t="n">
        <v>0</v>
      </c>
      <c r="E5279" s="19" t="n">
        <v>37.6666666666667</v>
      </c>
    </row>
    <row r="5280" customFormat="false" ht="15" hidden="false" customHeight="false" outlineLevel="0" collapsed="false">
      <c r="A5280" s="0" t="n">
        <v>5279</v>
      </c>
      <c r="B5280" s="18" t="n">
        <v>266015.491284416</v>
      </c>
      <c r="C5280" s="18" t="n">
        <v>0</v>
      </c>
      <c r="D5280" s="0" t="n">
        <v>0</v>
      </c>
      <c r="E5280" s="19" t="n">
        <v>29.5</v>
      </c>
    </row>
    <row r="5281" customFormat="false" ht="15" hidden="false" customHeight="false" outlineLevel="0" collapsed="false">
      <c r="A5281" s="0" t="n">
        <v>5280</v>
      </c>
      <c r="B5281" s="18" t="n">
        <v>1237431.64025162</v>
      </c>
      <c r="C5281" s="18" t="n">
        <v>3522855.9556524</v>
      </c>
      <c r="D5281" s="0" t="n">
        <v>1</v>
      </c>
    </row>
    <row r="5282" customFormat="false" ht="15" hidden="false" customHeight="false" outlineLevel="0" collapsed="false">
      <c r="A5282" s="0" t="n">
        <v>5281</v>
      </c>
      <c r="B5282" s="18" t="n">
        <v>2036154.13205083</v>
      </c>
      <c r="C5282" s="18" t="n">
        <v>20096076.2878762</v>
      </c>
      <c r="D5282" s="0" t="n">
        <v>1</v>
      </c>
    </row>
    <row r="5283" customFormat="false" ht="15" hidden="false" customHeight="false" outlineLevel="0" collapsed="false">
      <c r="A5283" s="0" t="n">
        <v>5282</v>
      </c>
      <c r="B5283" s="18" t="n">
        <v>1914789.68680983</v>
      </c>
      <c r="C5283" s="18" t="n">
        <v>6453856.70463676</v>
      </c>
      <c r="D5283" s="0" t="n">
        <v>1</v>
      </c>
    </row>
    <row r="5284" customFormat="false" ht="15" hidden="false" customHeight="false" outlineLevel="0" collapsed="false">
      <c r="A5284" s="0" t="n">
        <v>5283</v>
      </c>
      <c r="B5284" s="18" t="n">
        <v>535930.766740988</v>
      </c>
      <c r="C5284" s="18" t="n">
        <v>0</v>
      </c>
      <c r="D5284" s="0" t="n">
        <v>0</v>
      </c>
      <c r="E5284" s="19" t="n">
        <v>34.5833333333333</v>
      </c>
    </row>
    <row r="5285" customFormat="false" ht="15" hidden="false" customHeight="false" outlineLevel="0" collapsed="false">
      <c r="A5285" s="0" t="n">
        <v>5284</v>
      </c>
      <c r="B5285" s="18" t="n">
        <v>772126.565558587</v>
      </c>
      <c r="C5285" s="18" t="n">
        <v>0</v>
      </c>
      <c r="D5285" s="0" t="n">
        <v>0</v>
      </c>
      <c r="E5285" s="19" t="n">
        <v>41.25</v>
      </c>
    </row>
    <row r="5286" customFormat="false" ht="15" hidden="false" customHeight="false" outlineLevel="0" collapsed="false">
      <c r="A5286" s="0" t="n">
        <v>5285</v>
      </c>
      <c r="B5286" s="18" t="n">
        <v>853519.635725817</v>
      </c>
      <c r="C5286" s="18" t="n">
        <v>0</v>
      </c>
      <c r="D5286" s="0" t="n">
        <v>0</v>
      </c>
      <c r="E5286" s="19" t="n">
        <v>39.4166666666667</v>
      </c>
    </row>
    <row r="5287" customFormat="false" ht="15" hidden="false" customHeight="false" outlineLevel="0" collapsed="false">
      <c r="A5287" s="0" t="n">
        <v>5286</v>
      </c>
      <c r="B5287" s="18" t="n">
        <v>1771179.03474993</v>
      </c>
      <c r="C5287" s="18" t="n">
        <v>7805987.57923433</v>
      </c>
      <c r="D5287" s="0" t="n">
        <v>1</v>
      </c>
    </row>
    <row r="5288" customFormat="false" ht="15" hidden="false" customHeight="false" outlineLevel="0" collapsed="false">
      <c r="A5288" s="0" t="n">
        <v>5287</v>
      </c>
      <c r="B5288" s="18" t="n">
        <v>424861.541262001</v>
      </c>
      <c r="C5288" s="18" t="n">
        <v>0</v>
      </c>
      <c r="D5288" s="0" t="n">
        <v>0</v>
      </c>
      <c r="E5288" s="19" t="n">
        <v>30.5833333333333</v>
      </c>
    </row>
    <row r="5289" customFormat="false" ht="15" hidden="false" customHeight="false" outlineLevel="0" collapsed="false">
      <c r="A5289" s="0" t="n">
        <v>5288</v>
      </c>
      <c r="B5289" s="18" t="n">
        <v>1306180.80140348</v>
      </c>
      <c r="C5289" s="18" t="n">
        <v>3565058.113581</v>
      </c>
      <c r="D5289" s="0" t="n">
        <v>1</v>
      </c>
    </row>
    <row r="5290" customFormat="false" ht="15" hidden="false" customHeight="false" outlineLevel="0" collapsed="false">
      <c r="A5290" s="0" t="n">
        <v>5289</v>
      </c>
      <c r="B5290" s="18" t="n">
        <v>952204.494611555</v>
      </c>
      <c r="C5290" s="18" t="n">
        <v>819676.755900024</v>
      </c>
      <c r="D5290" s="0" t="n">
        <v>1</v>
      </c>
    </row>
    <row r="5291" customFormat="false" ht="15" hidden="false" customHeight="false" outlineLevel="0" collapsed="false">
      <c r="A5291" s="0" t="n">
        <v>5290</v>
      </c>
      <c r="B5291" s="18" t="n">
        <v>1526948.4925233</v>
      </c>
      <c r="C5291" s="18" t="n">
        <v>0</v>
      </c>
      <c r="D5291" s="0" t="n">
        <v>0</v>
      </c>
      <c r="E5291" s="19" t="n">
        <v>51.1666666666667</v>
      </c>
    </row>
    <row r="5292" customFormat="false" ht="15" hidden="false" customHeight="false" outlineLevel="0" collapsed="false">
      <c r="A5292" s="0" t="n">
        <v>5291</v>
      </c>
      <c r="B5292" s="18" t="n">
        <v>1428604.40296345</v>
      </c>
      <c r="C5292" s="18" t="n">
        <v>739728.352306019</v>
      </c>
      <c r="D5292" s="0" t="n">
        <v>1</v>
      </c>
    </row>
    <row r="5293" customFormat="false" ht="15" hidden="false" customHeight="false" outlineLevel="0" collapsed="false">
      <c r="A5293" s="0" t="n">
        <v>5292</v>
      </c>
      <c r="B5293" s="18" t="n">
        <v>1595348.95420453</v>
      </c>
      <c r="C5293" s="18" t="n">
        <v>2886538.23586856</v>
      </c>
      <c r="D5293" s="0" t="n">
        <v>1</v>
      </c>
    </row>
    <row r="5294" customFormat="false" ht="15" hidden="false" customHeight="false" outlineLevel="0" collapsed="false">
      <c r="A5294" s="0" t="n">
        <v>5293</v>
      </c>
      <c r="B5294" s="18" t="n">
        <v>407484.096637999</v>
      </c>
      <c r="C5294" s="18" t="n">
        <v>0</v>
      </c>
      <c r="D5294" s="0" t="n">
        <v>0</v>
      </c>
      <c r="E5294" s="19" t="n">
        <v>35.0833333333333</v>
      </c>
    </row>
    <row r="5295" customFormat="false" ht="15" hidden="false" customHeight="false" outlineLevel="0" collapsed="false">
      <c r="A5295" s="0" t="n">
        <v>5294</v>
      </c>
      <c r="B5295" s="18" t="n">
        <v>542532.328331473</v>
      </c>
      <c r="C5295" s="18" t="n">
        <v>0</v>
      </c>
      <c r="D5295" s="0" t="n">
        <v>0</v>
      </c>
      <c r="E5295" s="19" t="n">
        <v>34.5833333333333</v>
      </c>
    </row>
    <row r="5296" customFormat="false" ht="15" hidden="false" customHeight="false" outlineLevel="0" collapsed="false">
      <c r="A5296" s="0" t="n">
        <v>5295</v>
      </c>
      <c r="B5296" s="18" t="n">
        <v>442673.638528781</v>
      </c>
      <c r="C5296" s="18" t="n">
        <v>0</v>
      </c>
      <c r="D5296" s="0" t="n">
        <v>0</v>
      </c>
      <c r="E5296" s="19" t="n">
        <v>30.9166666666667</v>
      </c>
    </row>
    <row r="5297" customFormat="false" ht="15" hidden="false" customHeight="false" outlineLevel="0" collapsed="false">
      <c r="A5297" s="0" t="n">
        <v>5296</v>
      </c>
      <c r="B5297" s="18" t="n">
        <v>513102.068212065</v>
      </c>
      <c r="C5297" s="18" t="n">
        <v>0</v>
      </c>
      <c r="D5297" s="0" t="n">
        <v>0</v>
      </c>
      <c r="E5297" s="19" t="n">
        <v>33.75</v>
      </c>
    </row>
    <row r="5298" customFormat="false" ht="15" hidden="false" customHeight="false" outlineLevel="0" collapsed="false">
      <c r="A5298" s="0" t="n">
        <v>5297</v>
      </c>
      <c r="B5298" s="18" t="n">
        <v>2045117.35794147</v>
      </c>
      <c r="C5298" s="18" t="n">
        <v>7222572.84720808</v>
      </c>
      <c r="D5298" s="0" t="n">
        <v>1</v>
      </c>
    </row>
    <row r="5299" customFormat="false" ht="15" hidden="false" customHeight="false" outlineLevel="0" collapsed="false">
      <c r="A5299" s="0" t="n">
        <v>5298</v>
      </c>
      <c r="B5299" s="18" t="n">
        <v>903345.869724797</v>
      </c>
      <c r="C5299" s="18" t="n">
        <v>0</v>
      </c>
      <c r="D5299" s="0" t="n">
        <v>0</v>
      </c>
      <c r="E5299" s="19" t="n">
        <v>40.3333333333333</v>
      </c>
    </row>
    <row r="5300" customFormat="false" ht="15" hidden="false" customHeight="false" outlineLevel="0" collapsed="false">
      <c r="A5300" s="0" t="n">
        <v>5299</v>
      </c>
      <c r="B5300" s="18" t="n">
        <v>502141.610447921</v>
      </c>
      <c r="C5300" s="18" t="n">
        <v>0</v>
      </c>
      <c r="D5300" s="0" t="n">
        <v>0</v>
      </c>
      <c r="E5300" s="19" t="n">
        <v>38.6666666666667</v>
      </c>
    </row>
    <row r="5301" customFormat="false" ht="15" hidden="false" customHeight="false" outlineLevel="0" collapsed="false">
      <c r="A5301" s="0" t="n">
        <v>5300</v>
      </c>
      <c r="B5301" s="18" t="n">
        <v>647674.960459954</v>
      </c>
      <c r="C5301" s="18" t="n">
        <v>0</v>
      </c>
      <c r="D5301" s="0" t="n">
        <v>0</v>
      </c>
      <c r="E5301" s="19" t="n">
        <v>34.9166666666667</v>
      </c>
    </row>
    <row r="5302" customFormat="false" ht="15" hidden="false" customHeight="false" outlineLevel="0" collapsed="false">
      <c r="A5302" s="0" t="n">
        <v>5301</v>
      </c>
      <c r="B5302" s="18" t="n">
        <v>637233.832443241</v>
      </c>
      <c r="C5302" s="18" t="n">
        <v>0</v>
      </c>
      <c r="D5302" s="0" t="n">
        <v>0</v>
      </c>
      <c r="E5302" s="19" t="n">
        <v>40.5833333333333</v>
      </c>
    </row>
    <row r="5303" customFormat="false" ht="15" hidden="false" customHeight="false" outlineLevel="0" collapsed="false">
      <c r="A5303" s="0" t="n">
        <v>5302</v>
      </c>
      <c r="B5303" s="18" t="n">
        <v>716989.031296848</v>
      </c>
      <c r="C5303" s="18" t="n">
        <v>0</v>
      </c>
      <c r="D5303" s="0" t="n">
        <v>0</v>
      </c>
      <c r="E5303" s="19" t="n">
        <v>40.5833333333333</v>
      </c>
    </row>
    <row r="5304" customFormat="false" ht="15" hidden="false" customHeight="false" outlineLevel="0" collapsed="false">
      <c r="A5304" s="0" t="n">
        <v>5303</v>
      </c>
      <c r="B5304" s="18" t="n">
        <v>966743.083081693</v>
      </c>
      <c r="C5304" s="18" t="n">
        <v>0</v>
      </c>
      <c r="D5304" s="0" t="n">
        <v>0</v>
      </c>
      <c r="E5304" s="19" t="n">
        <v>41.5</v>
      </c>
    </row>
    <row r="5305" customFormat="false" ht="15" hidden="false" customHeight="false" outlineLevel="0" collapsed="false">
      <c r="A5305" s="0" t="n">
        <v>5304</v>
      </c>
      <c r="B5305" s="18" t="n">
        <v>983814.189818312</v>
      </c>
      <c r="C5305" s="18" t="n">
        <v>0</v>
      </c>
      <c r="D5305" s="0" t="n">
        <v>0</v>
      </c>
      <c r="E5305" s="19" t="n">
        <v>39.1666666666667</v>
      </c>
    </row>
    <row r="5306" customFormat="false" ht="15" hidden="false" customHeight="false" outlineLevel="0" collapsed="false">
      <c r="A5306" s="0" t="n">
        <v>5305</v>
      </c>
      <c r="B5306" s="18" t="n">
        <v>2560429.60440388</v>
      </c>
      <c r="C5306" s="18" t="n">
        <v>5354016.28787228</v>
      </c>
      <c r="D5306" s="0" t="n">
        <v>1</v>
      </c>
    </row>
    <row r="5307" customFormat="false" ht="15" hidden="false" customHeight="false" outlineLevel="0" collapsed="false">
      <c r="A5307" s="0" t="n">
        <v>5306</v>
      </c>
      <c r="B5307" s="18" t="n">
        <v>2365938.56645904</v>
      </c>
      <c r="C5307" s="18" t="n">
        <v>21531073.9452141</v>
      </c>
      <c r="D5307" s="0" t="n">
        <v>1</v>
      </c>
    </row>
    <row r="5308" customFormat="false" ht="15" hidden="false" customHeight="false" outlineLevel="0" collapsed="false">
      <c r="A5308" s="0" t="n">
        <v>5307</v>
      </c>
      <c r="B5308" s="18" t="n">
        <v>1865288.46340397</v>
      </c>
      <c r="C5308" s="18" t="n">
        <v>306267.092777476</v>
      </c>
      <c r="D5308" s="0" t="n">
        <v>1</v>
      </c>
    </row>
    <row r="5309" customFormat="false" ht="15" hidden="false" customHeight="false" outlineLevel="0" collapsed="false">
      <c r="A5309" s="0" t="n">
        <v>5308</v>
      </c>
      <c r="B5309" s="18" t="n">
        <v>2058636.24955151</v>
      </c>
      <c r="C5309" s="18" t="n">
        <v>4555786.39523746</v>
      </c>
      <c r="D5309" s="0" t="n">
        <v>1</v>
      </c>
    </row>
    <row r="5310" customFormat="false" ht="15" hidden="false" customHeight="false" outlineLevel="0" collapsed="false">
      <c r="A5310" s="0" t="n">
        <v>5309</v>
      </c>
      <c r="B5310" s="18" t="n">
        <v>1118915.11591512</v>
      </c>
      <c r="C5310" s="18" t="n">
        <v>765239.630402419</v>
      </c>
      <c r="D5310" s="0" t="n">
        <v>1</v>
      </c>
    </row>
    <row r="5311" customFormat="false" ht="15" hidden="false" customHeight="false" outlineLevel="0" collapsed="false">
      <c r="A5311" s="0" t="n">
        <v>5310</v>
      </c>
      <c r="B5311" s="18" t="n">
        <v>993609.825680893</v>
      </c>
      <c r="C5311" s="18" t="n">
        <v>0</v>
      </c>
      <c r="D5311" s="0" t="n">
        <v>0</v>
      </c>
      <c r="E5311" s="19" t="n">
        <v>36.5</v>
      </c>
    </row>
    <row r="5312" customFormat="false" ht="15" hidden="false" customHeight="false" outlineLevel="0" collapsed="false">
      <c r="A5312" s="0" t="n">
        <v>5311</v>
      </c>
      <c r="B5312" s="18" t="n">
        <v>923464.017757312</v>
      </c>
      <c r="C5312" s="18" t="n">
        <v>227653.597213568</v>
      </c>
      <c r="D5312" s="0" t="n">
        <v>1</v>
      </c>
    </row>
    <row r="5313" customFormat="false" ht="15" hidden="false" customHeight="false" outlineLevel="0" collapsed="false">
      <c r="A5313" s="0" t="n">
        <v>5312</v>
      </c>
      <c r="B5313" s="18" t="n">
        <v>752368.038303024</v>
      </c>
      <c r="C5313" s="18" t="n">
        <v>0</v>
      </c>
      <c r="D5313" s="0" t="n">
        <v>0</v>
      </c>
      <c r="E5313" s="19" t="n">
        <v>49.6666666666667</v>
      </c>
    </row>
    <row r="5314" customFormat="false" ht="15" hidden="false" customHeight="false" outlineLevel="0" collapsed="false">
      <c r="A5314" s="0" t="n">
        <v>5313</v>
      </c>
      <c r="B5314" s="18" t="n">
        <v>1938609.1936945</v>
      </c>
      <c r="C5314" s="18" t="n">
        <v>0</v>
      </c>
      <c r="D5314" s="0" t="n">
        <v>0</v>
      </c>
      <c r="E5314" s="19" t="n">
        <v>45.25</v>
      </c>
    </row>
    <row r="5315" customFormat="false" ht="15" hidden="false" customHeight="false" outlineLevel="0" collapsed="false">
      <c r="A5315" s="0" t="n">
        <v>5314</v>
      </c>
      <c r="B5315" s="18" t="n">
        <v>1862546.41281852</v>
      </c>
      <c r="C5315" s="18" t="n">
        <v>35518152.6245867</v>
      </c>
      <c r="D5315" s="0" t="n">
        <v>1</v>
      </c>
    </row>
    <row r="5316" customFormat="false" ht="15" hidden="false" customHeight="false" outlineLevel="0" collapsed="false">
      <c r="A5316" s="0" t="n">
        <v>5315</v>
      </c>
      <c r="B5316" s="18" t="n">
        <v>2866462.59737688</v>
      </c>
      <c r="C5316" s="18" t="n">
        <v>8861868.92375908</v>
      </c>
      <c r="D5316" s="0" t="n">
        <v>1</v>
      </c>
    </row>
    <row r="5317" customFormat="false" ht="15" hidden="false" customHeight="false" outlineLevel="0" collapsed="false">
      <c r="A5317" s="0" t="n">
        <v>5316</v>
      </c>
      <c r="B5317" s="18" t="n">
        <v>807858.621859458</v>
      </c>
      <c r="C5317" s="18" t="n">
        <v>0</v>
      </c>
      <c r="D5317" s="0" t="n">
        <v>0</v>
      </c>
      <c r="E5317" s="19" t="n">
        <v>37.1666666666667</v>
      </c>
    </row>
    <row r="5318" customFormat="false" ht="15" hidden="false" customHeight="false" outlineLevel="0" collapsed="false">
      <c r="A5318" s="0" t="n">
        <v>5317</v>
      </c>
      <c r="B5318" s="18" t="n">
        <v>468046.135307287</v>
      </c>
      <c r="C5318" s="18" t="n">
        <v>0</v>
      </c>
      <c r="D5318" s="0" t="n">
        <v>0</v>
      </c>
      <c r="E5318" s="19" t="n">
        <v>47.75</v>
      </c>
    </row>
    <row r="5319" customFormat="false" ht="15" hidden="false" customHeight="false" outlineLevel="0" collapsed="false">
      <c r="A5319" s="0" t="n">
        <v>5318</v>
      </c>
      <c r="B5319" s="18" t="n">
        <v>395935.616094894</v>
      </c>
      <c r="C5319" s="18" t="n">
        <v>0</v>
      </c>
      <c r="D5319" s="0" t="n">
        <v>0</v>
      </c>
      <c r="E5319" s="19" t="n">
        <v>31</v>
      </c>
    </row>
    <row r="5320" customFormat="false" ht="15" hidden="false" customHeight="false" outlineLevel="0" collapsed="false">
      <c r="A5320" s="0" t="n">
        <v>5319</v>
      </c>
      <c r="B5320" s="18" t="n">
        <v>929665.889571438</v>
      </c>
      <c r="C5320" s="18" t="n">
        <v>0</v>
      </c>
      <c r="D5320" s="0" t="n">
        <v>0</v>
      </c>
      <c r="E5320" s="19" t="n">
        <v>40.0833333333333</v>
      </c>
    </row>
    <row r="5321" customFormat="false" ht="15" hidden="false" customHeight="false" outlineLevel="0" collapsed="false">
      <c r="A5321" s="0" t="n">
        <v>5320</v>
      </c>
      <c r="B5321" s="18" t="n">
        <v>1839160.46959006</v>
      </c>
      <c r="C5321" s="18" t="n">
        <v>1389872.28382014</v>
      </c>
      <c r="D5321" s="0" t="n">
        <v>1</v>
      </c>
    </row>
    <row r="5322" customFormat="false" ht="15" hidden="false" customHeight="false" outlineLevel="0" collapsed="false">
      <c r="A5322" s="0" t="n">
        <v>5321</v>
      </c>
      <c r="B5322" s="18" t="n">
        <v>893308.093834124</v>
      </c>
      <c r="C5322" s="18" t="n">
        <v>168927.283504091</v>
      </c>
      <c r="D5322" s="0" t="n">
        <v>1</v>
      </c>
    </row>
    <row r="5323" customFormat="false" ht="15" hidden="false" customHeight="false" outlineLevel="0" collapsed="false">
      <c r="A5323" s="0" t="n">
        <v>5322</v>
      </c>
      <c r="B5323" s="18" t="n">
        <v>681954.030259447</v>
      </c>
      <c r="C5323" s="18" t="n">
        <v>0</v>
      </c>
      <c r="D5323" s="0" t="n">
        <v>0</v>
      </c>
      <c r="E5323" s="19" t="n">
        <v>39.25</v>
      </c>
    </row>
    <row r="5324" customFormat="false" ht="15" hidden="false" customHeight="false" outlineLevel="0" collapsed="false">
      <c r="A5324" s="0" t="n">
        <v>5323</v>
      </c>
      <c r="B5324" s="18" t="n">
        <v>962684.652777858</v>
      </c>
      <c r="C5324" s="18" t="n">
        <v>0</v>
      </c>
      <c r="D5324" s="0" t="n">
        <v>0</v>
      </c>
      <c r="E5324" s="19" t="n">
        <v>43.5</v>
      </c>
    </row>
    <row r="5325" customFormat="false" ht="15" hidden="false" customHeight="false" outlineLevel="0" collapsed="false">
      <c r="A5325" s="0" t="n">
        <v>5324</v>
      </c>
      <c r="B5325" s="18" t="n">
        <v>539782.641231581</v>
      </c>
      <c r="C5325" s="18" t="n">
        <v>0</v>
      </c>
      <c r="D5325" s="0" t="n">
        <v>0</v>
      </c>
      <c r="E5325" s="19" t="n">
        <v>45.0833333333333</v>
      </c>
    </row>
    <row r="5326" customFormat="false" ht="15" hidden="false" customHeight="false" outlineLevel="0" collapsed="false">
      <c r="A5326" s="0" t="n">
        <v>5325</v>
      </c>
      <c r="B5326" s="18" t="n">
        <v>452166.787956489</v>
      </c>
      <c r="C5326" s="18" t="n">
        <v>0</v>
      </c>
      <c r="D5326" s="0" t="n">
        <v>0</v>
      </c>
      <c r="E5326" s="19" t="n">
        <v>33.4166666666667</v>
      </c>
    </row>
    <row r="5327" customFormat="false" ht="15" hidden="false" customHeight="false" outlineLevel="0" collapsed="false">
      <c r="A5327" s="0" t="n">
        <v>5326</v>
      </c>
      <c r="B5327" s="18" t="n">
        <v>1475785.95882385</v>
      </c>
      <c r="C5327" s="18" t="n">
        <v>1483481.42254289</v>
      </c>
      <c r="D5327" s="0" t="n">
        <v>1</v>
      </c>
    </row>
    <row r="5328" customFormat="false" ht="15" hidden="false" customHeight="false" outlineLevel="0" collapsed="false">
      <c r="A5328" s="0" t="n">
        <v>5327</v>
      </c>
      <c r="B5328" s="18" t="n">
        <v>784343.933406202</v>
      </c>
      <c r="C5328" s="18" t="n">
        <v>0</v>
      </c>
      <c r="D5328" s="0" t="n">
        <v>0</v>
      </c>
      <c r="E5328" s="19" t="n">
        <v>35.6666666666667</v>
      </c>
    </row>
    <row r="5329" customFormat="false" ht="15" hidden="false" customHeight="false" outlineLevel="0" collapsed="false">
      <c r="A5329" s="0" t="n">
        <v>5328</v>
      </c>
      <c r="B5329" s="18" t="n">
        <v>1131793.30012452</v>
      </c>
      <c r="C5329" s="18" t="n">
        <v>37387.0545903875</v>
      </c>
      <c r="D5329" s="0" t="n">
        <v>1</v>
      </c>
    </row>
    <row r="5330" customFormat="false" ht="15" hidden="false" customHeight="false" outlineLevel="0" collapsed="false">
      <c r="A5330" s="0" t="n">
        <v>5329</v>
      </c>
      <c r="B5330" s="18" t="n">
        <v>1504695.20475536</v>
      </c>
      <c r="C5330" s="18" t="n">
        <v>885474.798571143</v>
      </c>
      <c r="D5330" s="0" t="n">
        <v>1</v>
      </c>
    </row>
    <row r="5331" customFormat="false" ht="15" hidden="false" customHeight="false" outlineLevel="0" collapsed="false">
      <c r="A5331" s="0" t="n">
        <v>5330</v>
      </c>
      <c r="B5331" s="18" t="n">
        <v>2974216.9536012</v>
      </c>
      <c r="C5331" s="18" t="n">
        <v>12402472.7365808</v>
      </c>
      <c r="D5331" s="0" t="n">
        <v>1</v>
      </c>
    </row>
    <row r="5332" customFormat="false" ht="15" hidden="false" customHeight="false" outlineLevel="0" collapsed="false">
      <c r="A5332" s="0" t="n">
        <v>5331</v>
      </c>
      <c r="B5332" s="18" t="n">
        <v>1063961.33436621</v>
      </c>
      <c r="C5332" s="18" t="n">
        <v>0</v>
      </c>
      <c r="D5332" s="0" t="n">
        <v>0</v>
      </c>
      <c r="E5332" s="19" t="n">
        <v>45.4166666666667</v>
      </c>
    </row>
    <row r="5333" customFormat="false" ht="15" hidden="false" customHeight="false" outlineLevel="0" collapsed="false">
      <c r="A5333" s="0" t="n">
        <v>5332</v>
      </c>
      <c r="B5333" s="18" t="n">
        <v>833043.730635413</v>
      </c>
      <c r="C5333" s="18" t="n">
        <v>0</v>
      </c>
      <c r="D5333" s="0" t="n">
        <v>0</v>
      </c>
      <c r="E5333" s="19" t="n">
        <v>35.9166666666667</v>
      </c>
    </row>
    <row r="5334" customFormat="false" ht="15" hidden="false" customHeight="false" outlineLevel="0" collapsed="false">
      <c r="A5334" s="0" t="n">
        <v>5333</v>
      </c>
      <c r="B5334" s="18" t="n">
        <v>1382413.15864637</v>
      </c>
      <c r="C5334" s="18" t="n">
        <v>0</v>
      </c>
      <c r="D5334" s="0" t="n">
        <v>0</v>
      </c>
      <c r="E5334" s="19" t="n">
        <v>52.75</v>
      </c>
    </row>
    <row r="5335" customFormat="false" ht="15" hidden="false" customHeight="false" outlineLevel="0" collapsed="false">
      <c r="A5335" s="0" t="n">
        <v>5334</v>
      </c>
      <c r="B5335" s="18" t="n">
        <v>705984.188455212</v>
      </c>
      <c r="C5335" s="18" t="n">
        <v>0</v>
      </c>
      <c r="D5335" s="0" t="n">
        <v>0</v>
      </c>
      <c r="E5335" s="19" t="n">
        <v>34.9166666666667</v>
      </c>
    </row>
    <row r="5336" customFormat="false" ht="15" hidden="false" customHeight="false" outlineLevel="0" collapsed="false">
      <c r="A5336" s="0" t="n">
        <v>5335</v>
      </c>
      <c r="B5336" s="18" t="n">
        <v>883960.76196643</v>
      </c>
      <c r="C5336" s="18" t="n">
        <v>0</v>
      </c>
      <c r="D5336" s="0" t="n">
        <v>0</v>
      </c>
      <c r="E5336" s="19" t="n">
        <v>44.5833333333333</v>
      </c>
    </row>
    <row r="5337" customFormat="false" ht="15" hidden="false" customHeight="false" outlineLevel="0" collapsed="false">
      <c r="A5337" s="0" t="n">
        <v>5336</v>
      </c>
      <c r="B5337" s="18" t="n">
        <v>607272.838430129</v>
      </c>
      <c r="C5337" s="18" t="n">
        <v>0</v>
      </c>
      <c r="D5337" s="0" t="n">
        <v>0</v>
      </c>
      <c r="E5337" s="19" t="n">
        <v>35.5833333333333</v>
      </c>
    </row>
    <row r="5338" customFormat="false" ht="15" hidden="false" customHeight="false" outlineLevel="0" collapsed="false">
      <c r="A5338" s="0" t="n">
        <v>5337</v>
      </c>
      <c r="B5338" s="18" t="n">
        <v>673325.527516546</v>
      </c>
      <c r="C5338" s="18" t="n">
        <v>0</v>
      </c>
      <c r="D5338" s="0" t="n">
        <v>0</v>
      </c>
      <c r="E5338" s="19" t="n">
        <v>35.3333333333333</v>
      </c>
    </row>
    <row r="5339" customFormat="false" ht="15" hidden="false" customHeight="false" outlineLevel="0" collapsed="false">
      <c r="A5339" s="0" t="n">
        <v>5338</v>
      </c>
      <c r="B5339" s="18" t="n">
        <v>716846.222354925</v>
      </c>
      <c r="C5339" s="18" t="n">
        <v>0</v>
      </c>
      <c r="D5339" s="0" t="n">
        <v>0</v>
      </c>
      <c r="E5339" s="19" t="n">
        <v>41.8333333333333</v>
      </c>
    </row>
    <row r="5340" customFormat="false" ht="15" hidden="false" customHeight="false" outlineLevel="0" collapsed="false">
      <c r="A5340" s="0" t="n">
        <v>5339</v>
      </c>
      <c r="B5340" s="18" t="n">
        <v>1318125.34658422</v>
      </c>
      <c r="C5340" s="18" t="n">
        <v>0</v>
      </c>
      <c r="D5340" s="0" t="n">
        <v>0</v>
      </c>
      <c r="E5340" s="19" t="n">
        <v>53.1666666666667</v>
      </c>
    </row>
    <row r="5341" customFormat="false" ht="15" hidden="false" customHeight="false" outlineLevel="0" collapsed="false">
      <c r="A5341" s="0" t="n">
        <v>5340</v>
      </c>
      <c r="B5341" s="18" t="n">
        <v>357775.17120129</v>
      </c>
      <c r="C5341" s="18" t="n">
        <v>0</v>
      </c>
      <c r="D5341" s="0" t="n">
        <v>0</v>
      </c>
      <c r="E5341" s="19" t="n">
        <v>30.9166666666667</v>
      </c>
    </row>
    <row r="5342" customFormat="false" ht="15" hidden="false" customHeight="false" outlineLevel="0" collapsed="false">
      <c r="A5342" s="0" t="n">
        <v>5341</v>
      </c>
      <c r="B5342" s="18" t="n">
        <v>384566.283160105</v>
      </c>
      <c r="C5342" s="18" t="n">
        <v>0</v>
      </c>
      <c r="D5342" s="0" t="n">
        <v>0</v>
      </c>
      <c r="E5342" s="19" t="n">
        <v>34.1666666666667</v>
      </c>
    </row>
    <row r="5343" customFormat="false" ht="15" hidden="false" customHeight="false" outlineLevel="0" collapsed="false">
      <c r="A5343" s="0" t="n">
        <v>5342</v>
      </c>
      <c r="B5343" s="18" t="n">
        <v>728104.585477655</v>
      </c>
      <c r="C5343" s="18" t="n">
        <v>0</v>
      </c>
      <c r="D5343" s="0" t="n">
        <v>0</v>
      </c>
      <c r="E5343" s="19" t="n">
        <v>47.6666666666667</v>
      </c>
    </row>
    <row r="5344" customFormat="false" ht="15" hidden="false" customHeight="false" outlineLevel="0" collapsed="false">
      <c r="A5344" s="0" t="n">
        <v>5343</v>
      </c>
      <c r="B5344" s="18" t="n">
        <v>1916983.67116583</v>
      </c>
      <c r="C5344" s="18" t="n">
        <v>5526571.74043968</v>
      </c>
      <c r="D5344" s="0" t="n">
        <v>1</v>
      </c>
    </row>
    <row r="5345" customFormat="false" ht="15" hidden="false" customHeight="false" outlineLevel="0" collapsed="false">
      <c r="A5345" s="0" t="n">
        <v>5344</v>
      </c>
      <c r="B5345" s="18" t="n">
        <v>4411947.32785913</v>
      </c>
      <c r="C5345" s="18" t="n">
        <v>7423430.30774211</v>
      </c>
      <c r="D5345" s="0" t="n">
        <v>1</v>
      </c>
    </row>
    <row r="5346" customFormat="false" ht="15" hidden="false" customHeight="false" outlineLevel="0" collapsed="false">
      <c r="A5346" s="0" t="n">
        <v>5345</v>
      </c>
      <c r="B5346" s="18" t="n">
        <v>283823.884219538</v>
      </c>
      <c r="C5346" s="18" t="n">
        <v>0</v>
      </c>
      <c r="D5346" s="0" t="n">
        <v>0</v>
      </c>
      <c r="E5346" s="19" t="n">
        <v>28.5833333333333</v>
      </c>
    </row>
    <row r="5347" customFormat="false" ht="15" hidden="false" customHeight="false" outlineLevel="0" collapsed="false">
      <c r="A5347" s="0" t="n">
        <v>5346</v>
      </c>
      <c r="B5347" s="18" t="n">
        <v>833927.102881432</v>
      </c>
      <c r="C5347" s="18" t="n">
        <v>0</v>
      </c>
      <c r="D5347" s="0" t="n">
        <v>0</v>
      </c>
      <c r="E5347" s="19" t="n">
        <v>34.1666666666667</v>
      </c>
    </row>
    <row r="5348" customFormat="false" ht="15" hidden="false" customHeight="false" outlineLevel="0" collapsed="false">
      <c r="A5348" s="0" t="n">
        <v>5347</v>
      </c>
      <c r="B5348" s="18" t="n">
        <v>684814.231443949</v>
      </c>
      <c r="C5348" s="18" t="n">
        <v>0</v>
      </c>
      <c r="D5348" s="0" t="n">
        <v>0</v>
      </c>
      <c r="E5348" s="19" t="n">
        <v>36.8333333333333</v>
      </c>
    </row>
    <row r="5349" customFormat="false" ht="15" hidden="false" customHeight="false" outlineLevel="0" collapsed="false">
      <c r="A5349" s="0" t="n">
        <v>5348</v>
      </c>
      <c r="B5349" s="18" t="n">
        <v>1875024.25769546</v>
      </c>
      <c r="C5349" s="18" t="n">
        <v>0</v>
      </c>
      <c r="D5349" s="0" t="n">
        <v>0</v>
      </c>
      <c r="E5349" s="19" t="n">
        <v>52.5</v>
      </c>
    </row>
    <row r="5350" customFormat="false" ht="15" hidden="false" customHeight="false" outlineLevel="0" collapsed="false">
      <c r="A5350" s="0" t="n">
        <v>5349</v>
      </c>
      <c r="B5350" s="18" t="n">
        <v>2111040.03959416</v>
      </c>
      <c r="C5350" s="18" t="n">
        <v>10553714.9595063</v>
      </c>
      <c r="D5350" s="0" t="n">
        <v>1</v>
      </c>
    </row>
    <row r="5351" customFormat="false" ht="15" hidden="false" customHeight="false" outlineLevel="0" collapsed="false">
      <c r="A5351" s="0" t="n">
        <v>5350</v>
      </c>
      <c r="B5351" s="18" t="n">
        <v>1094725.37616718</v>
      </c>
      <c r="C5351" s="18" t="n">
        <v>0</v>
      </c>
      <c r="D5351" s="0" t="n">
        <v>0</v>
      </c>
      <c r="E5351" s="19" t="n">
        <v>36.5833333333333</v>
      </c>
    </row>
    <row r="5352" customFormat="false" ht="15" hidden="false" customHeight="false" outlineLevel="0" collapsed="false">
      <c r="A5352" s="0" t="n">
        <v>5351</v>
      </c>
      <c r="B5352" s="18" t="n">
        <v>639561.198293469</v>
      </c>
      <c r="C5352" s="18" t="n">
        <v>0</v>
      </c>
      <c r="D5352" s="0" t="n">
        <v>0</v>
      </c>
      <c r="E5352" s="19" t="n">
        <v>40.5</v>
      </c>
    </row>
    <row r="5353" customFormat="false" ht="15" hidden="false" customHeight="false" outlineLevel="0" collapsed="false">
      <c r="A5353" s="0" t="n">
        <v>5352</v>
      </c>
      <c r="B5353" s="18" t="n">
        <v>370517.820885129</v>
      </c>
      <c r="C5353" s="18" t="n">
        <v>0</v>
      </c>
      <c r="D5353" s="0" t="n">
        <v>0</v>
      </c>
      <c r="E5353" s="19" t="n">
        <v>32.8333333333333</v>
      </c>
    </row>
    <row r="5354" customFormat="false" ht="15" hidden="false" customHeight="false" outlineLevel="0" collapsed="false">
      <c r="A5354" s="0" t="n">
        <v>5353</v>
      </c>
      <c r="B5354" s="18" t="n">
        <v>657477.496445747</v>
      </c>
      <c r="C5354" s="18" t="n">
        <v>0</v>
      </c>
      <c r="D5354" s="0" t="n">
        <v>0</v>
      </c>
      <c r="E5354" s="19" t="n">
        <v>41.25</v>
      </c>
    </row>
    <row r="5355" customFormat="false" ht="15" hidden="false" customHeight="false" outlineLevel="0" collapsed="false">
      <c r="A5355" s="0" t="n">
        <v>5354</v>
      </c>
      <c r="B5355" s="18" t="n">
        <v>458847.435841181</v>
      </c>
      <c r="C5355" s="18" t="n">
        <v>657513.277592487</v>
      </c>
      <c r="D5355" s="0" t="n">
        <v>1</v>
      </c>
    </row>
    <row r="5356" customFormat="false" ht="15" hidden="false" customHeight="false" outlineLevel="0" collapsed="false">
      <c r="A5356" s="0" t="n">
        <v>5355</v>
      </c>
      <c r="B5356" s="18" t="n">
        <v>545093.691681355</v>
      </c>
      <c r="C5356" s="18" t="n">
        <v>0</v>
      </c>
      <c r="D5356" s="0" t="n">
        <v>0</v>
      </c>
      <c r="E5356" s="19" t="n">
        <v>37.25</v>
      </c>
    </row>
    <row r="5357" customFormat="false" ht="15" hidden="false" customHeight="false" outlineLevel="0" collapsed="false">
      <c r="A5357" s="0" t="n">
        <v>5356</v>
      </c>
      <c r="B5357" s="18" t="n">
        <v>808122.636776346</v>
      </c>
      <c r="C5357" s="18" t="n">
        <v>0</v>
      </c>
      <c r="D5357" s="0" t="n">
        <v>0</v>
      </c>
      <c r="E5357" s="19" t="n">
        <v>44.0833333333333</v>
      </c>
    </row>
    <row r="5358" customFormat="false" ht="15" hidden="false" customHeight="false" outlineLevel="0" collapsed="false">
      <c r="A5358" s="0" t="n">
        <v>5357</v>
      </c>
      <c r="B5358" s="18" t="n">
        <v>390144.547804457</v>
      </c>
      <c r="C5358" s="18" t="n">
        <v>0</v>
      </c>
      <c r="D5358" s="0" t="n">
        <v>0</v>
      </c>
      <c r="E5358" s="19" t="n">
        <v>35.0833333333333</v>
      </c>
    </row>
    <row r="5359" customFormat="false" ht="15" hidden="false" customHeight="false" outlineLevel="0" collapsed="false">
      <c r="A5359" s="0" t="n">
        <v>5358</v>
      </c>
      <c r="B5359" s="18" t="n">
        <v>1007354.11766523</v>
      </c>
      <c r="C5359" s="18" t="n">
        <v>0</v>
      </c>
      <c r="D5359" s="0" t="n">
        <v>0</v>
      </c>
      <c r="E5359" s="19" t="n">
        <v>43.5833333333333</v>
      </c>
    </row>
    <row r="5360" customFormat="false" ht="15" hidden="false" customHeight="false" outlineLevel="0" collapsed="false">
      <c r="A5360" s="0" t="n">
        <v>5359</v>
      </c>
      <c r="B5360" s="18" t="n">
        <v>1174900.89756451</v>
      </c>
      <c r="C5360" s="18" t="n">
        <v>2690709.86466546</v>
      </c>
      <c r="D5360" s="0" t="n">
        <v>1</v>
      </c>
    </row>
    <row r="5361" customFormat="false" ht="15" hidden="false" customHeight="false" outlineLevel="0" collapsed="false">
      <c r="A5361" s="0" t="n">
        <v>5360</v>
      </c>
      <c r="B5361" s="18" t="n">
        <v>1046079.12371151</v>
      </c>
      <c r="C5361" s="18" t="n">
        <v>491060.282989815</v>
      </c>
      <c r="D5361" s="0" t="n">
        <v>1</v>
      </c>
    </row>
    <row r="5362" customFormat="false" ht="15" hidden="false" customHeight="false" outlineLevel="0" collapsed="false">
      <c r="A5362" s="0" t="n">
        <v>5361</v>
      </c>
      <c r="B5362" s="18" t="n">
        <v>457297.668020436</v>
      </c>
      <c r="C5362" s="18" t="n">
        <v>0</v>
      </c>
      <c r="D5362" s="0" t="n">
        <v>0</v>
      </c>
      <c r="E5362" s="19" t="n">
        <v>31.25</v>
      </c>
    </row>
    <row r="5363" customFormat="false" ht="15" hidden="false" customHeight="false" outlineLevel="0" collapsed="false">
      <c r="A5363" s="0" t="n">
        <v>5362</v>
      </c>
      <c r="B5363" s="18" t="n">
        <v>1349691.95913954</v>
      </c>
      <c r="C5363" s="18" t="n">
        <v>2020188.02440856</v>
      </c>
      <c r="D5363" s="0" t="n">
        <v>1</v>
      </c>
    </row>
    <row r="5364" customFormat="false" ht="15" hidden="false" customHeight="false" outlineLevel="0" collapsed="false">
      <c r="A5364" s="0" t="n">
        <v>5363</v>
      </c>
      <c r="B5364" s="18" t="n">
        <v>2138167.67726823</v>
      </c>
      <c r="C5364" s="18" t="n">
        <v>349173.529757962</v>
      </c>
      <c r="D5364" s="0" t="n">
        <v>1</v>
      </c>
    </row>
    <row r="5365" customFormat="false" ht="15" hidden="false" customHeight="false" outlineLevel="0" collapsed="false">
      <c r="A5365" s="0" t="n">
        <v>5364</v>
      </c>
      <c r="B5365" s="18" t="n">
        <v>1017657.07880832</v>
      </c>
      <c r="C5365" s="18" t="n">
        <v>0</v>
      </c>
      <c r="D5365" s="0" t="n">
        <v>0</v>
      </c>
      <c r="E5365" s="19" t="n">
        <v>44.9166666666667</v>
      </c>
    </row>
    <row r="5366" customFormat="false" ht="15" hidden="false" customHeight="false" outlineLevel="0" collapsed="false">
      <c r="A5366" s="0" t="n">
        <v>5365</v>
      </c>
      <c r="B5366" s="18" t="n">
        <v>933127.099492224</v>
      </c>
      <c r="C5366" s="18" t="n">
        <v>0</v>
      </c>
      <c r="D5366" s="0" t="n">
        <v>0</v>
      </c>
      <c r="E5366" s="19" t="n">
        <v>39.8333333333333</v>
      </c>
    </row>
    <row r="5367" customFormat="false" ht="15" hidden="false" customHeight="false" outlineLevel="0" collapsed="false">
      <c r="A5367" s="0" t="n">
        <v>5366</v>
      </c>
      <c r="B5367" s="18" t="n">
        <v>1591652.07673929</v>
      </c>
      <c r="C5367" s="18" t="n">
        <v>456194.448211417</v>
      </c>
      <c r="D5367" s="0" t="n">
        <v>1</v>
      </c>
    </row>
    <row r="5368" customFormat="false" ht="15" hidden="false" customHeight="false" outlineLevel="0" collapsed="false">
      <c r="A5368" s="0" t="n">
        <v>5367</v>
      </c>
      <c r="B5368" s="18" t="n">
        <v>415024.126903033</v>
      </c>
      <c r="C5368" s="18" t="n">
        <v>0</v>
      </c>
      <c r="D5368" s="0" t="n">
        <v>0</v>
      </c>
      <c r="E5368" s="19" t="n">
        <v>31.3333333333333</v>
      </c>
    </row>
    <row r="5369" customFormat="false" ht="15" hidden="false" customHeight="false" outlineLevel="0" collapsed="false">
      <c r="A5369" s="0" t="n">
        <v>5368</v>
      </c>
      <c r="B5369" s="18" t="n">
        <v>833534.043718529</v>
      </c>
      <c r="C5369" s="18" t="n">
        <v>0</v>
      </c>
      <c r="D5369" s="0" t="n">
        <v>0</v>
      </c>
      <c r="E5369" s="19" t="n">
        <v>38.9166666666667</v>
      </c>
    </row>
    <row r="5370" customFormat="false" ht="15" hidden="false" customHeight="false" outlineLevel="0" collapsed="false">
      <c r="A5370" s="0" t="n">
        <v>5369</v>
      </c>
      <c r="B5370" s="18" t="n">
        <v>1315199.93201892</v>
      </c>
      <c r="C5370" s="18" t="n">
        <v>0</v>
      </c>
      <c r="D5370" s="0" t="n">
        <v>0</v>
      </c>
      <c r="E5370" s="19" t="n">
        <v>45.5833333333333</v>
      </c>
    </row>
    <row r="5371" customFormat="false" ht="15" hidden="false" customHeight="false" outlineLevel="0" collapsed="false">
      <c r="A5371" s="0" t="n">
        <v>5370</v>
      </c>
      <c r="B5371" s="18" t="n">
        <v>491449.880150929</v>
      </c>
      <c r="C5371" s="18" t="n">
        <v>0</v>
      </c>
      <c r="D5371" s="0" t="n">
        <v>0</v>
      </c>
      <c r="E5371" s="19" t="n">
        <v>32.9166666666667</v>
      </c>
    </row>
    <row r="5372" customFormat="false" ht="15" hidden="false" customHeight="false" outlineLevel="0" collapsed="false">
      <c r="A5372" s="0" t="n">
        <v>5371</v>
      </c>
      <c r="B5372" s="18" t="n">
        <v>827346.819401314</v>
      </c>
      <c r="C5372" s="18" t="n">
        <v>0</v>
      </c>
      <c r="D5372" s="0" t="n">
        <v>0</v>
      </c>
      <c r="E5372" s="19" t="n">
        <v>36.6666666666667</v>
      </c>
    </row>
    <row r="5373" customFormat="false" ht="15" hidden="false" customHeight="false" outlineLevel="0" collapsed="false">
      <c r="A5373" s="0" t="n">
        <v>5372</v>
      </c>
      <c r="B5373" s="18" t="n">
        <v>776049.211246673</v>
      </c>
      <c r="C5373" s="18" t="n">
        <v>0</v>
      </c>
      <c r="D5373" s="0" t="n">
        <v>0</v>
      </c>
      <c r="E5373" s="19" t="n">
        <v>35.9166666666667</v>
      </c>
    </row>
    <row r="5374" customFormat="false" ht="15" hidden="false" customHeight="false" outlineLevel="0" collapsed="false">
      <c r="A5374" s="0" t="n">
        <v>5373</v>
      </c>
      <c r="B5374" s="18" t="n">
        <v>1623992.1777949</v>
      </c>
      <c r="C5374" s="18" t="n">
        <v>2931770.94317747</v>
      </c>
      <c r="D5374" s="0" t="n">
        <v>1</v>
      </c>
    </row>
    <row r="5375" customFormat="false" ht="15" hidden="false" customHeight="false" outlineLevel="0" collapsed="false">
      <c r="A5375" s="0" t="n">
        <v>5374</v>
      </c>
      <c r="B5375" s="18" t="n">
        <v>893223.067368471</v>
      </c>
      <c r="C5375" s="18" t="n">
        <v>0</v>
      </c>
      <c r="D5375" s="0" t="n">
        <v>0</v>
      </c>
      <c r="E5375" s="19" t="n">
        <v>44.1666666666667</v>
      </c>
    </row>
    <row r="5376" customFormat="false" ht="15" hidden="false" customHeight="false" outlineLevel="0" collapsed="false">
      <c r="A5376" s="0" t="n">
        <v>5375</v>
      </c>
      <c r="B5376" s="18" t="n">
        <v>333329.587841522</v>
      </c>
      <c r="C5376" s="18" t="n">
        <v>0</v>
      </c>
      <c r="D5376" s="0" t="n">
        <v>0</v>
      </c>
      <c r="E5376" s="19" t="n">
        <v>33.75</v>
      </c>
    </row>
    <row r="5377" customFormat="false" ht="15" hidden="false" customHeight="false" outlineLevel="0" collapsed="false">
      <c r="A5377" s="0" t="n">
        <v>5376</v>
      </c>
      <c r="B5377" s="18" t="n">
        <v>2015160.58052714</v>
      </c>
      <c r="C5377" s="18" t="n">
        <v>16614869.8343505</v>
      </c>
      <c r="D5377" s="0" t="n">
        <v>1</v>
      </c>
    </row>
    <row r="5378" customFormat="false" ht="15" hidden="false" customHeight="false" outlineLevel="0" collapsed="false">
      <c r="A5378" s="0" t="n">
        <v>5377</v>
      </c>
      <c r="B5378" s="18" t="n">
        <v>391641.939954637</v>
      </c>
      <c r="C5378" s="18" t="n">
        <v>0</v>
      </c>
      <c r="D5378" s="0" t="n">
        <v>0</v>
      </c>
      <c r="E5378" s="19" t="n">
        <v>31.5</v>
      </c>
    </row>
    <row r="5379" customFormat="false" ht="15" hidden="false" customHeight="false" outlineLevel="0" collapsed="false">
      <c r="A5379" s="0" t="n">
        <v>5378</v>
      </c>
      <c r="B5379" s="18" t="n">
        <v>962966.542584804</v>
      </c>
      <c r="C5379" s="18" t="n">
        <v>0</v>
      </c>
      <c r="D5379" s="0" t="n">
        <v>0</v>
      </c>
      <c r="E5379" s="19" t="n">
        <v>41</v>
      </c>
    </row>
    <row r="5380" customFormat="false" ht="15" hidden="false" customHeight="false" outlineLevel="0" collapsed="false">
      <c r="A5380" s="0" t="n">
        <v>5379</v>
      </c>
      <c r="B5380" s="18" t="n">
        <v>916338.394070869</v>
      </c>
      <c r="C5380" s="18" t="n">
        <v>0</v>
      </c>
      <c r="D5380" s="0" t="n">
        <v>0</v>
      </c>
      <c r="E5380" s="19" t="n">
        <v>41</v>
      </c>
    </row>
    <row r="5381" customFormat="false" ht="15" hidden="false" customHeight="false" outlineLevel="0" collapsed="false">
      <c r="A5381" s="0" t="n">
        <v>5380</v>
      </c>
      <c r="B5381" s="18" t="n">
        <v>1017329.81969956</v>
      </c>
      <c r="C5381" s="18" t="n">
        <v>0</v>
      </c>
      <c r="D5381" s="0" t="n">
        <v>0</v>
      </c>
      <c r="E5381" s="19" t="n">
        <v>46.5833333333333</v>
      </c>
    </row>
    <row r="5382" customFormat="false" ht="15" hidden="false" customHeight="false" outlineLevel="0" collapsed="false">
      <c r="A5382" s="0" t="n">
        <v>5381</v>
      </c>
      <c r="B5382" s="18" t="n">
        <v>399902.512313478</v>
      </c>
      <c r="C5382" s="18" t="n">
        <v>0</v>
      </c>
      <c r="D5382" s="0" t="n">
        <v>0</v>
      </c>
      <c r="E5382" s="19" t="n">
        <v>32.5833333333333</v>
      </c>
    </row>
    <row r="5383" customFormat="false" ht="15" hidden="false" customHeight="false" outlineLevel="0" collapsed="false">
      <c r="A5383" s="0" t="n">
        <v>5382</v>
      </c>
      <c r="B5383" s="18" t="n">
        <v>1963231.63029138</v>
      </c>
      <c r="C5383" s="18" t="n">
        <v>9440617.45407352</v>
      </c>
      <c r="D5383" s="0" t="n">
        <v>1</v>
      </c>
    </row>
    <row r="5384" customFormat="false" ht="15" hidden="false" customHeight="false" outlineLevel="0" collapsed="false">
      <c r="A5384" s="0" t="n">
        <v>5383</v>
      </c>
      <c r="B5384" s="18" t="n">
        <v>619753.435240783</v>
      </c>
      <c r="C5384" s="18" t="n">
        <v>0</v>
      </c>
      <c r="D5384" s="0" t="n">
        <v>0</v>
      </c>
      <c r="E5384" s="19" t="n">
        <v>34.5</v>
      </c>
    </row>
    <row r="5385" customFormat="false" ht="15" hidden="false" customHeight="false" outlineLevel="0" collapsed="false">
      <c r="A5385" s="0" t="n">
        <v>5384</v>
      </c>
      <c r="B5385" s="18" t="n">
        <v>3484174.80552031</v>
      </c>
      <c r="C5385" s="18" t="n">
        <v>6638377.6083794</v>
      </c>
      <c r="D5385" s="0" t="n">
        <v>1</v>
      </c>
    </row>
    <row r="5386" customFormat="false" ht="15" hidden="false" customHeight="false" outlineLevel="0" collapsed="false">
      <c r="A5386" s="0" t="n">
        <v>5385</v>
      </c>
      <c r="B5386" s="18" t="n">
        <v>445685.747166524</v>
      </c>
      <c r="C5386" s="18" t="n">
        <v>0</v>
      </c>
      <c r="D5386" s="0" t="n">
        <v>0</v>
      </c>
      <c r="E5386" s="19" t="n">
        <v>31.75</v>
      </c>
    </row>
    <row r="5387" customFormat="false" ht="15" hidden="false" customHeight="false" outlineLevel="0" collapsed="false">
      <c r="A5387" s="0" t="n">
        <v>5386</v>
      </c>
      <c r="B5387" s="18" t="n">
        <v>411863.227391164</v>
      </c>
      <c r="C5387" s="18" t="n">
        <v>0</v>
      </c>
      <c r="D5387" s="0" t="n">
        <v>0</v>
      </c>
      <c r="E5387" s="19" t="n">
        <v>33.5833333333333</v>
      </c>
    </row>
    <row r="5388" customFormat="false" ht="15" hidden="false" customHeight="false" outlineLevel="0" collapsed="false">
      <c r="A5388" s="0" t="n">
        <v>5387</v>
      </c>
      <c r="B5388" s="18" t="n">
        <v>913817.164796428</v>
      </c>
      <c r="C5388" s="18" t="n">
        <v>0</v>
      </c>
      <c r="D5388" s="0" t="n">
        <v>0</v>
      </c>
      <c r="E5388" s="19" t="n">
        <v>41.5</v>
      </c>
    </row>
    <row r="5389" customFormat="false" ht="15" hidden="false" customHeight="false" outlineLevel="0" collapsed="false">
      <c r="A5389" s="0" t="n">
        <v>5388</v>
      </c>
      <c r="B5389" s="18" t="n">
        <v>2159766.2313166</v>
      </c>
      <c r="C5389" s="18" t="n">
        <v>0</v>
      </c>
      <c r="D5389" s="0" t="n">
        <v>0</v>
      </c>
      <c r="E5389" s="19" t="n">
        <v>53.75</v>
      </c>
    </row>
    <row r="5390" customFormat="false" ht="15" hidden="false" customHeight="false" outlineLevel="0" collapsed="false">
      <c r="A5390" s="0" t="n">
        <v>5389</v>
      </c>
      <c r="B5390" s="18" t="n">
        <v>1239451.89767527</v>
      </c>
      <c r="C5390" s="18" t="n">
        <v>0</v>
      </c>
      <c r="D5390" s="0" t="n">
        <v>0</v>
      </c>
      <c r="E5390" s="19" t="n">
        <v>46.5833333333333</v>
      </c>
    </row>
    <row r="5391" customFormat="false" ht="15" hidden="false" customHeight="false" outlineLevel="0" collapsed="false">
      <c r="A5391" s="0" t="n">
        <v>5390</v>
      </c>
      <c r="B5391" s="18" t="n">
        <v>4373530.30044389</v>
      </c>
      <c r="C5391" s="18" t="n">
        <v>3194559.56922081</v>
      </c>
      <c r="D5391" s="0" t="n">
        <v>1</v>
      </c>
    </row>
    <row r="5392" customFormat="false" ht="15" hidden="false" customHeight="false" outlineLevel="0" collapsed="false">
      <c r="A5392" s="0" t="n">
        <v>5391</v>
      </c>
      <c r="B5392" s="18" t="n">
        <v>1870837.96398464</v>
      </c>
      <c r="C5392" s="18" t="n">
        <v>1158532.65251203</v>
      </c>
      <c r="D5392" s="0" t="n">
        <v>1</v>
      </c>
    </row>
    <row r="5393" customFormat="false" ht="15" hidden="false" customHeight="false" outlineLevel="0" collapsed="false">
      <c r="A5393" s="0" t="n">
        <v>5392</v>
      </c>
      <c r="B5393" s="18" t="n">
        <v>383661.347255108</v>
      </c>
      <c r="C5393" s="18" t="n">
        <v>0</v>
      </c>
      <c r="D5393" s="0" t="n">
        <v>0</v>
      </c>
      <c r="E5393" s="19" t="n">
        <v>31.25</v>
      </c>
    </row>
    <row r="5394" customFormat="false" ht="15" hidden="false" customHeight="false" outlineLevel="0" collapsed="false">
      <c r="A5394" s="0" t="n">
        <v>5393</v>
      </c>
      <c r="B5394" s="18" t="n">
        <v>1016099.70624722</v>
      </c>
      <c r="C5394" s="18" t="n">
        <v>0</v>
      </c>
      <c r="D5394" s="0" t="n">
        <v>0</v>
      </c>
      <c r="E5394" s="19" t="n">
        <v>42.3333333333333</v>
      </c>
    </row>
    <row r="5395" customFormat="false" ht="15" hidden="false" customHeight="false" outlineLevel="0" collapsed="false">
      <c r="A5395" s="0" t="n">
        <v>5394</v>
      </c>
      <c r="B5395" s="18" t="n">
        <v>1269830.03339677</v>
      </c>
      <c r="C5395" s="18" t="n">
        <v>0</v>
      </c>
      <c r="D5395" s="0" t="n">
        <v>0</v>
      </c>
      <c r="E5395" s="19" t="n">
        <v>51.3333333333333</v>
      </c>
    </row>
    <row r="5396" customFormat="false" ht="15" hidden="false" customHeight="false" outlineLevel="0" collapsed="false">
      <c r="A5396" s="0" t="n">
        <v>5395</v>
      </c>
      <c r="B5396" s="18" t="n">
        <v>697906.703991398</v>
      </c>
      <c r="C5396" s="18" t="n">
        <v>0</v>
      </c>
      <c r="D5396" s="0" t="n">
        <v>0</v>
      </c>
      <c r="E5396" s="19" t="n">
        <v>45.5833333333333</v>
      </c>
    </row>
    <row r="5397" customFormat="false" ht="15" hidden="false" customHeight="false" outlineLevel="0" collapsed="false">
      <c r="A5397" s="0" t="n">
        <v>5396</v>
      </c>
      <c r="B5397" s="18" t="n">
        <v>602542.595567051</v>
      </c>
      <c r="C5397" s="18" t="n">
        <v>0</v>
      </c>
      <c r="D5397" s="0" t="n">
        <v>0</v>
      </c>
      <c r="E5397" s="19" t="n">
        <v>33.1666666666667</v>
      </c>
    </row>
    <row r="5398" customFormat="false" ht="15" hidden="false" customHeight="false" outlineLevel="0" collapsed="false">
      <c r="A5398" s="0" t="n">
        <v>5397</v>
      </c>
      <c r="B5398" s="18" t="n">
        <v>638842.395758162</v>
      </c>
      <c r="C5398" s="18" t="n">
        <v>0</v>
      </c>
      <c r="D5398" s="0" t="n">
        <v>0</v>
      </c>
      <c r="E5398" s="19" t="n">
        <v>35.4166666666667</v>
      </c>
    </row>
    <row r="5399" customFormat="false" ht="15" hidden="false" customHeight="false" outlineLevel="0" collapsed="false">
      <c r="A5399" s="0" t="n">
        <v>5398</v>
      </c>
      <c r="B5399" s="18" t="n">
        <v>1884563.05027925</v>
      </c>
      <c r="C5399" s="18" t="n">
        <v>6812849.812963</v>
      </c>
      <c r="D5399" s="0" t="n">
        <v>1</v>
      </c>
    </row>
    <row r="5400" customFormat="false" ht="15" hidden="false" customHeight="false" outlineLevel="0" collapsed="false">
      <c r="A5400" s="0" t="n">
        <v>5399</v>
      </c>
      <c r="B5400" s="18" t="n">
        <v>1303188.2775924</v>
      </c>
      <c r="C5400" s="18" t="n">
        <v>3117900.59723098</v>
      </c>
      <c r="D5400" s="0" t="n">
        <v>1</v>
      </c>
    </row>
    <row r="5401" customFormat="false" ht="15" hidden="false" customHeight="false" outlineLevel="0" collapsed="false">
      <c r="A5401" s="0" t="n">
        <v>5400</v>
      </c>
      <c r="B5401" s="18" t="n">
        <v>691876.267151328</v>
      </c>
      <c r="C5401" s="18" t="n">
        <v>106402.687329123</v>
      </c>
      <c r="D5401" s="0" t="n">
        <v>1</v>
      </c>
    </row>
    <row r="5402" customFormat="false" ht="15" hidden="false" customHeight="false" outlineLevel="0" collapsed="false">
      <c r="A5402" s="0" t="n">
        <v>5401</v>
      </c>
      <c r="B5402" s="18" t="n">
        <v>412026.316055897</v>
      </c>
      <c r="C5402" s="18" t="n">
        <v>0</v>
      </c>
      <c r="D5402" s="0" t="n">
        <v>0</v>
      </c>
      <c r="E5402" s="19" t="n">
        <v>32</v>
      </c>
    </row>
    <row r="5403" customFormat="false" ht="15" hidden="false" customHeight="false" outlineLevel="0" collapsed="false">
      <c r="A5403" s="0" t="n">
        <v>5402</v>
      </c>
      <c r="B5403" s="18" t="n">
        <v>572981.928066474</v>
      </c>
      <c r="C5403" s="18" t="n">
        <v>0</v>
      </c>
      <c r="D5403" s="0" t="n">
        <v>0</v>
      </c>
      <c r="E5403" s="19" t="n">
        <v>38.1666666666667</v>
      </c>
    </row>
    <row r="5404" customFormat="false" ht="15" hidden="false" customHeight="false" outlineLevel="0" collapsed="false">
      <c r="A5404" s="0" t="n">
        <v>5403</v>
      </c>
      <c r="B5404" s="18" t="n">
        <v>832770.959491711</v>
      </c>
      <c r="C5404" s="18" t="n">
        <v>6396824.43756665</v>
      </c>
      <c r="D5404" s="0" t="n">
        <v>1</v>
      </c>
    </row>
    <row r="5405" customFormat="false" ht="15" hidden="false" customHeight="false" outlineLevel="0" collapsed="false">
      <c r="A5405" s="0" t="n">
        <v>5404</v>
      </c>
      <c r="B5405" s="18" t="n">
        <v>2846738.98425633</v>
      </c>
      <c r="C5405" s="18" t="n">
        <v>25423217.5994202</v>
      </c>
      <c r="D5405" s="0" t="n">
        <v>1</v>
      </c>
    </row>
    <row r="5406" customFormat="false" ht="15" hidden="false" customHeight="false" outlineLevel="0" collapsed="false">
      <c r="A5406" s="0" t="n">
        <v>5405</v>
      </c>
      <c r="B5406" s="18" t="n">
        <v>450220.564499111</v>
      </c>
      <c r="C5406" s="18" t="n">
        <v>1150683.87679247</v>
      </c>
      <c r="D5406" s="0" t="n">
        <v>1</v>
      </c>
    </row>
    <row r="5407" customFormat="false" ht="15" hidden="false" customHeight="false" outlineLevel="0" collapsed="false">
      <c r="A5407" s="0" t="n">
        <v>5406</v>
      </c>
      <c r="B5407" s="18" t="n">
        <v>607142.537586237</v>
      </c>
      <c r="C5407" s="18" t="n">
        <v>0</v>
      </c>
      <c r="D5407" s="0" t="n">
        <v>0</v>
      </c>
      <c r="E5407" s="19" t="n">
        <v>48.9166666666667</v>
      </c>
    </row>
    <row r="5408" customFormat="false" ht="15" hidden="false" customHeight="false" outlineLevel="0" collapsed="false">
      <c r="A5408" s="0" t="n">
        <v>5407</v>
      </c>
      <c r="B5408" s="18" t="n">
        <v>792994.083830616</v>
      </c>
      <c r="C5408" s="18" t="n">
        <v>0</v>
      </c>
      <c r="D5408" s="0" t="n">
        <v>0</v>
      </c>
      <c r="E5408" s="19" t="n">
        <v>36.25</v>
      </c>
    </row>
    <row r="5409" customFormat="false" ht="15" hidden="false" customHeight="false" outlineLevel="0" collapsed="false">
      <c r="A5409" s="0" t="n">
        <v>5408</v>
      </c>
      <c r="B5409" s="18" t="n">
        <v>1045153.0455082</v>
      </c>
      <c r="C5409" s="18" t="n">
        <v>4509146.22770835</v>
      </c>
      <c r="D5409" s="0" t="n">
        <v>1</v>
      </c>
    </row>
    <row r="5410" customFormat="false" ht="15" hidden="false" customHeight="false" outlineLevel="0" collapsed="false">
      <c r="A5410" s="0" t="n">
        <v>5409</v>
      </c>
      <c r="B5410" s="18" t="n">
        <v>675117.782765659</v>
      </c>
      <c r="C5410" s="18" t="n">
        <v>0</v>
      </c>
      <c r="D5410" s="0" t="n">
        <v>0</v>
      </c>
      <c r="E5410" s="19" t="n">
        <v>35.4166666666667</v>
      </c>
    </row>
    <row r="5411" customFormat="false" ht="15" hidden="false" customHeight="false" outlineLevel="0" collapsed="false">
      <c r="A5411" s="0" t="n">
        <v>5410</v>
      </c>
      <c r="B5411" s="18" t="n">
        <v>907031.038181095</v>
      </c>
      <c r="C5411" s="18" t="n">
        <v>0</v>
      </c>
      <c r="D5411" s="0" t="n">
        <v>0</v>
      </c>
      <c r="E5411" s="19" t="n">
        <v>42.0833333333333</v>
      </c>
    </row>
    <row r="5412" customFormat="false" ht="15" hidden="false" customHeight="false" outlineLevel="0" collapsed="false">
      <c r="A5412" s="0" t="n">
        <v>5411</v>
      </c>
      <c r="B5412" s="18" t="n">
        <v>632826.496094313</v>
      </c>
      <c r="C5412" s="18" t="n">
        <v>0</v>
      </c>
      <c r="D5412" s="0" t="n">
        <v>0</v>
      </c>
      <c r="E5412" s="19" t="n">
        <v>53</v>
      </c>
    </row>
    <row r="5413" customFormat="false" ht="15" hidden="false" customHeight="false" outlineLevel="0" collapsed="false">
      <c r="A5413" s="0" t="n">
        <v>5412</v>
      </c>
      <c r="B5413" s="18" t="n">
        <v>1446870.37912197</v>
      </c>
      <c r="C5413" s="18" t="n">
        <v>3335336.48657124</v>
      </c>
      <c r="D5413" s="0" t="n">
        <v>1</v>
      </c>
    </row>
    <row r="5414" customFormat="false" ht="15" hidden="false" customHeight="false" outlineLevel="0" collapsed="false">
      <c r="A5414" s="0" t="n">
        <v>5413</v>
      </c>
      <c r="B5414" s="18" t="n">
        <v>868793.088171057</v>
      </c>
      <c r="C5414" s="18" t="n">
        <v>0</v>
      </c>
      <c r="D5414" s="0" t="n">
        <v>0</v>
      </c>
      <c r="E5414" s="19" t="n">
        <v>44.4166666666667</v>
      </c>
    </row>
    <row r="5415" customFormat="false" ht="15" hidden="false" customHeight="false" outlineLevel="0" collapsed="false">
      <c r="A5415" s="0" t="n">
        <v>5414</v>
      </c>
      <c r="B5415" s="18" t="n">
        <v>655959.352734869</v>
      </c>
      <c r="C5415" s="18" t="n">
        <v>0</v>
      </c>
      <c r="D5415" s="0" t="n">
        <v>0</v>
      </c>
      <c r="E5415" s="19" t="n">
        <v>52.4166666666667</v>
      </c>
    </row>
    <row r="5416" customFormat="false" ht="15" hidden="false" customHeight="false" outlineLevel="0" collapsed="false">
      <c r="A5416" s="0" t="n">
        <v>5415</v>
      </c>
      <c r="B5416" s="18" t="n">
        <v>428479.242736041</v>
      </c>
      <c r="C5416" s="18" t="n">
        <v>0</v>
      </c>
      <c r="D5416" s="0" t="n">
        <v>0</v>
      </c>
      <c r="E5416" s="19" t="n">
        <v>33.8333333333333</v>
      </c>
    </row>
    <row r="5417" customFormat="false" ht="15" hidden="false" customHeight="false" outlineLevel="0" collapsed="false">
      <c r="A5417" s="0" t="n">
        <v>5416</v>
      </c>
      <c r="B5417" s="18" t="n">
        <v>2362785.78077675</v>
      </c>
      <c r="C5417" s="18" t="n">
        <v>1766608.53843687</v>
      </c>
      <c r="D5417" s="0" t="n">
        <v>1</v>
      </c>
    </row>
    <row r="5418" customFormat="false" ht="15" hidden="false" customHeight="false" outlineLevel="0" collapsed="false">
      <c r="A5418" s="0" t="n">
        <v>5417</v>
      </c>
      <c r="B5418" s="18" t="n">
        <v>702145.339404437</v>
      </c>
      <c r="C5418" s="18" t="n">
        <v>5506872.63761996</v>
      </c>
      <c r="D5418" s="0" t="n">
        <v>1</v>
      </c>
    </row>
    <row r="5419" customFormat="false" ht="15" hidden="false" customHeight="false" outlineLevel="0" collapsed="false">
      <c r="A5419" s="0" t="n">
        <v>5418</v>
      </c>
      <c r="B5419" s="18" t="n">
        <v>389364.120457604</v>
      </c>
      <c r="C5419" s="18" t="n">
        <v>0</v>
      </c>
      <c r="D5419" s="0" t="n">
        <v>0</v>
      </c>
      <c r="E5419" s="19" t="n">
        <v>30.6666666666667</v>
      </c>
    </row>
    <row r="5420" customFormat="false" ht="15" hidden="false" customHeight="false" outlineLevel="0" collapsed="false">
      <c r="A5420" s="0" t="n">
        <v>5419</v>
      </c>
      <c r="B5420" s="18" t="n">
        <v>481984.772278368</v>
      </c>
      <c r="C5420" s="18" t="n">
        <v>0</v>
      </c>
      <c r="D5420" s="0" t="n">
        <v>0</v>
      </c>
      <c r="E5420" s="19" t="n">
        <v>35</v>
      </c>
    </row>
    <row r="5421" customFormat="false" ht="15" hidden="false" customHeight="false" outlineLevel="0" collapsed="false">
      <c r="A5421" s="0" t="n">
        <v>5420</v>
      </c>
      <c r="B5421" s="18" t="n">
        <v>811912.15629295</v>
      </c>
      <c r="C5421" s="18" t="n">
        <v>0</v>
      </c>
      <c r="D5421" s="0" t="n">
        <v>0</v>
      </c>
      <c r="E5421" s="19" t="n">
        <v>34.75</v>
      </c>
    </row>
    <row r="5422" customFormat="false" ht="15" hidden="false" customHeight="false" outlineLevel="0" collapsed="false">
      <c r="A5422" s="0" t="n">
        <v>5421</v>
      </c>
      <c r="B5422" s="18" t="n">
        <v>1150847.91964495</v>
      </c>
      <c r="C5422" s="18" t="n">
        <v>0</v>
      </c>
      <c r="D5422" s="0" t="n">
        <v>0</v>
      </c>
      <c r="E5422" s="19" t="n">
        <v>45.4166666666667</v>
      </c>
    </row>
    <row r="5423" customFormat="false" ht="15" hidden="false" customHeight="false" outlineLevel="0" collapsed="false">
      <c r="A5423" s="0" t="n">
        <v>5422</v>
      </c>
      <c r="B5423" s="18" t="n">
        <v>891624.675569437</v>
      </c>
      <c r="C5423" s="18" t="n">
        <v>0</v>
      </c>
      <c r="D5423" s="0" t="n">
        <v>0</v>
      </c>
      <c r="E5423" s="19" t="n">
        <v>46.25</v>
      </c>
    </row>
    <row r="5424" customFormat="false" ht="15" hidden="false" customHeight="false" outlineLevel="0" collapsed="false">
      <c r="A5424" s="0" t="n">
        <v>5423</v>
      </c>
      <c r="B5424" s="18" t="n">
        <v>1065771.91427414</v>
      </c>
      <c r="C5424" s="18" t="n">
        <v>0</v>
      </c>
      <c r="D5424" s="0" t="n">
        <v>0</v>
      </c>
      <c r="E5424" s="19" t="n">
        <v>51.75</v>
      </c>
    </row>
    <row r="5425" customFormat="false" ht="15" hidden="false" customHeight="false" outlineLevel="0" collapsed="false">
      <c r="A5425" s="0" t="n">
        <v>5424</v>
      </c>
      <c r="B5425" s="18" t="n">
        <v>678084.083410398</v>
      </c>
      <c r="C5425" s="18" t="n">
        <v>0</v>
      </c>
      <c r="D5425" s="0" t="n">
        <v>0</v>
      </c>
      <c r="E5425" s="19" t="n">
        <v>36.3333333333333</v>
      </c>
    </row>
    <row r="5426" customFormat="false" ht="15" hidden="false" customHeight="false" outlineLevel="0" collapsed="false">
      <c r="A5426" s="0" t="n">
        <v>5425</v>
      </c>
      <c r="B5426" s="18" t="n">
        <v>808794.879096318</v>
      </c>
      <c r="C5426" s="18" t="n">
        <v>0</v>
      </c>
      <c r="D5426" s="0" t="n">
        <v>0</v>
      </c>
      <c r="E5426" s="19" t="n">
        <v>42.3333333333333</v>
      </c>
    </row>
    <row r="5427" customFormat="false" ht="15" hidden="false" customHeight="false" outlineLevel="0" collapsed="false">
      <c r="A5427" s="0" t="n">
        <v>5426</v>
      </c>
      <c r="B5427" s="18" t="n">
        <v>888954.867123788</v>
      </c>
      <c r="C5427" s="18" t="n">
        <v>0</v>
      </c>
      <c r="D5427" s="0" t="n">
        <v>0</v>
      </c>
      <c r="E5427" s="19" t="n">
        <v>37.3333333333333</v>
      </c>
    </row>
    <row r="5428" customFormat="false" ht="15" hidden="false" customHeight="false" outlineLevel="0" collapsed="false">
      <c r="A5428" s="0" t="n">
        <v>5427</v>
      </c>
      <c r="B5428" s="18" t="n">
        <v>948630.106192724</v>
      </c>
      <c r="C5428" s="18" t="n">
        <v>0</v>
      </c>
      <c r="D5428" s="0" t="n">
        <v>0</v>
      </c>
      <c r="E5428" s="19" t="n">
        <v>42.1666666666667</v>
      </c>
    </row>
    <row r="5429" customFormat="false" ht="15" hidden="false" customHeight="false" outlineLevel="0" collapsed="false">
      <c r="A5429" s="0" t="n">
        <v>5428</v>
      </c>
      <c r="B5429" s="18" t="n">
        <v>952280.307505137</v>
      </c>
      <c r="C5429" s="18" t="n">
        <v>0</v>
      </c>
      <c r="D5429" s="0" t="n">
        <v>0</v>
      </c>
      <c r="E5429" s="19" t="n">
        <v>38.9166666666667</v>
      </c>
    </row>
    <row r="5430" customFormat="false" ht="15" hidden="false" customHeight="false" outlineLevel="0" collapsed="false">
      <c r="A5430" s="0" t="n">
        <v>5429</v>
      </c>
      <c r="B5430" s="18" t="n">
        <v>884822.82688649</v>
      </c>
      <c r="C5430" s="18" t="n">
        <v>0</v>
      </c>
      <c r="D5430" s="0" t="n">
        <v>0</v>
      </c>
      <c r="E5430" s="19" t="n">
        <v>43.1666666666667</v>
      </c>
    </row>
    <row r="5431" customFormat="false" ht="15" hidden="false" customHeight="false" outlineLevel="0" collapsed="false">
      <c r="A5431" s="0" t="n">
        <v>5430</v>
      </c>
      <c r="B5431" s="18" t="n">
        <v>688320.253743422</v>
      </c>
      <c r="C5431" s="18" t="n">
        <v>0</v>
      </c>
      <c r="D5431" s="0" t="n">
        <v>0</v>
      </c>
      <c r="E5431" s="19" t="n">
        <v>36.3333333333333</v>
      </c>
    </row>
    <row r="5432" customFormat="false" ht="15" hidden="false" customHeight="false" outlineLevel="0" collapsed="false">
      <c r="A5432" s="0" t="n">
        <v>5431</v>
      </c>
      <c r="B5432" s="18" t="n">
        <v>971524.800950397</v>
      </c>
      <c r="C5432" s="18" t="n">
        <v>2459941.34095004</v>
      </c>
      <c r="D5432" s="0" t="n">
        <v>1</v>
      </c>
    </row>
    <row r="5433" customFormat="false" ht="15" hidden="false" customHeight="false" outlineLevel="0" collapsed="false">
      <c r="A5433" s="0" t="n">
        <v>5432</v>
      </c>
      <c r="B5433" s="18" t="n">
        <v>929901.31243979</v>
      </c>
      <c r="C5433" s="18" t="n">
        <v>0</v>
      </c>
      <c r="D5433" s="0" t="n">
        <v>0</v>
      </c>
      <c r="E5433" s="19" t="n">
        <v>43</v>
      </c>
    </row>
    <row r="5434" customFormat="false" ht="15" hidden="false" customHeight="false" outlineLevel="0" collapsed="false">
      <c r="A5434" s="0" t="n">
        <v>5433</v>
      </c>
      <c r="B5434" s="18" t="n">
        <v>2619653.28754543</v>
      </c>
      <c r="C5434" s="18" t="n">
        <v>9204932.78507081</v>
      </c>
      <c r="D5434" s="0" t="n">
        <v>1</v>
      </c>
    </row>
    <row r="5435" customFormat="false" ht="15" hidden="false" customHeight="false" outlineLevel="0" collapsed="false">
      <c r="A5435" s="0" t="n">
        <v>5434</v>
      </c>
      <c r="B5435" s="18" t="n">
        <v>698115.517527936</v>
      </c>
      <c r="C5435" s="18" t="n">
        <v>0</v>
      </c>
      <c r="D5435" s="0" t="n">
        <v>0</v>
      </c>
      <c r="E5435" s="19" t="n">
        <v>41.8333333333333</v>
      </c>
    </row>
    <row r="5436" customFormat="false" ht="15" hidden="false" customHeight="false" outlineLevel="0" collapsed="false">
      <c r="A5436" s="0" t="n">
        <v>5435</v>
      </c>
      <c r="B5436" s="18" t="n">
        <v>512199.063006551</v>
      </c>
      <c r="C5436" s="18" t="n">
        <v>0</v>
      </c>
      <c r="D5436" s="0" t="n">
        <v>0</v>
      </c>
      <c r="E5436" s="19" t="n">
        <v>31.25</v>
      </c>
    </row>
    <row r="5437" customFormat="false" ht="15" hidden="false" customHeight="false" outlineLevel="0" collapsed="false">
      <c r="A5437" s="0" t="n">
        <v>5436</v>
      </c>
      <c r="B5437" s="18" t="n">
        <v>655765.720103959</v>
      </c>
      <c r="C5437" s="18" t="n">
        <v>0</v>
      </c>
      <c r="D5437" s="0" t="n">
        <v>0</v>
      </c>
      <c r="E5437" s="19" t="n">
        <v>33.25</v>
      </c>
    </row>
    <row r="5438" customFormat="false" ht="15" hidden="false" customHeight="false" outlineLevel="0" collapsed="false">
      <c r="A5438" s="0" t="n">
        <v>5437</v>
      </c>
      <c r="B5438" s="18" t="n">
        <v>547249.635185373</v>
      </c>
      <c r="C5438" s="18" t="n">
        <v>0</v>
      </c>
      <c r="D5438" s="0" t="n">
        <v>0</v>
      </c>
      <c r="E5438" s="19" t="n">
        <v>35.0833333333333</v>
      </c>
    </row>
    <row r="5439" customFormat="false" ht="15" hidden="false" customHeight="false" outlineLevel="0" collapsed="false">
      <c r="A5439" s="0" t="n">
        <v>5438</v>
      </c>
      <c r="B5439" s="18" t="n">
        <v>764163.603222263</v>
      </c>
      <c r="C5439" s="18" t="n">
        <v>5498473.36004433</v>
      </c>
      <c r="D5439" s="0" t="n">
        <v>1</v>
      </c>
    </row>
    <row r="5440" customFormat="false" ht="15" hidden="false" customHeight="false" outlineLevel="0" collapsed="false">
      <c r="A5440" s="0" t="n">
        <v>5439</v>
      </c>
      <c r="B5440" s="18" t="n">
        <v>1615636.7091578</v>
      </c>
      <c r="C5440" s="18" t="n">
        <v>17060585.217385</v>
      </c>
      <c r="D5440" s="0" t="n">
        <v>1</v>
      </c>
    </row>
    <row r="5441" customFormat="false" ht="15" hidden="false" customHeight="false" outlineLevel="0" collapsed="false">
      <c r="A5441" s="0" t="n">
        <v>5440</v>
      </c>
      <c r="B5441" s="18" t="n">
        <v>2328774.76507252</v>
      </c>
      <c r="C5441" s="18" t="n">
        <v>3165485.54055332</v>
      </c>
      <c r="D5441" s="0" t="n">
        <v>1</v>
      </c>
    </row>
    <row r="5442" customFormat="false" ht="15" hidden="false" customHeight="false" outlineLevel="0" collapsed="false">
      <c r="A5442" s="0" t="n">
        <v>5441</v>
      </c>
      <c r="B5442" s="18" t="n">
        <v>1006529.32397232</v>
      </c>
      <c r="C5442" s="18" t="n">
        <v>389684.086817491</v>
      </c>
      <c r="D5442" s="0" t="n">
        <v>1</v>
      </c>
    </row>
    <row r="5443" customFormat="false" ht="15" hidden="false" customHeight="false" outlineLevel="0" collapsed="false">
      <c r="A5443" s="0" t="n">
        <v>5442</v>
      </c>
      <c r="B5443" s="18" t="n">
        <v>1314089.03706745</v>
      </c>
      <c r="C5443" s="18" t="n">
        <v>131369.8793125</v>
      </c>
      <c r="D5443" s="0" t="n">
        <v>1</v>
      </c>
    </row>
    <row r="5444" customFormat="false" ht="15" hidden="false" customHeight="false" outlineLevel="0" collapsed="false">
      <c r="A5444" s="0" t="n">
        <v>5443</v>
      </c>
      <c r="B5444" s="18" t="n">
        <v>890890.484489178</v>
      </c>
      <c r="C5444" s="18" t="n">
        <v>0</v>
      </c>
      <c r="D5444" s="0" t="n">
        <v>0</v>
      </c>
      <c r="E5444" s="19" t="n">
        <v>38.0833333333333</v>
      </c>
    </row>
    <row r="5445" customFormat="false" ht="15" hidden="false" customHeight="false" outlineLevel="0" collapsed="false">
      <c r="A5445" s="0" t="n">
        <v>5444</v>
      </c>
      <c r="B5445" s="18" t="n">
        <v>1601563.01367208</v>
      </c>
      <c r="C5445" s="18" t="n">
        <v>10206135.064549</v>
      </c>
      <c r="D5445" s="0" t="n">
        <v>1</v>
      </c>
    </row>
    <row r="5446" customFormat="false" ht="15" hidden="false" customHeight="false" outlineLevel="0" collapsed="false">
      <c r="A5446" s="0" t="n">
        <v>5445</v>
      </c>
      <c r="B5446" s="18" t="n">
        <v>1097137.02379829</v>
      </c>
      <c r="C5446" s="18" t="n">
        <v>3318296.24989149</v>
      </c>
      <c r="D5446" s="0" t="n">
        <v>1</v>
      </c>
    </row>
    <row r="5447" customFormat="false" ht="15" hidden="false" customHeight="false" outlineLevel="0" collapsed="false">
      <c r="A5447" s="0" t="n">
        <v>5446</v>
      </c>
      <c r="B5447" s="18" t="n">
        <v>609051.643376266</v>
      </c>
      <c r="C5447" s="18" t="n">
        <v>0</v>
      </c>
      <c r="D5447" s="0" t="n">
        <v>0</v>
      </c>
      <c r="E5447" s="19" t="n">
        <v>34.75</v>
      </c>
    </row>
    <row r="5448" customFormat="false" ht="15" hidden="false" customHeight="false" outlineLevel="0" collapsed="false">
      <c r="A5448" s="0" t="n">
        <v>5447</v>
      </c>
      <c r="B5448" s="18" t="n">
        <v>1061672.78445927</v>
      </c>
      <c r="C5448" s="18" t="n">
        <v>20412979.8240331</v>
      </c>
      <c r="D5448" s="0" t="n">
        <v>1</v>
      </c>
    </row>
    <row r="5449" customFormat="false" ht="15" hidden="false" customHeight="false" outlineLevel="0" collapsed="false">
      <c r="A5449" s="0" t="n">
        <v>5448</v>
      </c>
      <c r="B5449" s="18" t="n">
        <v>807607.686013166</v>
      </c>
      <c r="C5449" s="18" t="n">
        <v>0</v>
      </c>
      <c r="D5449" s="0" t="n">
        <v>0</v>
      </c>
      <c r="E5449" s="19" t="n">
        <v>40</v>
      </c>
    </row>
    <row r="5450" customFormat="false" ht="15" hidden="false" customHeight="false" outlineLevel="0" collapsed="false">
      <c r="A5450" s="0" t="n">
        <v>5449</v>
      </c>
      <c r="B5450" s="18" t="n">
        <v>425987.596559811</v>
      </c>
      <c r="C5450" s="18" t="n">
        <v>0</v>
      </c>
      <c r="D5450" s="0" t="n">
        <v>0</v>
      </c>
      <c r="E5450" s="19" t="n">
        <v>31</v>
      </c>
    </row>
    <row r="5451" customFormat="false" ht="15" hidden="false" customHeight="false" outlineLevel="0" collapsed="false">
      <c r="A5451" s="0" t="n">
        <v>5450</v>
      </c>
      <c r="B5451" s="18" t="n">
        <v>688293.608195169</v>
      </c>
      <c r="C5451" s="18" t="n">
        <v>0</v>
      </c>
      <c r="D5451" s="0" t="n">
        <v>0</v>
      </c>
      <c r="E5451" s="19" t="n">
        <v>38.9166666666667</v>
      </c>
    </row>
    <row r="5452" customFormat="false" ht="15" hidden="false" customHeight="false" outlineLevel="0" collapsed="false">
      <c r="A5452" s="0" t="n">
        <v>5451</v>
      </c>
      <c r="B5452" s="18" t="n">
        <v>746638.652868788</v>
      </c>
      <c r="C5452" s="18" t="n">
        <v>0</v>
      </c>
      <c r="D5452" s="0" t="n">
        <v>0</v>
      </c>
      <c r="E5452" s="19" t="n">
        <v>37.5833333333333</v>
      </c>
    </row>
    <row r="5453" customFormat="false" ht="15" hidden="false" customHeight="false" outlineLevel="0" collapsed="false">
      <c r="A5453" s="0" t="n">
        <v>5452</v>
      </c>
      <c r="B5453" s="18" t="n">
        <v>737339.624954211</v>
      </c>
      <c r="C5453" s="18" t="n">
        <v>0</v>
      </c>
      <c r="D5453" s="0" t="n">
        <v>0</v>
      </c>
      <c r="E5453" s="19" t="n">
        <v>38</v>
      </c>
    </row>
    <row r="5454" customFormat="false" ht="15" hidden="false" customHeight="false" outlineLevel="0" collapsed="false">
      <c r="A5454" s="0" t="n">
        <v>5453</v>
      </c>
      <c r="B5454" s="18" t="n">
        <v>632333.432368538</v>
      </c>
      <c r="C5454" s="18" t="n">
        <v>0</v>
      </c>
      <c r="D5454" s="0" t="n">
        <v>0</v>
      </c>
      <c r="E5454" s="19" t="n">
        <v>39.25</v>
      </c>
    </row>
    <row r="5455" customFormat="false" ht="15" hidden="false" customHeight="false" outlineLevel="0" collapsed="false">
      <c r="A5455" s="0" t="n">
        <v>5454</v>
      </c>
      <c r="B5455" s="18" t="n">
        <v>2698027.53674825</v>
      </c>
      <c r="C5455" s="18" t="n">
        <v>8017322.8612699</v>
      </c>
      <c r="D5455" s="0" t="n">
        <v>1</v>
      </c>
    </row>
    <row r="5456" customFormat="false" ht="15" hidden="false" customHeight="false" outlineLevel="0" collapsed="false">
      <c r="A5456" s="0" t="n">
        <v>5455</v>
      </c>
      <c r="B5456" s="18" t="n">
        <v>1667683.09883331</v>
      </c>
      <c r="C5456" s="18" t="n">
        <v>8583877.43926289</v>
      </c>
      <c r="D5456" s="0" t="n">
        <v>1</v>
      </c>
    </row>
    <row r="5457" customFormat="false" ht="15" hidden="false" customHeight="false" outlineLevel="0" collapsed="false">
      <c r="A5457" s="0" t="n">
        <v>5456</v>
      </c>
      <c r="B5457" s="18" t="n">
        <v>377223.911892134</v>
      </c>
      <c r="C5457" s="18" t="n">
        <v>0</v>
      </c>
      <c r="D5457" s="0" t="n">
        <v>0</v>
      </c>
      <c r="E5457" s="19" t="n">
        <v>31.8333333333333</v>
      </c>
    </row>
    <row r="5458" customFormat="false" ht="15" hidden="false" customHeight="false" outlineLevel="0" collapsed="false">
      <c r="A5458" s="0" t="n">
        <v>5457</v>
      </c>
      <c r="B5458" s="18" t="n">
        <v>543681.425785165</v>
      </c>
      <c r="C5458" s="18" t="n">
        <v>0</v>
      </c>
      <c r="D5458" s="0" t="n">
        <v>0</v>
      </c>
      <c r="E5458" s="19" t="n">
        <v>32.4166666666667</v>
      </c>
    </row>
    <row r="5459" customFormat="false" ht="15" hidden="false" customHeight="false" outlineLevel="0" collapsed="false">
      <c r="A5459" s="0" t="n">
        <v>5458</v>
      </c>
      <c r="B5459" s="18" t="n">
        <v>1041758.13654933</v>
      </c>
      <c r="C5459" s="18" t="n">
        <v>0</v>
      </c>
      <c r="D5459" s="0" t="n">
        <v>0</v>
      </c>
      <c r="E5459" s="19" t="n">
        <v>41.4166666666667</v>
      </c>
    </row>
    <row r="5460" customFormat="false" ht="15" hidden="false" customHeight="false" outlineLevel="0" collapsed="false">
      <c r="A5460" s="0" t="n">
        <v>5459</v>
      </c>
      <c r="B5460" s="18" t="n">
        <v>675440.931941184</v>
      </c>
      <c r="C5460" s="18" t="n">
        <v>0</v>
      </c>
      <c r="D5460" s="0" t="n">
        <v>0</v>
      </c>
      <c r="E5460" s="19" t="n">
        <v>47.5833333333333</v>
      </c>
    </row>
    <row r="5461" customFormat="false" ht="15" hidden="false" customHeight="false" outlineLevel="0" collapsed="false">
      <c r="A5461" s="0" t="n">
        <v>5460</v>
      </c>
      <c r="B5461" s="18" t="n">
        <v>841715.837345523</v>
      </c>
      <c r="C5461" s="18" t="n">
        <v>0</v>
      </c>
      <c r="D5461" s="0" t="n">
        <v>0</v>
      </c>
      <c r="E5461" s="19" t="n">
        <v>41.0833333333333</v>
      </c>
    </row>
    <row r="5462" customFormat="false" ht="15" hidden="false" customHeight="false" outlineLevel="0" collapsed="false">
      <c r="A5462" s="0" t="n">
        <v>5461</v>
      </c>
      <c r="B5462" s="18" t="n">
        <v>265474.595397307</v>
      </c>
      <c r="C5462" s="18" t="n">
        <v>0</v>
      </c>
      <c r="D5462" s="0" t="n">
        <v>0</v>
      </c>
      <c r="E5462" s="19" t="n">
        <v>30.3333333333333</v>
      </c>
    </row>
    <row r="5463" customFormat="false" ht="15" hidden="false" customHeight="false" outlineLevel="0" collapsed="false">
      <c r="A5463" s="0" t="n">
        <v>5462</v>
      </c>
      <c r="B5463" s="18" t="n">
        <v>454723.596558491</v>
      </c>
      <c r="C5463" s="18" t="n">
        <v>0</v>
      </c>
      <c r="D5463" s="0" t="n">
        <v>0</v>
      </c>
      <c r="E5463" s="19" t="n">
        <v>29.5833333333333</v>
      </c>
    </row>
    <row r="5464" customFormat="false" ht="15" hidden="false" customHeight="false" outlineLevel="0" collapsed="false">
      <c r="A5464" s="0" t="n">
        <v>5463</v>
      </c>
      <c r="B5464" s="18" t="n">
        <v>2253542.78451507</v>
      </c>
      <c r="C5464" s="18" t="n">
        <v>35297413.4586928</v>
      </c>
      <c r="D5464" s="0" t="n">
        <v>1</v>
      </c>
    </row>
    <row r="5465" customFormat="false" ht="15" hidden="false" customHeight="false" outlineLevel="0" collapsed="false">
      <c r="A5465" s="0" t="n">
        <v>5464</v>
      </c>
      <c r="B5465" s="18" t="n">
        <v>1773279.9421771</v>
      </c>
      <c r="C5465" s="18" t="n">
        <v>880485.110137394</v>
      </c>
      <c r="D5465" s="0" t="n">
        <v>1</v>
      </c>
    </row>
    <row r="5466" customFormat="false" ht="15" hidden="false" customHeight="false" outlineLevel="0" collapsed="false">
      <c r="A5466" s="0" t="n">
        <v>5465</v>
      </c>
      <c r="B5466" s="18" t="n">
        <v>1002030.71949921</v>
      </c>
      <c r="C5466" s="18" t="n">
        <v>0</v>
      </c>
      <c r="D5466" s="0" t="n">
        <v>0</v>
      </c>
      <c r="E5466" s="19" t="n">
        <v>44.0833333333333</v>
      </c>
    </row>
    <row r="5467" customFormat="false" ht="15" hidden="false" customHeight="false" outlineLevel="0" collapsed="false">
      <c r="A5467" s="0" t="n">
        <v>5466</v>
      </c>
      <c r="B5467" s="18" t="n">
        <v>452347.755386101</v>
      </c>
      <c r="C5467" s="18" t="n">
        <v>1067671.75957812</v>
      </c>
      <c r="D5467" s="0" t="n">
        <v>1</v>
      </c>
    </row>
    <row r="5468" customFormat="false" ht="15" hidden="false" customHeight="false" outlineLevel="0" collapsed="false">
      <c r="A5468" s="0" t="n">
        <v>5467</v>
      </c>
      <c r="B5468" s="18" t="n">
        <v>690226.796214671</v>
      </c>
      <c r="C5468" s="18" t="n">
        <v>0</v>
      </c>
      <c r="D5468" s="0" t="n">
        <v>0</v>
      </c>
      <c r="E5468" s="19" t="n">
        <v>36.4166666666667</v>
      </c>
    </row>
    <row r="5469" customFormat="false" ht="15" hidden="false" customHeight="false" outlineLevel="0" collapsed="false">
      <c r="A5469" s="0" t="n">
        <v>5468</v>
      </c>
      <c r="B5469" s="18" t="n">
        <v>1389341.3513384</v>
      </c>
      <c r="C5469" s="18" t="n">
        <v>0</v>
      </c>
      <c r="D5469" s="0" t="n">
        <v>0</v>
      </c>
      <c r="E5469" s="19" t="n">
        <v>52.9166666666667</v>
      </c>
    </row>
    <row r="5470" customFormat="false" ht="15" hidden="false" customHeight="false" outlineLevel="0" collapsed="false">
      <c r="A5470" s="0" t="n">
        <v>5469</v>
      </c>
      <c r="B5470" s="18" t="n">
        <v>1548088.70590646</v>
      </c>
      <c r="C5470" s="18" t="n">
        <v>0</v>
      </c>
      <c r="D5470" s="0" t="n">
        <v>0</v>
      </c>
      <c r="E5470" s="19" t="n">
        <v>49.9166666666667</v>
      </c>
    </row>
    <row r="5471" customFormat="false" ht="15" hidden="false" customHeight="false" outlineLevel="0" collapsed="false">
      <c r="A5471" s="0" t="n">
        <v>5470</v>
      </c>
      <c r="B5471" s="18" t="n">
        <v>1430019.15941507</v>
      </c>
      <c r="C5471" s="18" t="n">
        <v>2296870.81576409</v>
      </c>
      <c r="D5471" s="0" t="n">
        <v>1</v>
      </c>
    </row>
    <row r="5472" customFormat="false" ht="15" hidden="false" customHeight="false" outlineLevel="0" collapsed="false">
      <c r="A5472" s="0" t="n">
        <v>5471</v>
      </c>
      <c r="B5472" s="18" t="n">
        <v>1025350.82650875</v>
      </c>
      <c r="C5472" s="18" t="n">
        <v>0</v>
      </c>
      <c r="D5472" s="0" t="n">
        <v>0</v>
      </c>
      <c r="E5472" s="19" t="n">
        <v>50.9166666666667</v>
      </c>
    </row>
    <row r="5473" customFormat="false" ht="15" hidden="false" customHeight="false" outlineLevel="0" collapsed="false">
      <c r="A5473" s="0" t="n">
        <v>5472</v>
      </c>
      <c r="B5473" s="18" t="n">
        <v>1012248.1762075</v>
      </c>
      <c r="C5473" s="18" t="n">
        <v>6420219.62581056</v>
      </c>
      <c r="D5473" s="0" t="n">
        <v>1</v>
      </c>
    </row>
    <row r="5474" customFormat="false" ht="15" hidden="false" customHeight="false" outlineLevel="0" collapsed="false">
      <c r="A5474" s="0" t="n">
        <v>5473</v>
      </c>
      <c r="B5474" s="18" t="n">
        <v>4265628.49012774</v>
      </c>
      <c r="C5474" s="18" t="n">
        <v>17775553.5063035</v>
      </c>
      <c r="D5474" s="0" t="n">
        <v>1</v>
      </c>
    </row>
    <row r="5475" customFormat="false" ht="15" hidden="false" customHeight="false" outlineLevel="0" collapsed="false">
      <c r="A5475" s="0" t="n">
        <v>5474</v>
      </c>
      <c r="B5475" s="18" t="n">
        <v>1693996.16067552</v>
      </c>
      <c r="C5475" s="18" t="n">
        <v>3972573.63151272</v>
      </c>
      <c r="D5475" s="0" t="n">
        <v>1</v>
      </c>
    </row>
    <row r="5476" customFormat="false" ht="15" hidden="false" customHeight="false" outlineLevel="0" collapsed="false">
      <c r="A5476" s="0" t="n">
        <v>5475</v>
      </c>
      <c r="B5476" s="18" t="n">
        <v>1513426.21929298</v>
      </c>
      <c r="C5476" s="18" t="n">
        <v>9000921.94888362</v>
      </c>
      <c r="D5476" s="0" t="n">
        <v>1</v>
      </c>
    </row>
    <row r="5477" customFormat="false" ht="15" hidden="false" customHeight="false" outlineLevel="0" collapsed="false">
      <c r="A5477" s="0" t="n">
        <v>5476</v>
      </c>
      <c r="B5477" s="18" t="n">
        <v>518033.820628578</v>
      </c>
      <c r="C5477" s="18" t="n">
        <v>0</v>
      </c>
      <c r="D5477" s="0" t="n">
        <v>0</v>
      </c>
      <c r="E5477" s="19" t="n">
        <v>34.1666666666667</v>
      </c>
    </row>
    <row r="5478" customFormat="false" ht="15" hidden="false" customHeight="false" outlineLevel="0" collapsed="false">
      <c r="A5478" s="0" t="n">
        <v>5477</v>
      </c>
      <c r="B5478" s="18" t="n">
        <v>1006884.49136579</v>
      </c>
      <c r="C5478" s="18" t="n">
        <v>6743576.29809145</v>
      </c>
      <c r="D5478" s="0" t="n">
        <v>1</v>
      </c>
    </row>
    <row r="5479" customFormat="false" ht="15" hidden="false" customHeight="false" outlineLevel="0" collapsed="false">
      <c r="A5479" s="0" t="n">
        <v>5478</v>
      </c>
      <c r="B5479" s="18" t="n">
        <v>512905.818392932</v>
      </c>
      <c r="C5479" s="18" t="n">
        <v>0</v>
      </c>
      <c r="D5479" s="0" t="n">
        <v>0</v>
      </c>
      <c r="E5479" s="19" t="n">
        <v>34.25</v>
      </c>
    </row>
    <row r="5480" customFormat="false" ht="15" hidden="false" customHeight="false" outlineLevel="0" collapsed="false">
      <c r="A5480" s="0" t="n">
        <v>5479</v>
      </c>
      <c r="B5480" s="18" t="n">
        <v>615605.853105787</v>
      </c>
      <c r="C5480" s="18" t="n">
        <v>0</v>
      </c>
      <c r="D5480" s="0" t="n">
        <v>0</v>
      </c>
      <c r="E5480" s="19" t="n">
        <v>37.0833333333333</v>
      </c>
    </row>
    <row r="5481" customFormat="false" ht="15" hidden="false" customHeight="false" outlineLevel="0" collapsed="false">
      <c r="A5481" s="0" t="n">
        <v>5480</v>
      </c>
      <c r="B5481" s="18" t="n">
        <v>1866234.48559831</v>
      </c>
      <c r="C5481" s="18" t="n">
        <v>4905041.93550377</v>
      </c>
      <c r="D5481" s="0" t="n">
        <v>1</v>
      </c>
    </row>
    <row r="5482" customFormat="false" ht="15" hidden="false" customHeight="false" outlineLevel="0" collapsed="false">
      <c r="A5482" s="0" t="n">
        <v>5481</v>
      </c>
      <c r="B5482" s="18" t="n">
        <v>1176921.73884561</v>
      </c>
      <c r="C5482" s="18" t="n">
        <v>0</v>
      </c>
      <c r="D5482" s="0" t="n">
        <v>0</v>
      </c>
      <c r="E5482" s="19" t="n">
        <v>42.4166666666667</v>
      </c>
    </row>
    <row r="5483" customFormat="false" ht="15" hidden="false" customHeight="false" outlineLevel="0" collapsed="false">
      <c r="A5483" s="0" t="n">
        <v>5482</v>
      </c>
      <c r="B5483" s="18" t="n">
        <v>1346682.36983479</v>
      </c>
      <c r="C5483" s="18" t="n">
        <v>1729357.26480249</v>
      </c>
      <c r="D5483" s="0" t="n">
        <v>1</v>
      </c>
    </row>
    <row r="5484" customFormat="false" ht="15" hidden="false" customHeight="false" outlineLevel="0" collapsed="false">
      <c r="A5484" s="0" t="n">
        <v>5483</v>
      </c>
      <c r="B5484" s="18" t="n">
        <v>1194328.73283684</v>
      </c>
      <c r="C5484" s="18" t="n">
        <v>0</v>
      </c>
      <c r="D5484" s="0" t="n">
        <v>0</v>
      </c>
      <c r="E5484" s="19" t="n">
        <v>53.25</v>
      </c>
    </row>
    <row r="5485" customFormat="false" ht="15" hidden="false" customHeight="false" outlineLevel="0" collapsed="false">
      <c r="A5485" s="0" t="n">
        <v>5484</v>
      </c>
      <c r="B5485" s="18" t="n">
        <v>1238304.74355482</v>
      </c>
      <c r="C5485" s="18" t="n">
        <v>1558723.78242647</v>
      </c>
      <c r="D5485" s="0" t="n">
        <v>1</v>
      </c>
    </row>
    <row r="5486" customFormat="false" ht="15" hidden="false" customHeight="false" outlineLevel="0" collapsed="false">
      <c r="A5486" s="0" t="n">
        <v>5485</v>
      </c>
      <c r="B5486" s="18" t="n">
        <v>1918559.5546462</v>
      </c>
      <c r="C5486" s="18" t="n">
        <v>13434539.5474156</v>
      </c>
      <c r="D5486" s="0" t="n">
        <v>1</v>
      </c>
    </row>
    <row r="5487" customFormat="false" ht="15" hidden="false" customHeight="false" outlineLevel="0" collapsed="false">
      <c r="A5487" s="0" t="n">
        <v>5486</v>
      </c>
      <c r="B5487" s="18" t="n">
        <v>1860613.91531622</v>
      </c>
      <c r="C5487" s="18" t="n">
        <v>7201800.60973829</v>
      </c>
      <c r="D5487" s="0" t="n">
        <v>1</v>
      </c>
    </row>
    <row r="5488" customFormat="false" ht="15" hidden="false" customHeight="false" outlineLevel="0" collapsed="false">
      <c r="A5488" s="0" t="n">
        <v>5487</v>
      </c>
      <c r="B5488" s="18" t="n">
        <v>929226.431054335</v>
      </c>
      <c r="C5488" s="18" t="n">
        <v>0</v>
      </c>
      <c r="D5488" s="0" t="n">
        <v>0</v>
      </c>
      <c r="E5488" s="19" t="n">
        <v>45</v>
      </c>
    </row>
    <row r="5489" customFormat="false" ht="15" hidden="false" customHeight="false" outlineLevel="0" collapsed="false">
      <c r="A5489" s="0" t="n">
        <v>5488</v>
      </c>
      <c r="B5489" s="18" t="n">
        <v>1396739.69579307</v>
      </c>
      <c r="C5489" s="18" t="n">
        <v>15446634.0848218</v>
      </c>
      <c r="D5489" s="0" t="n">
        <v>1</v>
      </c>
    </row>
    <row r="5490" customFormat="false" ht="15" hidden="false" customHeight="false" outlineLevel="0" collapsed="false">
      <c r="A5490" s="0" t="n">
        <v>5489</v>
      </c>
      <c r="B5490" s="18" t="n">
        <v>1655752.71715198</v>
      </c>
      <c r="C5490" s="18" t="n">
        <v>0</v>
      </c>
      <c r="D5490" s="0" t="n">
        <v>0</v>
      </c>
      <c r="E5490" s="19" t="n">
        <v>50</v>
      </c>
    </row>
    <row r="5491" customFormat="false" ht="15" hidden="false" customHeight="false" outlineLevel="0" collapsed="false">
      <c r="A5491" s="0" t="n">
        <v>5490</v>
      </c>
      <c r="B5491" s="18" t="n">
        <v>579282.306087344</v>
      </c>
      <c r="C5491" s="18" t="n">
        <v>0</v>
      </c>
      <c r="D5491" s="0" t="n">
        <v>0</v>
      </c>
      <c r="E5491" s="19" t="n">
        <v>33.5833333333333</v>
      </c>
    </row>
    <row r="5492" customFormat="false" ht="15" hidden="false" customHeight="false" outlineLevel="0" collapsed="false">
      <c r="A5492" s="0" t="n">
        <v>5491</v>
      </c>
      <c r="B5492" s="18" t="n">
        <v>747545.374698164</v>
      </c>
      <c r="C5492" s="18" t="n">
        <v>0</v>
      </c>
      <c r="D5492" s="0" t="n">
        <v>0</v>
      </c>
      <c r="E5492" s="19" t="n">
        <v>37.25</v>
      </c>
    </row>
    <row r="5493" customFormat="false" ht="15" hidden="false" customHeight="false" outlineLevel="0" collapsed="false">
      <c r="A5493" s="0" t="n">
        <v>5492</v>
      </c>
      <c r="B5493" s="18" t="n">
        <v>803378.158165259</v>
      </c>
      <c r="C5493" s="18" t="n">
        <v>0</v>
      </c>
      <c r="D5493" s="0" t="n">
        <v>0</v>
      </c>
      <c r="E5493" s="19" t="n">
        <v>38.3333333333333</v>
      </c>
    </row>
    <row r="5494" customFormat="false" ht="15" hidden="false" customHeight="false" outlineLevel="0" collapsed="false">
      <c r="A5494" s="0" t="n">
        <v>5493</v>
      </c>
      <c r="B5494" s="18" t="n">
        <v>1537940.73289831</v>
      </c>
      <c r="C5494" s="18" t="n">
        <v>10055831.087473</v>
      </c>
      <c r="D5494" s="0" t="n">
        <v>1</v>
      </c>
    </row>
    <row r="5495" customFormat="false" ht="15" hidden="false" customHeight="false" outlineLevel="0" collapsed="false">
      <c r="A5495" s="0" t="n">
        <v>5494</v>
      </c>
      <c r="B5495" s="18" t="n">
        <v>857506.702656259</v>
      </c>
      <c r="C5495" s="18" t="n">
        <v>0</v>
      </c>
      <c r="D5495" s="0" t="n">
        <v>0</v>
      </c>
      <c r="E5495" s="19" t="n">
        <v>40.75</v>
      </c>
    </row>
    <row r="5496" customFormat="false" ht="15" hidden="false" customHeight="false" outlineLevel="0" collapsed="false">
      <c r="A5496" s="0" t="n">
        <v>5495</v>
      </c>
      <c r="B5496" s="18" t="n">
        <v>1649392.64954739</v>
      </c>
      <c r="C5496" s="18" t="n">
        <v>21870676.4117093</v>
      </c>
      <c r="D5496" s="0" t="n">
        <v>1</v>
      </c>
    </row>
    <row r="5497" customFormat="false" ht="15" hidden="false" customHeight="false" outlineLevel="0" collapsed="false">
      <c r="A5497" s="0" t="n">
        <v>5496</v>
      </c>
      <c r="B5497" s="18" t="n">
        <v>639078.298463993</v>
      </c>
      <c r="C5497" s="18" t="n">
        <v>0</v>
      </c>
      <c r="D5497" s="0" t="n">
        <v>0</v>
      </c>
      <c r="E5497" s="19" t="n">
        <v>39.5833333333333</v>
      </c>
    </row>
    <row r="5498" customFormat="false" ht="15" hidden="false" customHeight="false" outlineLevel="0" collapsed="false">
      <c r="A5498" s="0" t="n">
        <v>5497</v>
      </c>
      <c r="B5498" s="18" t="n">
        <v>832054.73040687</v>
      </c>
      <c r="C5498" s="18" t="n">
        <v>0</v>
      </c>
      <c r="D5498" s="0" t="n">
        <v>0</v>
      </c>
      <c r="E5498" s="19" t="n">
        <v>39.9166666666667</v>
      </c>
    </row>
    <row r="5499" customFormat="false" ht="15" hidden="false" customHeight="false" outlineLevel="0" collapsed="false">
      <c r="A5499" s="0" t="n">
        <v>5498</v>
      </c>
      <c r="B5499" s="18" t="n">
        <v>1069340.54627772</v>
      </c>
      <c r="C5499" s="18" t="n">
        <v>0</v>
      </c>
      <c r="D5499" s="0" t="n">
        <v>0</v>
      </c>
      <c r="E5499" s="19" t="n">
        <v>47.3333333333333</v>
      </c>
    </row>
    <row r="5500" customFormat="false" ht="15" hidden="false" customHeight="false" outlineLevel="0" collapsed="false">
      <c r="A5500" s="0" t="n">
        <v>5499</v>
      </c>
      <c r="B5500" s="18" t="n">
        <v>694605.136031601</v>
      </c>
      <c r="C5500" s="18" t="n">
        <v>0</v>
      </c>
      <c r="D5500" s="0" t="n">
        <v>0</v>
      </c>
      <c r="E5500" s="19" t="n">
        <v>53.5833333333333</v>
      </c>
    </row>
    <row r="5501" customFormat="false" ht="15" hidden="false" customHeight="false" outlineLevel="0" collapsed="false">
      <c r="A5501" s="0" t="n">
        <v>5500</v>
      </c>
      <c r="B5501" s="18" t="n">
        <v>1030319.28928995</v>
      </c>
      <c r="C5501" s="18" t="n">
        <v>420366.564194276</v>
      </c>
      <c r="D5501" s="0" t="n">
        <v>1</v>
      </c>
    </row>
    <row r="5502" customFormat="false" ht="15" hidden="false" customHeight="false" outlineLevel="0" collapsed="false">
      <c r="A5502" s="0" t="n">
        <v>5501</v>
      </c>
      <c r="B5502" s="18" t="n">
        <v>654271.436351481</v>
      </c>
      <c r="C5502" s="18" t="n">
        <v>0</v>
      </c>
      <c r="D5502" s="0" t="n">
        <v>0</v>
      </c>
      <c r="E5502" s="19" t="n">
        <v>42</v>
      </c>
    </row>
    <row r="5503" customFormat="false" ht="15" hidden="false" customHeight="false" outlineLevel="0" collapsed="false">
      <c r="A5503" s="0" t="n">
        <v>5502</v>
      </c>
      <c r="B5503" s="18" t="n">
        <v>437459.438658593</v>
      </c>
      <c r="C5503" s="18" t="n">
        <v>0</v>
      </c>
      <c r="D5503" s="0" t="n">
        <v>0</v>
      </c>
      <c r="E5503" s="19" t="n">
        <v>32.3333333333333</v>
      </c>
    </row>
    <row r="5504" customFormat="false" ht="15" hidden="false" customHeight="false" outlineLevel="0" collapsed="false">
      <c r="A5504" s="0" t="n">
        <v>5503</v>
      </c>
      <c r="B5504" s="18" t="n">
        <v>711320.290582548</v>
      </c>
      <c r="C5504" s="18" t="n">
        <v>0</v>
      </c>
      <c r="D5504" s="0" t="n">
        <v>0</v>
      </c>
      <c r="E5504" s="19" t="n">
        <v>41.8333333333333</v>
      </c>
    </row>
    <row r="5505" customFormat="false" ht="15" hidden="false" customHeight="false" outlineLevel="0" collapsed="false">
      <c r="A5505" s="0" t="n">
        <v>5504</v>
      </c>
      <c r="B5505" s="18" t="n">
        <v>940119.270313096</v>
      </c>
      <c r="C5505" s="18" t="n">
        <v>482335.850526989</v>
      </c>
      <c r="D5505" s="0" t="n">
        <v>1</v>
      </c>
    </row>
    <row r="5506" customFormat="false" ht="15" hidden="false" customHeight="false" outlineLevel="0" collapsed="false">
      <c r="A5506" s="0" t="n">
        <v>5505</v>
      </c>
      <c r="B5506" s="18" t="n">
        <v>704905.305771841</v>
      </c>
      <c r="C5506" s="18" t="n">
        <v>0</v>
      </c>
      <c r="D5506" s="0" t="n">
        <v>0</v>
      </c>
      <c r="E5506" s="19" t="n">
        <v>35.25</v>
      </c>
    </row>
    <row r="5507" customFormat="false" ht="15" hidden="false" customHeight="false" outlineLevel="0" collapsed="false">
      <c r="A5507" s="0" t="n">
        <v>5506</v>
      </c>
      <c r="B5507" s="18" t="n">
        <v>2017923.13522197</v>
      </c>
      <c r="C5507" s="18" t="n">
        <v>5666071.87260632</v>
      </c>
      <c r="D5507" s="0" t="n">
        <v>1</v>
      </c>
    </row>
    <row r="5508" customFormat="false" ht="15" hidden="false" customHeight="false" outlineLevel="0" collapsed="false">
      <c r="A5508" s="0" t="n">
        <v>5507</v>
      </c>
      <c r="B5508" s="18" t="n">
        <v>781786.196710508</v>
      </c>
      <c r="C5508" s="18" t="n">
        <v>5095753.33411248</v>
      </c>
      <c r="D5508" s="0" t="n">
        <v>1</v>
      </c>
    </row>
    <row r="5509" customFormat="false" ht="15" hidden="false" customHeight="false" outlineLevel="0" collapsed="false">
      <c r="A5509" s="0" t="n">
        <v>5508</v>
      </c>
      <c r="B5509" s="18" t="n">
        <v>572330.942875283</v>
      </c>
      <c r="C5509" s="18" t="n">
        <v>0</v>
      </c>
      <c r="D5509" s="0" t="n">
        <v>0</v>
      </c>
      <c r="E5509" s="19" t="n">
        <v>35.4166666666667</v>
      </c>
    </row>
    <row r="5510" customFormat="false" ht="15" hidden="false" customHeight="false" outlineLevel="0" collapsed="false">
      <c r="A5510" s="0" t="n">
        <v>5509</v>
      </c>
      <c r="B5510" s="18" t="n">
        <v>1364909.06907843</v>
      </c>
      <c r="C5510" s="18" t="n">
        <v>9097175.3544957</v>
      </c>
      <c r="D5510" s="0" t="n">
        <v>1</v>
      </c>
    </row>
    <row r="5511" customFormat="false" ht="15" hidden="false" customHeight="false" outlineLevel="0" collapsed="false">
      <c r="A5511" s="0" t="n">
        <v>5510</v>
      </c>
      <c r="B5511" s="18" t="n">
        <v>698832.157622433</v>
      </c>
      <c r="C5511" s="18" t="n">
        <v>0</v>
      </c>
      <c r="D5511" s="0" t="n">
        <v>0</v>
      </c>
      <c r="E5511" s="19" t="n">
        <v>36.5</v>
      </c>
    </row>
    <row r="5512" customFormat="false" ht="15" hidden="false" customHeight="false" outlineLevel="0" collapsed="false">
      <c r="A5512" s="0" t="n">
        <v>5511</v>
      </c>
      <c r="B5512" s="18" t="n">
        <v>583945.483051993</v>
      </c>
      <c r="C5512" s="18" t="n">
        <v>0</v>
      </c>
      <c r="D5512" s="0" t="n">
        <v>0</v>
      </c>
      <c r="E5512" s="19" t="n">
        <v>34.8333333333333</v>
      </c>
    </row>
    <row r="5513" customFormat="false" ht="15" hidden="false" customHeight="false" outlineLevel="0" collapsed="false">
      <c r="A5513" s="0" t="n">
        <v>5512</v>
      </c>
      <c r="B5513" s="18" t="n">
        <v>889557.535772094</v>
      </c>
      <c r="C5513" s="18" t="n">
        <v>636293.657610958</v>
      </c>
      <c r="D5513" s="0" t="n">
        <v>1</v>
      </c>
    </row>
    <row r="5514" customFormat="false" ht="15" hidden="false" customHeight="false" outlineLevel="0" collapsed="false">
      <c r="A5514" s="0" t="n">
        <v>5513</v>
      </c>
      <c r="B5514" s="18" t="n">
        <v>420815.392734611</v>
      </c>
      <c r="C5514" s="18" t="n">
        <v>0</v>
      </c>
      <c r="D5514" s="0" t="n">
        <v>0</v>
      </c>
      <c r="E5514" s="19" t="n">
        <v>30.5</v>
      </c>
    </row>
    <row r="5515" customFormat="false" ht="15" hidden="false" customHeight="false" outlineLevel="0" collapsed="false">
      <c r="A5515" s="0" t="n">
        <v>5514</v>
      </c>
      <c r="B5515" s="18" t="n">
        <v>1040128.78665028</v>
      </c>
      <c r="C5515" s="18" t="n">
        <v>0</v>
      </c>
      <c r="D5515" s="0" t="n">
        <v>0</v>
      </c>
      <c r="E5515" s="19" t="n">
        <v>51</v>
      </c>
    </row>
    <row r="5516" customFormat="false" ht="15" hidden="false" customHeight="false" outlineLevel="0" collapsed="false">
      <c r="A5516" s="0" t="n">
        <v>5515</v>
      </c>
      <c r="B5516" s="18" t="n">
        <v>570625.160461647</v>
      </c>
      <c r="C5516" s="18" t="n">
        <v>0</v>
      </c>
      <c r="D5516" s="0" t="n">
        <v>0</v>
      </c>
      <c r="E5516" s="19" t="n">
        <v>35.4166666666667</v>
      </c>
    </row>
    <row r="5517" customFormat="false" ht="15" hidden="false" customHeight="false" outlineLevel="0" collapsed="false">
      <c r="A5517" s="0" t="n">
        <v>5516</v>
      </c>
      <c r="B5517" s="18" t="n">
        <v>996983.91437338</v>
      </c>
      <c r="C5517" s="18" t="n">
        <v>1838662.37110431</v>
      </c>
      <c r="D5517" s="0" t="n">
        <v>1</v>
      </c>
    </row>
    <row r="5518" customFormat="false" ht="15" hidden="false" customHeight="false" outlineLevel="0" collapsed="false">
      <c r="A5518" s="0" t="n">
        <v>5517</v>
      </c>
      <c r="B5518" s="18" t="n">
        <v>628342.463336001</v>
      </c>
      <c r="C5518" s="18" t="n">
        <v>0</v>
      </c>
      <c r="D5518" s="0" t="n">
        <v>0</v>
      </c>
      <c r="E5518" s="19" t="n">
        <v>39</v>
      </c>
    </row>
    <row r="5519" customFormat="false" ht="15" hidden="false" customHeight="false" outlineLevel="0" collapsed="false">
      <c r="A5519" s="0" t="n">
        <v>5518</v>
      </c>
      <c r="B5519" s="18" t="n">
        <v>1945602.86695679</v>
      </c>
      <c r="C5519" s="18" t="n">
        <v>17060043.8992905</v>
      </c>
      <c r="D5519" s="0" t="n">
        <v>1</v>
      </c>
    </row>
    <row r="5520" customFormat="false" ht="15" hidden="false" customHeight="false" outlineLevel="0" collapsed="false">
      <c r="A5520" s="0" t="n">
        <v>5519</v>
      </c>
      <c r="B5520" s="18" t="n">
        <v>1548325.59721434</v>
      </c>
      <c r="C5520" s="18" t="n">
        <v>2373278.17462308</v>
      </c>
      <c r="D5520" s="0" t="n">
        <v>1</v>
      </c>
    </row>
    <row r="5521" customFormat="false" ht="15" hidden="false" customHeight="false" outlineLevel="0" collapsed="false">
      <c r="A5521" s="0" t="n">
        <v>5520</v>
      </c>
      <c r="B5521" s="18" t="n">
        <v>410836.568659175</v>
      </c>
      <c r="C5521" s="18" t="n">
        <v>0</v>
      </c>
      <c r="D5521" s="0" t="n">
        <v>0</v>
      </c>
      <c r="E5521" s="19" t="n">
        <v>35.1666666666667</v>
      </c>
    </row>
    <row r="5522" customFormat="false" ht="15" hidden="false" customHeight="false" outlineLevel="0" collapsed="false">
      <c r="A5522" s="0" t="n">
        <v>5521</v>
      </c>
      <c r="B5522" s="18" t="n">
        <v>779454.315351895</v>
      </c>
      <c r="C5522" s="18" t="n">
        <v>0</v>
      </c>
      <c r="D5522" s="0" t="n">
        <v>0</v>
      </c>
      <c r="E5522" s="19" t="n">
        <v>36.6666666666667</v>
      </c>
    </row>
    <row r="5523" customFormat="false" ht="15" hidden="false" customHeight="false" outlineLevel="0" collapsed="false">
      <c r="A5523" s="0" t="n">
        <v>5522</v>
      </c>
      <c r="B5523" s="18" t="n">
        <v>1126009.45385513</v>
      </c>
      <c r="C5523" s="18" t="n">
        <v>1550245.12484002</v>
      </c>
      <c r="D5523" s="0" t="n">
        <v>1</v>
      </c>
    </row>
    <row r="5524" customFormat="false" ht="15" hidden="false" customHeight="false" outlineLevel="0" collapsed="false">
      <c r="A5524" s="0" t="n">
        <v>5523</v>
      </c>
      <c r="B5524" s="18" t="n">
        <v>1247723.46998486</v>
      </c>
      <c r="C5524" s="18" t="n">
        <v>1418084.20903939</v>
      </c>
      <c r="D5524" s="0" t="n">
        <v>1</v>
      </c>
    </row>
    <row r="5525" customFormat="false" ht="15" hidden="false" customHeight="false" outlineLevel="0" collapsed="false">
      <c r="A5525" s="0" t="n">
        <v>5524</v>
      </c>
      <c r="B5525" s="18" t="n">
        <v>810570.603061217</v>
      </c>
      <c r="C5525" s="18" t="n">
        <v>188580.050291253</v>
      </c>
      <c r="D5525" s="0" t="n">
        <v>1</v>
      </c>
    </row>
    <row r="5526" customFormat="false" ht="15" hidden="false" customHeight="false" outlineLevel="0" collapsed="false">
      <c r="A5526" s="0" t="n">
        <v>5525</v>
      </c>
      <c r="B5526" s="18" t="n">
        <v>1189982.43006625</v>
      </c>
      <c r="C5526" s="18" t="n">
        <v>3727842.9998111</v>
      </c>
      <c r="D5526" s="0" t="n">
        <v>1</v>
      </c>
    </row>
    <row r="5527" customFormat="false" ht="15" hidden="false" customHeight="false" outlineLevel="0" collapsed="false">
      <c r="A5527" s="0" t="n">
        <v>5526</v>
      </c>
      <c r="B5527" s="18" t="n">
        <v>1346488.1471657</v>
      </c>
      <c r="C5527" s="18" t="n">
        <v>7292238.42611891</v>
      </c>
      <c r="D5527" s="0" t="n">
        <v>1</v>
      </c>
    </row>
    <row r="5528" customFormat="false" ht="15" hidden="false" customHeight="false" outlineLevel="0" collapsed="false">
      <c r="A5528" s="0" t="n">
        <v>5527</v>
      </c>
      <c r="B5528" s="18" t="n">
        <v>547535.011080326</v>
      </c>
      <c r="C5528" s="18" t="n">
        <v>0</v>
      </c>
      <c r="D5528" s="0" t="n">
        <v>0</v>
      </c>
      <c r="E5528" s="19" t="n">
        <v>36.0833333333333</v>
      </c>
    </row>
    <row r="5529" customFormat="false" ht="15" hidden="false" customHeight="false" outlineLevel="0" collapsed="false">
      <c r="A5529" s="0" t="n">
        <v>5528</v>
      </c>
      <c r="B5529" s="18" t="n">
        <v>1169727.56930677</v>
      </c>
      <c r="C5529" s="18" t="n">
        <v>894075.51798447</v>
      </c>
      <c r="D5529" s="0" t="n">
        <v>1</v>
      </c>
    </row>
    <row r="5530" customFormat="false" ht="15" hidden="false" customHeight="false" outlineLevel="0" collapsed="false">
      <c r="A5530" s="0" t="n">
        <v>5529</v>
      </c>
      <c r="B5530" s="18" t="n">
        <v>969596.782633976</v>
      </c>
      <c r="C5530" s="18" t="n">
        <v>0</v>
      </c>
      <c r="D5530" s="0" t="n">
        <v>0</v>
      </c>
      <c r="E5530" s="19" t="n">
        <v>35.8333333333333</v>
      </c>
    </row>
    <row r="5531" customFormat="false" ht="15" hidden="false" customHeight="false" outlineLevel="0" collapsed="false">
      <c r="A5531" s="0" t="n">
        <v>5530</v>
      </c>
      <c r="B5531" s="18" t="n">
        <v>1548632.64376709</v>
      </c>
      <c r="C5531" s="18" t="n">
        <v>510155.987705777</v>
      </c>
      <c r="D5531" s="0" t="n">
        <v>1</v>
      </c>
    </row>
    <row r="5532" customFormat="false" ht="15" hidden="false" customHeight="false" outlineLevel="0" collapsed="false">
      <c r="A5532" s="0" t="n">
        <v>5531</v>
      </c>
      <c r="B5532" s="18" t="n">
        <v>1004689.71016877</v>
      </c>
      <c r="C5532" s="18" t="n">
        <v>357063.798094615</v>
      </c>
      <c r="D5532" s="0" t="n">
        <v>1</v>
      </c>
    </row>
    <row r="5533" customFormat="false" ht="15" hidden="false" customHeight="false" outlineLevel="0" collapsed="false">
      <c r="A5533" s="0" t="n">
        <v>5532</v>
      </c>
      <c r="B5533" s="18" t="n">
        <v>649080.277215487</v>
      </c>
      <c r="C5533" s="18" t="n">
        <v>0</v>
      </c>
      <c r="D5533" s="0" t="n">
        <v>0</v>
      </c>
      <c r="E5533" s="19" t="n">
        <v>47.25</v>
      </c>
    </row>
    <row r="5534" customFormat="false" ht="15" hidden="false" customHeight="false" outlineLevel="0" collapsed="false">
      <c r="A5534" s="0" t="n">
        <v>5533</v>
      </c>
      <c r="B5534" s="18" t="n">
        <v>713792.031786792</v>
      </c>
      <c r="C5534" s="18" t="n">
        <v>0</v>
      </c>
      <c r="D5534" s="0" t="n">
        <v>0</v>
      </c>
      <c r="E5534" s="19" t="n">
        <v>45.8333333333333</v>
      </c>
    </row>
    <row r="5535" customFormat="false" ht="15" hidden="false" customHeight="false" outlineLevel="0" collapsed="false">
      <c r="A5535" s="0" t="n">
        <v>5534</v>
      </c>
      <c r="B5535" s="18" t="n">
        <v>670458.751660698</v>
      </c>
      <c r="C5535" s="18" t="n">
        <v>0</v>
      </c>
      <c r="D5535" s="0" t="n">
        <v>0</v>
      </c>
      <c r="E5535" s="19" t="n">
        <v>39.25</v>
      </c>
    </row>
    <row r="5536" customFormat="false" ht="15" hidden="false" customHeight="false" outlineLevel="0" collapsed="false">
      <c r="A5536" s="0" t="n">
        <v>5535</v>
      </c>
      <c r="B5536" s="18" t="n">
        <v>300586.125714902</v>
      </c>
      <c r="C5536" s="18" t="n">
        <v>0</v>
      </c>
      <c r="D5536" s="0" t="n">
        <v>0</v>
      </c>
      <c r="E5536" s="19" t="n">
        <v>29.0833333333333</v>
      </c>
    </row>
    <row r="5537" customFormat="false" ht="15" hidden="false" customHeight="false" outlineLevel="0" collapsed="false">
      <c r="A5537" s="0" t="n">
        <v>5536</v>
      </c>
      <c r="B5537" s="18" t="n">
        <v>2196519.41050739</v>
      </c>
      <c r="C5537" s="18" t="n">
        <v>3518887.44002682</v>
      </c>
      <c r="D5537" s="0" t="n">
        <v>1</v>
      </c>
    </row>
    <row r="5538" customFormat="false" ht="15" hidden="false" customHeight="false" outlineLevel="0" collapsed="false">
      <c r="A5538" s="0" t="n">
        <v>5537</v>
      </c>
      <c r="B5538" s="18" t="n">
        <v>1066829.00808925</v>
      </c>
      <c r="C5538" s="18" t="n">
        <v>0</v>
      </c>
      <c r="D5538" s="0" t="n">
        <v>0</v>
      </c>
      <c r="E5538" s="19" t="n">
        <v>53.75</v>
      </c>
    </row>
    <row r="5539" customFormat="false" ht="15" hidden="false" customHeight="false" outlineLevel="0" collapsed="false">
      <c r="A5539" s="0" t="n">
        <v>5538</v>
      </c>
      <c r="B5539" s="18" t="n">
        <v>868444.956423308</v>
      </c>
      <c r="C5539" s="18" t="n">
        <v>11164696.4782482</v>
      </c>
      <c r="D5539" s="0" t="n">
        <v>1</v>
      </c>
    </row>
    <row r="5540" customFormat="false" ht="15" hidden="false" customHeight="false" outlineLevel="0" collapsed="false">
      <c r="A5540" s="0" t="n">
        <v>5539</v>
      </c>
      <c r="B5540" s="18" t="n">
        <v>567137.719994035</v>
      </c>
      <c r="C5540" s="18" t="n">
        <v>0</v>
      </c>
      <c r="D5540" s="0" t="n">
        <v>0</v>
      </c>
      <c r="E5540" s="19" t="n">
        <v>35.6666666666667</v>
      </c>
    </row>
    <row r="5541" customFormat="false" ht="15" hidden="false" customHeight="false" outlineLevel="0" collapsed="false">
      <c r="A5541" s="0" t="n">
        <v>5540</v>
      </c>
      <c r="B5541" s="18" t="n">
        <v>471513.208690804</v>
      </c>
      <c r="C5541" s="18" t="n">
        <v>0</v>
      </c>
      <c r="D5541" s="0" t="n">
        <v>0</v>
      </c>
      <c r="E5541" s="19" t="n">
        <v>32.8333333333333</v>
      </c>
    </row>
    <row r="5542" customFormat="false" ht="15" hidden="false" customHeight="false" outlineLevel="0" collapsed="false">
      <c r="A5542" s="0" t="n">
        <v>5541</v>
      </c>
      <c r="B5542" s="18" t="n">
        <v>513058.144366943</v>
      </c>
      <c r="C5542" s="18" t="n">
        <v>0</v>
      </c>
      <c r="D5542" s="0" t="n">
        <v>0</v>
      </c>
      <c r="E5542" s="19" t="n">
        <v>35.75</v>
      </c>
    </row>
    <row r="5543" customFormat="false" ht="15" hidden="false" customHeight="false" outlineLevel="0" collapsed="false">
      <c r="A5543" s="0" t="n">
        <v>5542</v>
      </c>
      <c r="B5543" s="18" t="n">
        <v>378749.2739651</v>
      </c>
      <c r="C5543" s="18" t="n">
        <v>0</v>
      </c>
      <c r="D5543" s="0" t="n">
        <v>0</v>
      </c>
      <c r="E5543" s="19" t="n">
        <v>31.5</v>
      </c>
    </row>
    <row r="5544" customFormat="false" ht="15" hidden="false" customHeight="false" outlineLevel="0" collapsed="false">
      <c r="A5544" s="0" t="n">
        <v>5543</v>
      </c>
      <c r="B5544" s="18" t="n">
        <v>2253739.54996996</v>
      </c>
      <c r="C5544" s="18" t="n">
        <v>2019789.58860278</v>
      </c>
      <c r="D5544" s="0" t="n">
        <v>1</v>
      </c>
    </row>
    <row r="5545" customFormat="false" ht="15" hidden="false" customHeight="false" outlineLevel="0" collapsed="false">
      <c r="A5545" s="0" t="n">
        <v>5544</v>
      </c>
      <c r="B5545" s="18" t="n">
        <v>668513.50876136</v>
      </c>
      <c r="C5545" s="18" t="n">
        <v>0</v>
      </c>
      <c r="D5545" s="0" t="n">
        <v>0</v>
      </c>
      <c r="E5545" s="19" t="n">
        <v>47</v>
      </c>
    </row>
    <row r="5546" customFormat="false" ht="15" hidden="false" customHeight="false" outlineLevel="0" collapsed="false">
      <c r="A5546" s="0" t="n">
        <v>5545</v>
      </c>
      <c r="B5546" s="18" t="n">
        <v>727176.746633516</v>
      </c>
      <c r="C5546" s="18" t="n">
        <v>0</v>
      </c>
      <c r="D5546" s="0" t="n">
        <v>0</v>
      </c>
      <c r="E5546" s="19" t="n">
        <v>41.9166666666667</v>
      </c>
    </row>
    <row r="5547" customFormat="false" ht="15" hidden="false" customHeight="false" outlineLevel="0" collapsed="false">
      <c r="A5547" s="0" t="n">
        <v>5546</v>
      </c>
      <c r="B5547" s="18" t="n">
        <v>660587.905246153</v>
      </c>
      <c r="C5547" s="18" t="n">
        <v>0</v>
      </c>
      <c r="D5547" s="0" t="n">
        <v>0</v>
      </c>
      <c r="E5547" s="19" t="n">
        <v>37.4166666666667</v>
      </c>
    </row>
    <row r="5548" customFormat="false" ht="15" hidden="false" customHeight="false" outlineLevel="0" collapsed="false">
      <c r="A5548" s="0" t="n">
        <v>5547</v>
      </c>
      <c r="B5548" s="18" t="n">
        <v>714942.408944547</v>
      </c>
      <c r="C5548" s="18" t="n">
        <v>0</v>
      </c>
      <c r="D5548" s="0" t="n">
        <v>0</v>
      </c>
      <c r="E5548" s="19" t="n">
        <v>37.5</v>
      </c>
    </row>
    <row r="5549" customFormat="false" ht="15" hidden="false" customHeight="false" outlineLevel="0" collapsed="false">
      <c r="A5549" s="0" t="n">
        <v>5548</v>
      </c>
      <c r="B5549" s="18" t="n">
        <v>1364886.10957215</v>
      </c>
      <c r="C5549" s="18" t="n">
        <v>5383786.23580287</v>
      </c>
      <c r="D5549" s="0" t="n">
        <v>1</v>
      </c>
    </row>
    <row r="5550" customFormat="false" ht="15" hidden="false" customHeight="false" outlineLevel="0" collapsed="false">
      <c r="A5550" s="0" t="n">
        <v>5549</v>
      </c>
      <c r="B5550" s="18" t="n">
        <v>1785493.69911012</v>
      </c>
      <c r="C5550" s="18" t="n">
        <v>1125007.82568118</v>
      </c>
      <c r="D5550" s="0" t="n">
        <v>1</v>
      </c>
    </row>
    <row r="5551" customFormat="false" ht="15" hidden="false" customHeight="false" outlineLevel="0" collapsed="false">
      <c r="A5551" s="0" t="n">
        <v>5550</v>
      </c>
      <c r="B5551" s="18" t="n">
        <v>966839.879448806</v>
      </c>
      <c r="C5551" s="18" t="n">
        <v>0</v>
      </c>
      <c r="D5551" s="0" t="n">
        <v>0</v>
      </c>
      <c r="E5551" s="19" t="n">
        <v>40</v>
      </c>
    </row>
    <row r="5552" customFormat="false" ht="15" hidden="false" customHeight="false" outlineLevel="0" collapsed="false">
      <c r="A5552" s="0" t="n">
        <v>5551</v>
      </c>
      <c r="B5552" s="18" t="n">
        <v>470421.237367777</v>
      </c>
      <c r="C5552" s="18" t="n">
        <v>0</v>
      </c>
      <c r="D5552" s="0" t="n">
        <v>0</v>
      </c>
      <c r="E5552" s="19" t="n">
        <v>35.4166666666667</v>
      </c>
    </row>
    <row r="5553" customFormat="false" ht="15" hidden="false" customHeight="false" outlineLevel="0" collapsed="false">
      <c r="A5553" s="0" t="n">
        <v>5552</v>
      </c>
      <c r="B5553" s="18" t="n">
        <v>789625.474567688</v>
      </c>
      <c r="C5553" s="18" t="n">
        <v>1938762.19195384</v>
      </c>
      <c r="D5553" s="0" t="n">
        <v>1</v>
      </c>
    </row>
    <row r="5554" customFormat="false" ht="15" hidden="false" customHeight="false" outlineLevel="0" collapsed="false">
      <c r="A5554" s="0" t="n">
        <v>5553</v>
      </c>
      <c r="B5554" s="18" t="n">
        <v>1302953.15378588</v>
      </c>
      <c r="C5554" s="18" t="n">
        <v>1680342.24103459</v>
      </c>
      <c r="D5554" s="0" t="n">
        <v>1</v>
      </c>
    </row>
    <row r="5555" customFormat="false" ht="15" hidden="false" customHeight="false" outlineLevel="0" collapsed="false">
      <c r="A5555" s="0" t="n">
        <v>5554</v>
      </c>
      <c r="B5555" s="18" t="n">
        <v>1067840.91933717</v>
      </c>
      <c r="C5555" s="18" t="n">
        <v>0</v>
      </c>
      <c r="D5555" s="0" t="n">
        <v>0</v>
      </c>
      <c r="E5555" s="19" t="n">
        <v>51.3333333333333</v>
      </c>
    </row>
    <row r="5556" customFormat="false" ht="15" hidden="false" customHeight="false" outlineLevel="0" collapsed="false">
      <c r="A5556" s="0" t="n">
        <v>5555</v>
      </c>
      <c r="B5556" s="18" t="n">
        <v>867599.958997353</v>
      </c>
      <c r="C5556" s="18" t="n">
        <v>379096.207531422</v>
      </c>
      <c r="D5556" s="0" t="n">
        <v>1</v>
      </c>
    </row>
    <row r="5557" customFormat="false" ht="15" hidden="false" customHeight="false" outlineLevel="0" collapsed="false">
      <c r="A5557" s="0" t="n">
        <v>5556</v>
      </c>
      <c r="B5557" s="18" t="n">
        <v>1952690.54479742</v>
      </c>
      <c r="C5557" s="18" t="n">
        <v>746013.345223588</v>
      </c>
      <c r="D5557" s="0" t="n">
        <v>1</v>
      </c>
    </row>
    <row r="5558" customFormat="false" ht="15" hidden="false" customHeight="false" outlineLevel="0" collapsed="false">
      <c r="A5558" s="0" t="n">
        <v>5557</v>
      </c>
      <c r="B5558" s="18" t="n">
        <v>559420.331382343</v>
      </c>
      <c r="C5558" s="18" t="n">
        <v>0</v>
      </c>
      <c r="D5558" s="0" t="n">
        <v>0</v>
      </c>
      <c r="E5558" s="19" t="n">
        <v>35.4166666666667</v>
      </c>
    </row>
    <row r="5559" customFormat="false" ht="15" hidden="false" customHeight="false" outlineLevel="0" collapsed="false">
      <c r="A5559" s="0" t="n">
        <v>5558</v>
      </c>
      <c r="B5559" s="18" t="n">
        <v>1915207.37542413</v>
      </c>
      <c r="C5559" s="18" t="n">
        <v>15026756.090501</v>
      </c>
      <c r="D5559" s="0" t="n">
        <v>1</v>
      </c>
    </row>
    <row r="5560" customFormat="false" ht="15" hidden="false" customHeight="false" outlineLevel="0" collapsed="false">
      <c r="A5560" s="0" t="n">
        <v>5559</v>
      </c>
      <c r="B5560" s="18" t="n">
        <v>734966.096721137</v>
      </c>
      <c r="C5560" s="18" t="n">
        <v>0</v>
      </c>
      <c r="D5560" s="0" t="n">
        <v>0</v>
      </c>
      <c r="E5560" s="19" t="n">
        <v>43.3333333333333</v>
      </c>
    </row>
    <row r="5561" customFormat="false" ht="15" hidden="false" customHeight="false" outlineLevel="0" collapsed="false">
      <c r="A5561" s="0" t="n">
        <v>5560</v>
      </c>
      <c r="B5561" s="18" t="n">
        <v>812649.222578109</v>
      </c>
      <c r="C5561" s="18" t="n">
        <v>0</v>
      </c>
      <c r="D5561" s="0" t="n">
        <v>0</v>
      </c>
      <c r="E5561" s="19" t="n">
        <v>35.4166666666667</v>
      </c>
    </row>
    <row r="5562" customFormat="false" ht="15" hidden="false" customHeight="false" outlineLevel="0" collapsed="false">
      <c r="A5562" s="0" t="n">
        <v>5561</v>
      </c>
      <c r="B5562" s="18" t="n">
        <v>1008331.14856521</v>
      </c>
      <c r="C5562" s="18" t="n">
        <v>0</v>
      </c>
      <c r="D5562" s="0" t="n">
        <v>0</v>
      </c>
      <c r="E5562" s="19" t="n">
        <v>45.5</v>
      </c>
    </row>
    <row r="5563" customFormat="false" ht="15" hidden="false" customHeight="false" outlineLevel="0" collapsed="false">
      <c r="A5563" s="0" t="n">
        <v>5562</v>
      </c>
      <c r="B5563" s="18" t="n">
        <v>1074323.16121016</v>
      </c>
      <c r="C5563" s="18" t="n">
        <v>0</v>
      </c>
      <c r="D5563" s="0" t="n">
        <v>0</v>
      </c>
      <c r="E5563" s="19" t="n">
        <v>40</v>
      </c>
    </row>
    <row r="5564" customFormat="false" ht="15" hidden="false" customHeight="false" outlineLevel="0" collapsed="false">
      <c r="A5564" s="0" t="n">
        <v>5563</v>
      </c>
      <c r="B5564" s="18" t="n">
        <v>759198.046987991</v>
      </c>
      <c r="C5564" s="18" t="n">
        <v>712222.376837843</v>
      </c>
      <c r="D5564" s="0" t="n">
        <v>1</v>
      </c>
    </row>
    <row r="5565" customFormat="false" ht="15" hidden="false" customHeight="false" outlineLevel="0" collapsed="false">
      <c r="A5565" s="0" t="n">
        <v>5564</v>
      </c>
      <c r="B5565" s="18" t="n">
        <v>1156349.33778133</v>
      </c>
      <c r="C5565" s="18" t="n">
        <v>0</v>
      </c>
      <c r="D5565" s="0" t="n">
        <v>0</v>
      </c>
      <c r="E5565" s="19" t="n">
        <v>46.1666666666667</v>
      </c>
    </row>
    <row r="5566" customFormat="false" ht="15" hidden="false" customHeight="false" outlineLevel="0" collapsed="false">
      <c r="A5566" s="0" t="n">
        <v>5565</v>
      </c>
      <c r="B5566" s="18" t="n">
        <v>613702.220518181</v>
      </c>
      <c r="C5566" s="18" t="n">
        <v>0</v>
      </c>
      <c r="D5566" s="0" t="n">
        <v>0</v>
      </c>
      <c r="E5566" s="19" t="n">
        <v>35.5833333333333</v>
      </c>
    </row>
    <row r="5567" customFormat="false" ht="15" hidden="false" customHeight="false" outlineLevel="0" collapsed="false">
      <c r="A5567" s="0" t="n">
        <v>5566</v>
      </c>
      <c r="B5567" s="18" t="n">
        <v>154459.776292717</v>
      </c>
      <c r="C5567" s="18" t="n">
        <v>0</v>
      </c>
      <c r="D5567" s="0" t="n">
        <v>0</v>
      </c>
      <c r="E5567" s="19" t="n">
        <v>28.25</v>
      </c>
    </row>
    <row r="5568" customFormat="false" ht="15" hidden="false" customHeight="false" outlineLevel="0" collapsed="false">
      <c r="A5568" s="0" t="n">
        <v>5567</v>
      </c>
      <c r="B5568" s="18" t="n">
        <v>700442.440315308</v>
      </c>
      <c r="C5568" s="18" t="n">
        <v>0</v>
      </c>
      <c r="D5568" s="0" t="n">
        <v>0</v>
      </c>
      <c r="E5568" s="19" t="n">
        <v>40.9166666666667</v>
      </c>
    </row>
    <row r="5569" customFormat="false" ht="15" hidden="false" customHeight="false" outlineLevel="0" collapsed="false">
      <c r="A5569" s="0" t="n">
        <v>5568</v>
      </c>
      <c r="B5569" s="18" t="n">
        <v>1636246.8570084</v>
      </c>
      <c r="C5569" s="18" t="n">
        <v>1627057.27465661</v>
      </c>
      <c r="D5569" s="0" t="n">
        <v>1</v>
      </c>
    </row>
    <row r="5570" customFormat="false" ht="15" hidden="false" customHeight="false" outlineLevel="0" collapsed="false">
      <c r="A5570" s="0" t="n">
        <v>5569</v>
      </c>
      <c r="B5570" s="18" t="n">
        <v>721965.569265193</v>
      </c>
      <c r="C5570" s="18" t="n">
        <v>0</v>
      </c>
      <c r="D5570" s="0" t="n">
        <v>0</v>
      </c>
      <c r="E5570" s="19" t="n">
        <v>37.25</v>
      </c>
    </row>
    <row r="5571" customFormat="false" ht="15" hidden="false" customHeight="false" outlineLevel="0" collapsed="false">
      <c r="A5571" s="0" t="n">
        <v>5570</v>
      </c>
      <c r="B5571" s="18" t="n">
        <v>667903.902569843</v>
      </c>
      <c r="C5571" s="18" t="n">
        <v>0</v>
      </c>
      <c r="D5571" s="0" t="n">
        <v>0</v>
      </c>
      <c r="E5571" s="19" t="n">
        <v>40.9166666666667</v>
      </c>
    </row>
    <row r="5572" customFormat="false" ht="15" hidden="false" customHeight="false" outlineLevel="0" collapsed="false">
      <c r="A5572" s="0" t="n">
        <v>5571</v>
      </c>
      <c r="B5572" s="18" t="n">
        <v>744393.882215069</v>
      </c>
      <c r="C5572" s="18" t="n">
        <v>0</v>
      </c>
      <c r="D5572" s="0" t="n">
        <v>0</v>
      </c>
      <c r="E5572" s="19" t="n">
        <v>39</v>
      </c>
    </row>
    <row r="5573" customFormat="false" ht="15" hidden="false" customHeight="false" outlineLevel="0" collapsed="false">
      <c r="A5573" s="0" t="n">
        <v>5572</v>
      </c>
      <c r="B5573" s="18" t="n">
        <v>824265.140390596</v>
      </c>
      <c r="C5573" s="18" t="n">
        <v>0</v>
      </c>
      <c r="D5573" s="0" t="n">
        <v>0</v>
      </c>
      <c r="E5573" s="19" t="n">
        <v>40</v>
      </c>
    </row>
    <row r="5574" customFormat="false" ht="15" hidden="false" customHeight="false" outlineLevel="0" collapsed="false">
      <c r="A5574" s="0" t="n">
        <v>5573</v>
      </c>
      <c r="B5574" s="18" t="n">
        <v>1088329.08163883</v>
      </c>
      <c r="C5574" s="18" t="n">
        <v>1360855.17768205</v>
      </c>
      <c r="D5574" s="0" t="n">
        <v>1</v>
      </c>
    </row>
    <row r="5575" customFormat="false" ht="15" hidden="false" customHeight="false" outlineLevel="0" collapsed="false">
      <c r="A5575" s="0" t="n">
        <v>5574</v>
      </c>
      <c r="B5575" s="18" t="n">
        <v>402823.122317096</v>
      </c>
      <c r="C5575" s="18" t="n">
        <v>0</v>
      </c>
      <c r="D5575" s="0" t="n">
        <v>0</v>
      </c>
      <c r="E5575" s="19" t="n">
        <v>31.4166666666667</v>
      </c>
    </row>
    <row r="5576" customFormat="false" ht="15" hidden="false" customHeight="false" outlineLevel="0" collapsed="false">
      <c r="A5576" s="0" t="n">
        <v>5575</v>
      </c>
      <c r="B5576" s="18" t="n">
        <v>466340.900711209</v>
      </c>
      <c r="C5576" s="18" t="n">
        <v>0</v>
      </c>
      <c r="D5576" s="0" t="n">
        <v>0</v>
      </c>
      <c r="E5576" s="19" t="n">
        <v>35.9166666666667</v>
      </c>
    </row>
    <row r="5577" customFormat="false" ht="15" hidden="false" customHeight="false" outlineLevel="0" collapsed="false">
      <c r="A5577" s="0" t="n">
        <v>5576</v>
      </c>
      <c r="B5577" s="18" t="n">
        <v>313960.093361652</v>
      </c>
      <c r="C5577" s="18" t="n">
        <v>0</v>
      </c>
      <c r="D5577" s="0" t="n">
        <v>0</v>
      </c>
      <c r="E5577" s="19" t="n">
        <v>33.5</v>
      </c>
    </row>
    <row r="5578" customFormat="false" ht="15" hidden="false" customHeight="false" outlineLevel="0" collapsed="false">
      <c r="A5578" s="0" t="n">
        <v>5577</v>
      </c>
      <c r="B5578" s="18" t="n">
        <v>1732076.61350043</v>
      </c>
      <c r="C5578" s="18" t="n">
        <v>2211688.22014405</v>
      </c>
      <c r="D5578" s="0" t="n">
        <v>1</v>
      </c>
    </row>
    <row r="5579" customFormat="false" ht="15" hidden="false" customHeight="false" outlineLevel="0" collapsed="false">
      <c r="A5579" s="0" t="n">
        <v>5578</v>
      </c>
      <c r="B5579" s="18" t="n">
        <v>595567.622528163</v>
      </c>
      <c r="C5579" s="18" t="n">
        <v>0</v>
      </c>
      <c r="D5579" s="0" t="n">
        <v>0</v>
      </c>
      <c r="E5579" s="19" t="n">
        <v>42.25</v>
      </c>
    </row>
    <row r="5580" customFormat="false" ht="15" hidden="false" customHeight="false" outlineLevel="0" collapsed="false">
      <c r="A5580" s="0" t="n">
        <v>5579</v>
      </c>
      <c r="B5580" s="18" t="n">
        <v>882682.750339728</v>
      </c>
      <c r="C5580" s="18" t="n">
        <v>0</v>
      </c>
      <c r="D5580" s="0" t="n">
        <v>0</v>
      </c>
      <c r="E5580" s="19" t="n">
        <v>41.75</v>
      </c>
    </row>
    <row r="5581" customFormat="false" ht="15" hidden="false" customHeight="false" outlineLevel="0" collapsed="false">
      <c r="A5581" s="0" t="n">
        <v>5580</v>
      </c>
      <c r="B5581" s="18" t="n">
        <v>1079206.52238433</v>
      </c>
      <c r="C5581" s="18" t="n">
        <v>2419017.78021789</v>
      </c>
      <c r="D5581" s="0" t="n">
        <v>1</v>
      </c>
    </row>
    <row r="5582" customFormat="false" ht="15" hidden="false" customHeight="false" outlineLevel="0" collapsed="false">
      <c r="A5582" s="0" t="n">
        <v>5581</v>
      </c>
      <c r="B5582" s="18" t="n">
        <v>473864.948208835</v>
      </c>
      <c r="C5582" s="18" t="n">
        <v>0</v>
      </c>
      <c r="D5582" s="0" t="n">
        <v>0</v>
      </c>
      <c r="E5582" s="19" t="n">
        <v>31.5</v>
      </c>
    </row>
    <row r="5583" customFormat="false" ht="15" hidden="false" customHeight="false" outlineLevel="0" collapsed="false">
      <c r="A5583" s="0" t="n">
        <v>5582</v>
      </c>
      <c r="B5583" s="18" t="n">
        <v>405508.612280057</v>
      </c>
      <c r="C5583" s="18" t="n">
        <v>0</v>
      </c>
      <c r="D5583" s="0" t="n">
        <v>0</v>
      </c>
      <c r="E5583" s="19" t="n">
        <v>32.0833333333333</v>
      </c>
    </row>
    <row r="5584" customFormat="false" ht="15" hidden="false" customHeight="false" outlineLevel="0" collapsed="false">
      <c r="A5584" s="0" t="n">
        <v>5583</v>
      </c>
      <c r="B5584" s="18" t="n">
        <v>1208776.51772489</v>
      </c>
      <c r="C5584" s="18" t="n">
        <v>1957595.83882003</v>
      </c>
      <c r="D5584" s="0" t="n">
        <v>1</v>
      </c>
    </row>
    <row r="5585" customFormat="false" ht="15" hidden="false" customHeight="false" outlineLevel="0" collapsed="false">
      <c r="A5585" s="0" t="n">
        <v>5584</v>
      </c>
      <c r="B5585" s="18" t="n">
        <v>374245.658530709</v>
      </c>
      <c r="C5585" s="18" t="n">
        <v>0</v>
      </c>
      <c r="D5585" s="0" t="n">
        <v>0</v>
      </c>
      <c r="E5585" s="19" t="n">
        <v>32.0833333333333</v>
      </c>
    </row>
    <row r="5586" customFormat="false" ht="15" hidden="false" customHeight="false" outlineLevel="0" collapsed="false">
      <c r="A5586" s="0" t="n">
        <v>5585</v>
      </c>
      <c r="B5586" s="18" t="n">
        <v>440042.273284809</v>
      </c>
      <c r="C5586" s="18" t="n">
        <v>0</v>
      </c>
      <c r="D5586" s="0" t="n">
        <v>0</v>
      </c>
      <c r="E5586" s="19" t="n">
        <v>34.75</v>
      </c>
    </row>
    <row r="5587" customFormat="false" ht="15" hidden="false" customHeight="false" outlineLevel="0" collapsed="false">
      <c r="A5587" s="0" t="n">
        <v>5586</v>
      </c>
      <c r="B5587" s="18" t="n">
        <v>388166.757750061</v>
      </c>
      <c r="C5587" s="18" t="n">
        <v>0</v>
      </c>
      <c r="D5587" s="0" t="n">
        <v>0</v>
      </c>
      <c r="E5587" s="19" t="n">
        <v>30.3333333333333</v>
      </c>
    </row>
    <row r="5588" customFormat="false" ht="15" hidden="false" customHeight="false" outlineLevel="0" collapsed="false">
      <c r="A5588" s="0" t="n">
        <v>5587</v>
      </c>
      <c r="B5588" s="18" t="n">
        <v>1792258.49657721</v>
      </c>
      <c r="C5588" s="18" t="n">
        <v>586026.10448227</v>
      </c>
      <c r="D5588" s="0" t="n">
        <v>1</v>
      </c>
    </row>
    <row r="5589" customFormat="false" ht="15" hidden="false" customHeight="false" outlineLevel="0" collapsed="false">
      <c r="A5589" s="0" t="n">
        <v>5588</v>
      </c>
      <c r="B5589" s="18" t="n">
        <v>1647071.56512728</v>
      </c>
      <c r="C5589" s="18" t="n">
        <v>1905974.7650866</v>
      </c>
      <c r="D5589" s="0" t="n">
        <v>1</v>
      </c>
    </row>
    <row r="5590" customFormat="false" ht="15" hidden="false" customHeight="false" outlineLevel="0" collapsed="false">
      <c r="A5590" s="0" t="n">
        <v>5589</v>
      </c>
      <c r="B5590" s="18" t="n">
        <v>1495541.24711253</v>
      </c>
      <c r="C5590" s="18" t="n">
        <v>1411390.09849629</v>
      </c>
      <c r="D5590" s="0" t="n">
        <v>1</v>
      </c>
    </row>
    <row r="5591" customFormat="false" ht="15" hidden="false" customHeight="false" outlineLevel="0" collapsed="false">
      <c r="A5591" s="0" t="n">
        <v>5590</v>
      </c>
      <c r="B5591" s="18" t="n">
        <v>1007976.61597603</v>
      </c>
      <c r="C5591" s="18" t="n">
        <v>0</v>
      </c>
      <c r="D5591" s="0" t="n">
        <v>0</v>
      </c>
      <c r="E5591" s="19" t="n">
        <v>41.8333333333333</v>
      </c>
    </row>
    <row r="5592" customFormat="false" ht="15" hidden="false" customHeight="false" outlineLevel="0" collapsed="false">
      <c r="A5592" s="0" t="n">
        <v>5591</v>
      </c>
      <c r="B5592" s="18" t="n">
        <v>1517471.73565511</v>
      </c>
      <c r="C5592" s="18" t="n">
        <v>740592.223224762</v>
      </c>
      <c r="D5592" s="0" t="n">
        <v>1</v>
      </c>
    </row>
    <row r="5593" customFormat="false" ht="15" hidden="false" customHeight="false" outlineLevel="0" collapsed="false">
      <c r="A5593" s="0" t="n">
        <v>5592</v>
      </c>
      <c r="B5593" s="18" t="n">
        <v>969280.684952242</v>
      </c>
      <c r="C5593" s="18" t="n">
        <v>0</v>
      </c>
      <c r="D5593" s="0" t="n">
        <v>0</v>
      </c>
      <c r="E5593" s="19" t="n">
        <v>43.3333333333333</v>
      </c>
    </row>
    <row r="5594" customFormat="false" ht="15" hidden="false" customHeight="false" outlineLevel="0" collapsed="false">
      <c r="A5594" s="0" t="n">
        <v>5593</v>
      </c>
      <c r="B5594" s="18" t="n">
        <v>2244878.58351955</v>
      </c>
      <c r="C5594" s="18" t="n">
        <v>39286066.9357623</v>
      </c>
      <c r="D5594" s="0" t="n">
        <v>1</v>
      </c>
    </row>
    <row r="5595" customFormat="false" ht="15" hidden="false" customHeight="false" outlineLevel="0" collapsed="false">
      <c r="A5595" s="0" t="n">
        <v>5594</v>
      </c>
      <c r="B5595" s="18" t="n">
        <v>1271064.55374124</v>
      </c>
      <c r="C5595" s="18" t="n">
        <v>798936.959861572</v>
      </c>
      <c r="D5595" s="0" t="n">
        <v>1</v>
      </c>
    </row>
    <row r="5596" customFormat="false" ht="15" hidden="false" customHeight="false" outlineLevel="0" collapsed="false">
      <c r="A5596" s="0" t="n">
        <v>5595</v>
      </c>
      <c r="B5596" s="18" t="n">
        <v>596206.8913819</v>
      </c>
      <c r="C5596" s="18" t="n">
        <v>0</v>
      </c>
      <c r="D5596" s="0" t="n">
        <v>0</v>
      </c>
      <c r="E5596" s="19" t="n">
        <v>33.75</v>
      </c>
    </row>
    <row r="5597" customFormat="false" ht="15" hidden="false" customHeight="false" outlineLevel="0" collapsed="false">
      <c r="A5597" s="0" t="n">
        <v>5596</v>
      </c>
      <c r="B5597" s="18" t="n">
        <v>1390244.49410453</v>
      </c>
      <c r="C5597" s="18" t="n">
        <v>0</v>
      </c>
      <c r="D5597" s="0" t="n">
        <v>0</v>
      </c>
      <c r="E5597" s="19" t="n">
        <v>47.8333333333333</v>
      </c>
    </row>
    <row r="5598" customFormat="false" ht="15" hidden="false" customHeight="false" outlineLevel="0" collapsed="false">
      <c r="A5598" s="0" t="n">
        <v>5597</v>
      </c>
      <c r="B5598" s="18" t="n">
        <v>394216.024031643</v>
      </c>
      <c r="C5598" s="18" t="n">
        <v>0</v>
      </c>
      <c r="D5598" s="0" t="n">
        <v>0</v>
      </c>
      <c r="E5598" s="19" t="n">
        <v>30.3333333333333</v>
      </c>
    </row>
    <row r="5599" customFormat="false" ht="15" hidden="false" customHeight="false" outlineLevel="0" collapsed="false">
      <c r="A5599" s="0" t="n">
        <v>5598</v>
      </c>
      <c r="B5599" s="18" t="n">
        <v>1032655.01882198</v>
      </c>
      <c r="C5599" s="18" t="n">
        <v>0</v>
      </c>
      <c r="D5599" s="0" t="n">
        <v>0</v>
      </c>
      <c r="E5599" s="19" t="n">
        <v>38.5833333333333</v>
      </c>
    </row>
    <row r="5600" customFormat="false" ht="15" hidden="false" customHeight="false" outlineLevel="0" collapsed="false">
      <c r="A5600" s="0" t="n">
        <v>5599</v>
      </c>
      <c r="B5600" s="18" t="n">
        <v>407536.671989034</v>
      </c>
      <c r="C5600" s="18" t="n">
        <v>0</v>
      </c>
      <c r="D5600" s="0" t="n">
        <v>0</v>
      </c>
      <c r="E5600" s="19" t="n">
        <v>32.3333333333333</v>
      </c>
    </row>
    <row r="5601" customFormat="false" ht="15" hidden="false" customHeight="false" outlineLevel="0" collapsed="false">
      <c r="A5601" s="0" t="n">
        <v>5600</v>
      </c>
      <c r="B5601" s="18" t="n">
        <v>2912133.75732308</v>
      </c>
      <c r="C5601" s="18" t="n">
        <v>35550681.0650815</v>
      </c>
      <c r="D5601" s="0" t="n">
        <v>1</v>
      </c>
    </row>
    <row r="5602" customFormat="false" ht="15" hidden="false" customHeight="false" outlineLevel="0" collapsed="false">
      <c r="A5602" s="0" t="n">
        <v>5601</v>
      </c>
      <c r="B5602" s="18" t="n">
        <v>285874.473336728</v>
      </c>
      <c r="C5602" s="18" t="n">
        <v>0</v>
      </c>
      <c r="D5602" s="0" t="n">
        <v>0</v>
      </c>
      <c r="E5602" s="19" t="n">
        <v>30</v>
      </c>
    </row>
    <row r="5603" customFormat="false" ht="15" hidden="false" customHeight="false" outlineLevel="0" collapsed="false">
      <c r="A5603" s="0" t="n">
        <v>5602</v>
      </c>
      <c r="B5603" s="18" t="n">
        <v>1031393.8403894</v>
      </c>
      <c r="C5603" s="18" t="n">
        <v>0</v>
      </c>
      <c r="D5603" s="0" t="n">
        <v>0</v>
      </c>
      <c r="E5603" s="19" t="n">
        <v>43.5833333333333</v>
      </c>
    </row>
    <row r="5604" customFormat="false" ht="15" hidden="false" customHeight="false" outlineLevel="0" collapsed="false">
      <c r="A5604" s="0" t="n">
        <v>5603</v>
      </c>
      <c r="B5604" s="18" t="n">
        <v>828322.523454939</v>
      </c>
      <c r="C5604" s="18" t="n">
        <v>0</v>
      </c>
      <c r="D5604" s="0" t="n">
        <v>0</v>
      </c>
      <c r="E5604" s="19" t="n">
        <v>35.4166666666667</v>
      </c>
    </row>
    <row r="5605" customFormat="false" ht="15" hidden="false" customHeight="false" outlineLevel="0" collapsed="false">
      <c r="A5605" s="0" t="n">
        <v>5604</v>
      </c>
      <c r="B5605" s="18" t="n">
        <v>1450633.02673553</v>
      </c>
      <c r="C5605" s="18" t="n">
        <v>0</v>
      </c>
      <c r="D5605" s="0" t="n">
        <v>0</v>
      </c>
      <c r="E5605" s="19" t="n">
        <v>41.75</v>
      </c>
    </row>
    <row r="5606" customFormat="false" ht="15" hidden="false" customHeight="false" outlineLevel="0" collapsed="false">
      <c r="A5606" s="0" t="n">
        <v>5605</v>
      </c>
      <c r="B5606" s="18" t="n">
        <v>1150069.45654517</v>
      </c>
      <c r="C5606" s="18" t="n">
        <v>10222291.647698</v>
      </c>
      <c r="D5606" s="0" t="n">
        <v>1</v>
      </c>
    </row>
    <row r="5607" customFormat="false" ht="15" hidden="false" customHeight="false" outlineLevel="0" collapsed="false">
      <c r="A5607" s="0" t="n">
        <v>5606</v>
      </c>
      <c r="B5607" s="18" t="n">
        <v>484007.166665665</v>
      </c>
      <c r="C5607" s="18" t="n">
        <v>0</v>
      </c>
      <c r="D5607" s="0" t="n">
        <v>0</v>
      </c>
      <c r="E5607" s="19" t="n">
        <v>34</v>
      </c>
    </row>
    <row r="5608" customFormat="false" ht="15" hidden="false" customHeight="false" outlineLevel="0" collapsed="false">
      <c r="A5608" s="0" t="n">
        <v>5607</v>
      </c>
      <c r="B5608" s="18" t="n">
        <v>1662679.57984346</v>
      </c>
      <c r="C5608" s="18" t="n">
        <v>0</v>
      </c>
      <c r="D5608" s="0" t="n">
        <v>0</v>
      </c>
      <c r="E5608" s="19" t="n">
        <v>43</v>
      </c>
    </row>
    <row r="5609" customFormat="false" ht="15" hidden="false" customHeight="false" outlineLevel="0" collapsed="false">
      <c r="A5609" s="0" t="n">
        <v>5608</v>
      </c>
      <c r="B5609" s="18" t="n">
        <v>2388550.43750582</v>
      </c>
      <c r="C5609" s="18" t="n">
        <v>5217900.87716248</v>
      </c>
      <c r="D5609" s="0" t="n">
        <v>1</v>
      </c>
    </row>
    <row r="5610" customFormat="false" ht="15" hidden="false" customHeight="false" outlineLevel="0" collapsed="false">
      <c r="A5610" s="0" t="n">
        <v>5609</v>
      </c>
      <c r="B5610" s="18" t="n">
        <v>655286.571317386</v>
      </c>
      <c r="C5610" s="18" t="n">
        <v>0</v>
      </c>
      <c r="D5610" s="0" t="n">
        <v>0</v>
      </c>
      <c r="E5610" s="19" t="n">
        <v>36.1666666666667</v>
      </c>
    </row>
    <row r="5611" customFormat="false" ht="15" hidden="false" customHeight="false" outlineLevel="0" collapsed="false">
      <c r="A5611" s="0" t="n">
        <v>5610</v>
      </c>
      <c r="B5611" s="18" t="n">
        <v>1772655.49824305</v>
      </c>
      <c r="C5611" s="18" t="n">
        <v>6736943.97355488</v>
      </c>
      <c r="D5611" s="0" t="n">
        <v>1</v>
      </c>
    </row>
    <row r="5612" customFormat="false" ht="15" hidden="false" customHeight="false" outlineLevel="0" collapsed="false">
      <c r="A5612" s="0" t="n">
        <v>5611</v>
      </c>
      <c r="B5612" s="18" t="n">
        <v>842600.619712472</v>
      </c>
      <c r="C5612" s="18" t="n">
        <v>0</v>
      </c>
      <c r="D5612" s="0" t="n">
        <v>0</v>
      </c>
      <c r="E5612" s="19" t="n">
        <v>41.4166666666667</v>
      </c>
    </row>
    <row r="5613" customFormat="false" ht="15" hidden="false" customHeight="false" outlineLevel="0" collapsed="false">
      <c r="A5613" s="0" t="n">
        <v>5612</v>
      </c>
      <c r="B5613" s="18" t="n">
        <v>1077777.3449878</v>
      </c>
      <c r="C5613" s="18" t="n">
        <v>410000.806583308</v>
      </c>
      <c r="D5613" s="0" t="n">
        <v>1</v>
      </c>
    </row>
    <row r="5614" customFormat="false" ht="15" hidden="false" customHeight="false" outlineLevel="0" collapsed="false">
      <c r="A5614" s="0" t="n">
        <v>5613</v>
      </c>
      <c r="B5614" s="18" t="n">
        <v>663364.824188068</v>
      </c>
      <c r="C5614" s="18" t="n">
        <v>0</v>
      </c>
      <c r="D5614" s="0" t="n">
        <v>0</v>
      </c>
      <c r="E5614" s="19" t="n">
        <v>38.5833333333333</v>
      </c>
    </row>
    <row r="5615" customFormat="false" ht="15" hidden="false" customHeight="false" outlineLevel="0" collapsed="false">
      <c r="A5615" s="0" t="n">
        <v>5614</v>
      </c>
      <c r="B5615" s="18" t="n">
        <v>387504.920582522</v>
      </c>
      <c r="C5615" s="18" t="n">
        <v>0</v>
      </c>
      <c r="D5615" s="0" t="n">
        <v>0</v>
      </c>
      <c r="E5615" s="19" t="n">
        <v>31.8333333333333</v>
      </c>
    </row>
    <row r="5616" customFormat="false" ht="15" hidden="false" customHeight="false" outlineLevel="0" collapsed="false">
      <c r="A5616" s="0" t="n">
        <v>5615</v>
      </c>
      <c r="B5616" s="18" t="n">
        <v>1288682.56012243</v>
      </c>
      <c r="C5616" s="18" t="n">
        <v>1029649.39271892</v>
      </c>
      <c r="D5616" s="0" t="n">
        <v>1</v>
      </c>
    </row>
    <row r="5617" customFormat="false" ht="15" hidden="false" customHeight="false" outlineLevel="0" collapsed="false">
      <c r="A5617" s="0" t="n">
        <v>5616</v>
      </c>
      <c r="B5617" s="18" t="n">
        <v>456501.681459348</v>
      </c>
      <c r="C5617" s="18" t="n">
        <v>0</v>
      </c>
      <c r="D5617" s="0" t="n">
        <v>0</v>
      </c>
      <c r="E5617" s="19" t="n">
        <v>33.0833333333333</v>
      </c>
    </row>
    <row r="5618" customFormat="false" ht="15" hidden="false" customHeight="false" outlineLevel="0" collapsed="false">
      <c r="A5618" s="0" t="n">
        <v>5617</v>
      </c>
      <c r="B5618" s="18" t="n">
        <v>760282.597937288</v>
      </c>
      <c r="C5618" s="18" t="n">
        <v>0</v>
      </c>
      <c r="D5618" s="0" t="n">
        <v>0</v>
      </c>
      <c r="E5618" s="19" t="n">
        <v>40.6666666666667</v>
      </c>
    </row>
    <row r="5619" customFormat="false" ht="15" hidden="false" customHeight="false" outlineLevel="0" collapsed="false">
      <c r="A5619" s="0" t="n">
        <v>5618</v>
      </c>
      <c r="B5619" s="18" t="n">
        <v>518785.677020114</v>
      </c>
      <c r="C5619" s="18" t="n">
        <v>0</v>
      </c>
      <c r="D5619" s="0" t="n">
        <v>0</v>
      </c>
      <c r="E5619" s="19" t="n">
        <v>38.8333333333333</v>
      </c>
    </row>
    <row r="5620" customFormat="false" ht="15" hidden="false" customHeight="false" outlineLevel="0" collapsed="false">
      <c r="A5620" s="0" t="n">
        <v>5619</v>
      </c>
      <c r="B5620" s="18" t="n">
        <v>1477677.2005662</v>
      </c>
      <c r="C5620" s="18" t="n">
        <v>3170739.47151464</v>
      </c>
      <c r="D5620" s="0" t="n">
        <v>1</v>
      </c>
    </row>
    <row r="5621" customFormat="false" ht="15" hidden="false" customHeight="false" outlineLevel="0" collapsed="false">
      <c r="A5621" s="0" t="n">
        <v>5620</v>
      </c>
      <c r="B5621" s="18" t="n">
        <v>842862.126621499</v>
      </c>
      <c r="C5621" s="18" t="n">
        <v>0</v>
      </c>
      <c r="D5621" s="0" t="n">
        <v>0</v>
      </c>
      <c r="E5621" s="19" t="n">
        <v>49.25</v>
      </c>
    </row>
    <row r="5622" customFormat="false" ht="15" hidden="false" customHeight="false" outlineLevel="0" collapsed="false">
      <c r="A5622" s="0" t="n">
        <v>5621</v>
      </c>
      <c r="B5622" s="18" t="n">
        <v>801442.483317449</v>
      </c>
      <c r="C5622" s="18" t="n">
        <v>0</v>
      </c>
      <c r="D5622" s="0" t="n">
        <v>0</v>
      </c>
      <c r="E5622" s="19" t="n">
        <v>43</v>
      </c>
    </row>
    <row r="5623" customFormat="false" ht="15" hidden="false" customHeight="false" outlineLevel="0" collapsed="false">
      <c r="A5623" s="0" t="n">
        <v>5622</v>
      </c>
      <c r="B5623" s="18" t="n">
        <v>2192364.96547208</v>
      </c>
      <c r="C5623" s="18" t="n">
        <v>3138187.08165393</v>
      </c>
      <c r="D5623" s="0" t="n">
        <v>1</v>
      </c>
    </row>
    <row r="5624" customFormat="false" ht="15" hidden="false" customHeight="false" outlineLevel="0" collapsed="false">
      <c r="A5624" s="0" t="n">
        <v>5623</v>
      </c>
      <c r="B5624" s="18" t="n">
        <v>1195070.50735266</v>
      </c>
      <c r="C5624" s="18" t="n">
        <v>0</v>
      </c>
      <c r="D5624" s="0" t="n">
        <v>0</v>
      </c>
      <c r="E5624" s="19" t="n">
        <v>52.75</v>
      </c>
    </row>
    <row r="5625" customFormat="false" ht="15" hidden="false" customHeight="false" outlineLevel="0" collapsed="false">
      <c r="A5625" s="0" t="n">
        <v>5624</v>
      </c>
      <c r="B5625" s="18" t="n">
        <v>865405.282240291</v>
      </c>
      <c r="C5625" s="18" t="n">
        <v>0</v>
      </c>
      <c r="D5625" s="0" t="n">
        <v>0</v>
      </c>
      <c r="E5625" s="19" t="n">
        <v>39.3333333333333</v>
      </c>
    </row>
    <row r="5626" customFormat="false" ht="15" hidden="false" customHeight="false" outlineLevel="0" collapsed="false">
      <c r="A5626" s="0" t="n">
        <v>5625</v>
      </c>
      <c r="B5626" s="18" t="n">
        <v>498195.198501226</v>
      </c>
      <c r="C5626" s="18" t="n">
        <v>0</v>
      </c>
      <c r="D5626" s="0" t="n">
        <v>0</v>
      </c>
      <c r="E5626" s="19" t="n">
        <v>31.8333333333333</v>
      </c>
    </row>
    <row r="5627" customFormat="false" ht="15" hidden="false" customHeight="false" outlineLevel="0" collapsed="false">
      <c r="A5627" s="0" t="n">
        <v>5626</v>
      </c>
      <c r="B5627" s="18" t="n">
        <v>728819.127142634</v>
      </c>
      <c r="C5627" s="18" t="n">
        <v>0</v>
      </c>
      <c r="D5627" s="0" t="n">
        <v>0</v>
      </c>
      <c r="E5627" s="19" t="n">
        <v>35.25</v>
      </c>
    </row>
    <row r="5628" customFormat="false" ht="15" hidden="false" customHeight="false" outlineLevel="0" collapsed="false">
      <c r="A5628" s="0" t="n">
        <v>5627</v>
      </c>
      <c r="B5628" s="18" t="n">
        <v>1595984.34680186</v>
      </c>
      <c r="C5628" s="18" t="n">
        <v>146901.659487401</v>
      </c>
      <c r="D5628" s="0" t="n">
        <v>1</v>
      </c>
    </row>
    <row r="5629" customFormat="false" ht="15" hidden="false" customHeight="false" outlineLevel="0" collapsed="false">
      <c r="A5629" s="0" t="n">
        <v>5628</v>
      </c>
      <c r="B5629" s="18" t="n">
        <v>839625.245534914</v>
      </c>
      <c r="C5629" s="18" t="n">
        <v>0</v>
      </c>
      <c r="D5629" s="0" t="n">
        <v>0</v>
      </c>
      <c r="E5629" s="19" t="n">
        <v>44.8333333333333</v>
      </c>
    </row>
    <row r="5630" customFormat="false" ht="15" hidden="false" customHeight="false" outlineLevel="0" collapsed="false">
      <c r="A5630" s="0" t="n">
        <v>5629</v>
      </c>
      <c r="B5630" s="18" t="n">
        <v>1180148.65294152</v>
      </c>
      <c r="C5630" s="18" t="n">
        <v>0</v>
      </c>
      <c r="D5630" s="0" t="n">
        <v>0</v>
      </c>
      <c r="E5630" s="19" t="n">
        <v>50.4166666666667</v>
      </c>
    </row>
    <row r="5631" customFormat="false" ht="15" hidden="false" customHeight="false" outlineLevel="0" collapsed="false">
      <c r="A5631" s="0" t="n">
        <v>5630</v>
      </c>
      <c r="B5631" s="18" t="n">
        <v>472067.293616859</v>
      </c>
      <c r="C5631" s="18" t="n">
        <v>0</v>
      </c>
      <c r="D5631" s="0" t="n">
        <v>0</v>
      </c>
      <c r="E5631" s="19" t="n">
        <v>35.8333333333333</v>
      </c>
    </row>
    <row r="5632" customFormat="false" ht="15" hidden="false" customHeight="false" outlineLevel="0" collapsed="false">
      <c r="A5632" s="0" t="n">
        <v>5631</v>
      </c>
      <c r="B5632" s="18" t="n">
        <v>245849.969667622</v>
      </c>
      <c r="C5632" s="18" t="n">
        <v>0</v>
      </c>
      <c r="D5632" s="0" t="n">
        <v>0</v>
      </c>
      <c r="E5632" s="19" t="n">
        <v>29.6666666666667</v>
      </c>
    </row>
    <row r="5633" customFormat="false" ht="15" hidden="false" customHeight="false" outlineLevel="0" collapsed="false">
      <c r="A5633" s="0" t="n">
        <v>5632</v>
      </c>
      <c r="B5633" s="18" t="n">
        <v>624779.573150259</v>
      </c>
      <c r="C5633" s="18" t="n">
        <v>0</v>
      </c>
      <c r="D5633" s="0" t="n">
        <v>0</v>
      </c>
      <c r="E5633" s="19" t="n">
        <v>44.25</v>
      </c>
    </row>
    <row r="5634" customFormat="false" ht="15" hidden="false" customHeight="false" outlineLevel="0" collapsed="false">
      <c r="A5634" s="0" t="n">
        <v>5633</v>
      </c>
      <c r="B5634" s="18" t="n">
        <v>1843384.30988861</v>
      </c>
      <c r="C5634" s="18" t="n">
        <v>8116632.64773616</v>
      </c>
      <c r="D5634" s="0" t="n">
        <v>1</v>
      </c>
    </row>
    <row r="5635" customFormat="false" ht="15" hidden="false" customHeight="false" outlineLevel="0" collapsed="false">
      <c r="A5635" s="0" t="n">
        <v>5634</v>
      </c>
      <c r="B5635" s="18" t="n">
        <v>1009252.70394267</v>
      </c>
      <c r="C5635" s="18" t="n">
        <v>9851316.82941642</v>
      </c>
      <c r="D5635" s="0" t="n">
        <v>1</v>
      </c>
    </row>
    <row r="5636" customFormat="false" ht="15" hidden="false" customHeight="false" outlineLevel="0" collapsed="false">
      <c r="A5636" s="0" t="n">
        <v>5635</v>
      </c>
      <c r="B5636" s="18" t="n">
        <v>1799138.04898343</v>
      </c>
      <c r="C5636" s="18" t="n">
        <v>11354342.8565711</v>
      </c>
      <c r="D5636" s="0" t="n">
        <v>1</v>
      </c>
    </row>
    <row r="5637" customFormat="false" ht="15" hidden="false" customHeight="false" outlineLevel="0" collapsed="false">
      <c r="A5637" s="0" t="n">
        <v>5636</v>
      </c>
      <c r="B5637" s="18" t="n">
        <v>331178.43387169</v>
      </c>
      <c r="C5637" s="18" t="n">
        <v>0</v>
      </c>
      <c r="D5637" s="0" t="n">
        <v>0</v>
      </c>
      <c r="E5637" s="19" t="n">
        <v>31.9166666666667</v>
      </c>
    </row>
    <row r="5638" customFormat="false" ht="15" hidden="false" customHeight="false" outlineLevel="0" collapsed="false">
      <c r="A5638" s="0" t="n">
        <v>5637</v>
      </c>
      <c r="B5638" s="18" t="n">
        <v>594597.405058352</v>
      </c>
      <c r="C5638" s="18" t="n">
        <v>0</v>
      </c>
      <c r="D5638" s="0" t="n">
        <v>0</v>
      </c>
      <c r="E5638" s="19" t="n">
        <v>39.1666666666667</v>
      </c>
    </row>
    <row r="5639" customFormat="false" ht="15" hidden="false" customHeight="false" outlineLevel="0" collapsed="false">
      <c r="A5639" s="0" t="n">
        <v>5638</v>
      </c>
      <c r="B5639" s="18" t="n">
        <v>1599194.61180076</v>
      </c>
      <c r="C5639" s="18" t="n">
        <v>3164385.50769943</v>
      </c>
      <c r="D5639" s="0" t="n">
        <v>1</v>
      </c>
    </row>
    <row r="5640" customFormat="false" ht="15" hidden="false" customHeight="false" outlineLevel="0" collapsed="false">
      <c r="A5640" s="0" t="n">
        <v>5639</v>
      </c>
      <c r="B5640" s="18" t="n">
        <v>916198.410522516</v>
      </c>
      <c r="C5640" s="18" t="n">
        <v>0</v>
      </c>
      <c r="D5640" s="0" t="n">
        <v>0</v>
      </c>
      <c r="E5640" s="19" t="n">
        <v>39.4166666666667</v>
      </c>
    </row>
    <row r="5641" customFormat="false" ht="15" hidden="false" customHeight="false" outlineLevel="0" collapsed="false">
      <c r="A5641" s="0" t="n">
        <v>5640</v>
      </c>
      <c r="B5641" s="18" t="n">
        <v>903402.847041549</v>
      </c>
      <c r="C5641" s="18" t="n">
        <v>603180.764496682</v>
      </c>
      <c r="D5641" s="0" t="n">
        <v>1</v>
      </c>
    </row>
    <row r="5642" customFormat="false" ht="15" hidden="false" customHeight="false" outlineLevel="0" collapsed="false">
      <c r="A5642" s="0" t="n">
        <v>5641</v>
      </c>
      <c r="B5642" s="18" t="n">
        <v>1823795.33489916</v>
      </c>
      <c r="C5642" s="18" t="n">
        <v>4051400.70330611</v>
      </c>
      <c r="D5642" s="0" t="n">
        <v>1</v>
      </c>
    </row>
    <row r="5643" customFormat="false" ht="15" hidden="false" customHeight="false" outlineLevel="0" collapsed="false">
      <c r="A5643" s="0" t="n">
        <v>5642</v>
      </c>
      <c r="B5643" s="18" t="n">
        <v>1552216.57104424</v>
      </c>
      <c r="C5643" s="18" t="n">
        <v>0</v>
      </c>
      <c r="D5643" s="0" t="n">
        <v>0</v>
      </c>
      <c r="E5643" s="19" t="n">
        <v>46.9166666666667</v>
      </c>
    </row>
    <row r="5644" customFormat="false" ht="15" hidden="false" customHeight="false" outlineLevel="0" collapsed="false">
      <c r="A5644" s="0" t="n">
        <v>5643</v>
      </c>
      <c r="B5644" s="18" t="n">
        <v>181196.737015265</v>
      </c>
      <c r="C5644" s="18" t="n">
        <v>0</v>
      </c>
      <c r="D5644" s="0" t="n">
        <v>0</v>
      </c>
      <c r="E5644" s="19" t="n">
        <v>28</v>
      </c>
    </row>
    <row r="5645" customFormat="false" ht="15" hidden="false" customHeight="false" outlineLevel="0" collapsed="false">
      <c r="A5645" s="0" t="n">
        <v>5644</v>
      </c>
      <c r="B5645" s="18" t="n">
        <v>1938585.40645597</v>
      </c>
      <c r="C5645" s="18" t="n">
        <v>0</v>
      </c>
      <c r="D5645" s="0" t="n">
        <v>0</v>
      </c>
      <c r="E5645" s="19" t="n">
        <v>54.8333333333333</v>
      </c>
    </row>
    <row r="5646" customFormat="false" ht="15" hidden="false" customHeight="false" outlineLevel="0" collapsed="false">
      <c r="A5646" s="0" t="n">
        <v>5645</v>
      </c>
      <c r="B5646" s="18" t="n">
        <v>356063.372342642</v>
      </c>
      <c r="C5646" s="18" t="n">
        <v>0</v>
      </c>
      <c r="D5646" s="0" t="n">
        <v>0</v>
      </c>
      <c r="E5646" s="19" t="n">
        <v>32.8333333333333</v>
      </c>
    </row>
    <row r="5647" customFormat="false" ht="15" hidden="false" customHeight="false" outlineLevel="0" collapsed="false">
      <c r="A5647" s="0" t="n">
        <v>5646</v>
      </c>
      <c r="B5647" s="18" t="n">
        <v>733973.77507152</v>
      </c>
      <c r="C5647" s="18" t="n">
        <v>0</v>
      </c>
      <c r="D5647" s="0" t="n">
        <v>0</v>
      </c>
      <c r="E5647" s="19" t="n">
        <v>38.9166666666667</v>
      </c>
    </row>
    <row r="5648" customFormat="false" ht="15" hidden="false" customHeight="false" outlineLevel="0" collapsed="false">
      <c r="A5648" s="0" t="n">
        <v>5647</v>
      </c>
      <c r="B5648" s="18" t="n">
        <v>889208.158899822</v>
      </c>
      <c r="C5648" s="18" t="n">
        <v>0</v>
      </c>
      <c r="D5648" s="0" t="n">
        <v>0</v>
      </c>
      <c r="E5648" s="19" t="n">
        <v>40.25</v>
      </c>
    </row>
    <row r="5649" customFormat="false" ht="15" hidden="false" customHeight="false" outlineLevel="0" collapsed="false">
      <c r="A5649" s="0" t="n">
        <v>5648</v>
      </c>
      <c r="B5649" s="18" t="n">
        <v>1078870.30144417</v>
      </c>
      <c r="C5649" s="18" t="n">
        <v>4730357.57145893</v>
      </c>
      <c r="D5649" s="0" t="n">
        <v>1</v>
      </c>
    </row>
    <row r="5650" customFormat="false" ht="15" hidden="false" customHeight="false" outlineLevel="0" collapsed="false">
      <c r="A5650" s="0" t="n">
        <v>5649</v>
      </c>
      <c r="B5650" s="18" t="n">
        <v>522384.701361309</v>
      </c>
      <c r="C5650" s="18" t="n">
        <v>0</v>
      </c>
      <c r="D5650" s="0" t="n">
        <v>0</v>
      </c>
      <c r="E5650" s="19" t="n">
        <v>39.75</v>
      </c>
    </row>
    <row r="5651" customFormat="false" ht="15" hidden="false" customHeight="false" outlineLevel="0" collapsed="false">
      <c r="A5651" s="0" t="n">
        <v>5650</v>
      </c>
      <c r="B5651" s="18" t="n">
        <v>1359600.12425926</v>
      </c>
      <c r="C5651" s="18" t="n">
        <v>0</v>
      </c>
      <c r="D5651" s="0" t="n">
        <v>0</v>
      </c>
      <c r="E5651" s="19" t="n">
        <v>46.0833333333333</v>
      </c>
    </row>
    <row r="5652" customFormat="false" ht="15" hidden="false" customHeight="false" outlineLevel="0" collapsed="false">
      <c r="A5652" s="0" t="n">
        <v>5651</v>
      </c>
      <c r="B5652" s="18" t="n">
        <v>831326.014568875</v>
      </c>
      <c r="C5652" s="18" t="n">
        <v>618977.19086004</v>
      </c>
      <c r="D5652" s="0" t="n">
        <v>1</v>
      </c>
    </row>
    <row r="5653" customFormat="false" ht="15" hidden="false" customHeight="false" outlineLevel="0" collapsed="false">
      <c r="A5653" s="0" t="n">
        <v>5652</v>
      </c>
      <c r="B5653" s="18" t="n">
        <v>830538.926669513</v>
      </c>
      <c r="C5653" s="18" t="n">
        <v>0</v>
      </c>
      <c r="D5653" s="0" t="n">
        <v>0</v>
      </c>
      <c r="E5653" s="19" t="n">
        <v>36.25</v>
      </c>
    </row>
    <row r="5654" customFormat="false" ht="15" hidden="false" customHeight="false" outlineLevel="0" collapsed="false">
      <c r="A5654" s="0" t="n">
        <v>5653</v>
      </c>
      <c r="B5654" s="18" t="n">
        <v>745236.703932404</v>
      </c>
      <c r="C5654" s="18" t="n">
        <v>0</v>
      </c>
      <c r="D5654" s="0" t="n">
        <v>0</v>
      </c>
      <c r="E5654" s="19" t="n">
        <v>39.0833333333333</v>
      </c>
    </row>
    <row r="5655" customFormat="false" ht="15" hidden="false" customHeight="false" outlineLevel="0" collapsed="false">
      <c r="A5655" s="0" t="n">
        <v>5654</v>
      </c>
      <c r="B5655" s="18" t="n">
        <v>912662.714208781</v>
      </c>
      <c r="C5655" s="18" t="n">
        <v>0</v>
      </c>
      <c r="D5655" s="0" t="n">
        <v>0</v>
      </c>
      <c r="E5655" s="19" t="n">
        <v>41.5833333333333</v>
      </c>
    </row>
    <row r="5656" customFormat="false" ht="15" hidden="false" customHeight="false" outlineLevel="0" collapsed="false">
      <c r="A5656" s="0" t="n">
        <v>5655</v>
      </c>
      <c r="B5656" s="18" t="n">
        <v>516664.147795473</v>
      </c>
      <c r="C5656" s="18" t="n">
        <v>0</v>
      </c>
      <c r="D5656" s="0" t="n">
        <v>0</v>
      </c>
      <c r="E5656" s="19" t="n">
        <v>36.0833333333333</v>
      </c>
    </row>
    <row r="5657" customFormat="false" ht="15" hidden="false" customHeight="false" outlineLevel="0" collapsed="false">
      <c r="A5657" s="0" t="n">
        <v>5656</v>
      </c>
      <c r="B5657" s="18" t="n">
        <v>1097449.69437834</v>
      </c>
      <c r="C5657" s="18" t="n">
        <v>0</v>
      </c>
      <c r="D5657" s="0" t="n">
        <v>0</v>
      </c>
      <c r="E5657" s="19" t="n">
        <v>43.8333333333333</v>
      </c>
    </row>
    <row r="5658" customFormat="false" ht="15" hidden="false" customHeight="false" outlineLevel="0" collapsed="false">
      <c r="A5658" s="0" t="n">
        <v>5657</v>
      </c>
      <c r="B5658" s="18" t="n">
        <v>551419.004259916</v>
      </c>
      <c r="C5658" s="18" t="n">
        <v>0</v>
      </c>
      <c r="D5658" s="0" t="n">
        <v>0</v>
      </c>
      <c r="E5658" s="19" t="n">
        <v>34</v>
      </c>
    </row>
    <row r="5659" customFormat="false" ht="15" hidden="false" customHeight="false" outlineLevel="0" collapsed="false">
      <c r="A5659" s="0" t="n">
        <v>5658</v>
      </c>
      <c r="B5659" s="18" t="n">
        <v>548903.555362628</v>
      </c>
      <c r="C5659" s="18" t="n">
        <v>0</v>
      </c>
      <c r="D5659" s="0" t="n">
        <v>0</v>
      </c>
      <c r="E5659" s="19" t="n">
        <v>31.5</v>
      </c>
    </row>
    <row r="5660" customFormat="false" ht="15" hidden="false" customHeight="false" outlineLevel="0" collapsed="false">
      <c r="A5660" s="0" t="n">
        <v>5659</v>
      </c>
      <c r="B5660" s="18" t="n">
        <v>1062324.04043883</v>
      </c>
      <c r="C5660" s="18" t="n">
        <v>0</v>
      </c>
      <c r="D5660" s="0" t="n">
        <v>0</v>
      </c>
      <c r="E5660" s="19" t="n">
        <v>48.3333333333333</v>
      </c>
    </row>
    <row r="5661" customFormat="false" ht="15" hidden="false" customHeight="false" outlineLevel="0" collapsed="false">
      <c r="A5661" s="0" t="n">
        <v>5660</v>
      </c>
      <c r="B5661" s="18" t="n">
        <v>447316.045028471</v>
      </c>
      <c r="C5661" s="18" t="n">
        <v>0</v>
      </c>
      <c r="D5661" s="0" t="n">
        <v>0</v>
      </c>
      <c r="E5661" s="19" t="n">
        <v>34.0833333333333</v>
      </c>
    </row>
    <row r="5662" customFormat="false" ht="15" hidden="false" customHeight="false" outlineLevel="0" collapsed="false">
      <c r="A5662" s="0" t="n">
        <v>5661</v>
      </c>
      <c r="B5662" s="18" t="n">
        <v>1576332.80507993</v>
      </c>
      <c r="C5662" s="18" t="n">
        <v>457560.193628176</v>
      </c>
      <c r="D5662" s="0" t="n">
        <v>1</v>
      </c>
    </row>
    <row r="5663" customFormat="false" ht="15" hidden="false" customHeight="false" outlineLevel="0" collapsed="false">
      <c r="A5663" s="0" t="n">
        <v>5662</v>
      </c>
      <c r="B5663" s="18" t="n">
        <v>1372300.94565617</v>
      </c>
      <c r="C5663" s="18" t="n">
        <v>2751831.11746781</v>
      </c>
      <c r="D5663" s="0" t="n">
        <v>1</v>
      </c>
    </row>
    <row r="5664" customFormat="false" ht="15" hidden="false" customHeight="false" outlineLevel="0" collapsed="false">
      <c r="A5664" s="0" t="n">
        <v>5663</v>
      </c>
      <c r="B5664" s="18" t="n">
        <v>1793599.51627185</v>
      </c>
      <c r="C5664" s="18" t="n">
        <v>887159.76594989</v>
      </c>
      <c r="D5664" s="0" t="n">
        <v>1</v>
      </c>
    </row>
    <row r="5665" customFormat="false" ht="15" hidden="false" customHeight="false" outlineLevel="0" collapsed="false">
      <c r="A5665" s="0" t="n">
        <v>5664</v>
      </c>
      <c r="B5665" s="18" t="n">
        <v>1799658.48087784</v>
      </c>
      <c r="C5665" s="18" t="n">
        <v>0</v>
      </c>
      <c r="D5665" s="0" t="n">
        <v>0</v>
      </c>
      <c r="E5665" s="19" t="n">
        <v>41.75</v>
      </c>
    </row>
    <row r="5666" customFormat="false" ht="15" hidden="false" customHeight="false" outlineLevel="0" collapsed="false">
      <c r="A5666" s="0" t="n">
        <v>5665</v>
      </c>
      <c r="B5666" s="18" t="n">
        <v>842168.588861874</v>
      </c>
      <c r="C5666" s="18" t="n">
        <v>0</v>
      </c>
      <c r="D5666" s="0" t="n">
        <v>0</v>
      </c>
      <c r="E5666" s="19" t="n">
        <v>41.75</v>
      </c>
    </row>
    <row r="5667" customFormat="false" ht="15" hidden="false" customHeight="false" outlineLevel="0" collapsed="false">
      <c r="A5667" s="0" t="n">
        <v>5666</v>
      </c>
      <c r="B5667" s="18" t="n">
        <v>1217548.60532217</v>
      </c>
      <c r="C5667" s="18" t="n">
        <v>3192770.64618804</v>
      </c>
      <c r="D5667" s="0" t="n">
        <v>1</v>
      </c>
    </row>
    <row r="5668" customFormat="false" ht="15" hidden="false" customHeight="false" outlineLevel="0" collapsed="false">
      <c r="A5668" s="0" t="n">
        <v>5667</v>
      </c>
      <c r="B5668" s="18" t="n">
        <v>775391.485973288</v>
      </c>
      <c r="C5668" s="18" t="n">
        <v>0</v>
      </c>
      <c r="D5668" s="0" t="n">
        <v>0</v>
      </c>
      <c r="E5668" s="19" t="n">
        <v>41.25</v>
      </c>
    </row>
    <row r="5669" customFormat="false" ht="15" hidden="false" customHeight="false" outlineLevel="0" collapsed="false">
      <c r="A5669" s="0" t="n">
        <v>5668</v>
      </c>
      <c r="B5669" s="18" t="n">
        <v>3147388.86889231</v>
      </c>
      <c r="C5669" s="18" t="n">
        <v>7287747.91227633</v>
      </c>
      <c r="D5669" s="0" t="n">
        <v>1</v>
      </c>
    </row>
    <row r="5670" customFormat="false" ht="15" hidden="false" customHeight="false" outlineLevel="0" collapsed="false">
      <c r="A5670" s="0" t="n">
        <v>5669</v>
      </c>
      <c r="B5670" s="18" t="n">
        <v>767344.375141374</v>
      </c>
      <c r="C5670" s="18" t="n">
        <v>0</v>
      </c>
      <c r="D5670" s="0" t="n">
        <v>0</v>
      </c>
      <c r="E5670" s="19" t="n">
        <v>43.75</v>
      </c>
    </row>
    <row r="5671" customFormat="false" ht="15" hidden="false" customHeight="false" outlineLevel="0" collapsed="false">
      <c r="A5671" s="0" t="n">
        <v>5670</v>
      </c>
      <c r="B5671" s="18" t="n">
        <v>1388032.50697106</v>
      </c>
      <c r="C5671" s="18" t="n">
        <v>0</v>
      </c>
      <c r="D5671" s="0" t="n">
        <v>0</v>
      </c>
      <c r="E5671" s="19" t="n">
        <v>51.6666666666667</v>
      </c>
    </row>
    <row r="5672" customFormat="false" ht="15" hidden="false" customHeight="false" outlineLevel="0" collapsed="false">
      <c r="A5672" s="0" t="n">
        <v>5671</v>
      </c>
      <c r="B5672" s="18" t="n">
        <v>922694.374972244</v>
      </c>
      <c r="C5672" s="18" t="n">
        <v>0</v>
      </c>
      <c r="D5672" s="0" t="n">
        <v>0</v>
      </c>
      <c r="E5672" s="19" t="n">
        <v>41.1666666666667</v>
      </c>
    </row>
    <row r="5673" customFormat="false" ht="15" hidden="false" customHeight="false" outlineLevel="0" collapsed="false">
      <c r="A5673" s="0" t="n">
        <v>5672</v>
      </c>
      <c r="B5673" s="18" t="n">
        <v>829567.99723548</v>
      </c>
      <c r="C5673" s="18" t="n">
        <v>0</v>
      </c>
      <c r="D5673" s="0" t="n">
        <v>0</v>
      </c>
      <c r="E5673" s="19" t="n">
        <v>43.5833333333333</v>
      </c>
    </row>
    <row r="5674" customFormat="false" ht="15" hidden="false" customHeight="false" outlineLevel="0" collapsed="false">
      <c r="A5674" s="0" t="n">
        <v>5673</v>
      </c>
      <c r="B5674" s="18" t="n">
        <v>3460071.26315133</v>
      </c>
      <c r="C5674" s="18" t="n">
        <v>43815825.3816624</v>
      </c>
      <c r="D5674" s="0" t="n">
        <v>1</v>
      </c>
    </row>
    <row r="5675" customFormat="false" ht="15" hidden="false" customHeight="false" outlineLevel="0" collapsed="false">
      <c r="A5675" s="0" t="n">
        <v>5674</v>
      </c>
      <c r="B5675" s="18" t="n">
        <v>3931597.86761999</v>
      </c>
      <c r="C5675" s="18" t="n">
        <v>2116065.71255996</v>
      </c>
      <c r="D5675" s="0" t="n">
        <v>1</v>
      </c>
    </row>
    <row r="5676" customFormat="false" ht="15" hidden="false" customHeight="false" outlineLevel="0" collapsed="false">
      <c r="A5676" s="0" t="n">
        <v>5675</v>
      </c>
      <c r="B5676" s="18" t="n">
        <v>1395560.36996917</v>
      </c>
      <c r="C5676" s="18" t="n">
        <v>7436658.83545067</v>
      </c>
      <c r="D5676" s="0" t="n">
        <v>1</v>
      </c>
    </row>
    <row r="5677" customFormat="false" ht="15" hidden="false" customHeight="false" outlineLevel="0" collapsed="false">
      <c r="A5677" s="0" t="n">
        <v>5676</v>
      </c>
      <c r="B5677" s="18" t="n">
        <v>910920.454843598</v>
      </c>
      <c r="C5677" s="18" t="n">
        <v>0</v>
      </c>
      <c r="D5677" s="0" t="n">
        <v>0</v>
      </c>
      <c r="E5677" s="19" t="n">
        <v>37.9166666666667</v>
      </c>
    </row>
    <row r="5678" customFormat="false" ht="15" hidden="false" customHeight="false" outlineLevel="0" collapsed="false">
      <c r="A5678" s="0" t="n">
        <v>5677</v>
      </c>
      <c r="B5678" s="18" t="n">
        <v>1866512.69883374</v>
      </c>
      <c r="C5678" s="18" t="n">
        <v>4528902.25633112</v>
      </c>
      <c r="D5678" s="0" t="n">
        <v>1</v>
      </c>
    </row>
    <row r="5679" customFormat="false" ht="15" hidden="false" customHeight="false" outlineLevel="0" collapsed="false">
      <c r="A5679" s="0" t="n">
        <v>5678</v>
      </c>
      <c r="B5679" s="18" t="n">
        <v>889569.396967064</v>
      </c>
      <c r="C5679" s="18" t="n">
        <v>0</v>
      </c>
      <c r="D5679" s="0" t="n">
        <v>0</v>
      </c>
      <c r="E5679" s="19" t="n">
        <v>39.1666666666667</v>
      </c>
    </row>
    <row r="5680" customFormat="false" ht="15" hidden="false" customHeight="false" outlineLevel="0" collapsed="false">
      <c r="A5680" s="0" t="n">
        <v>5679</v>
      </c>
      <c r="B5680" s="18" t="n">
        <v>1432444.83387082</v>
      </c>
      <c r="C5680" s="18" t="n">
        <v>0</v>
      </c>
      <c r="D5680" s="0" t="n">
        <v>0</v>
      </c>
      <c r="E5680" s="19" t="n">
        <v>52.25</v>
      </c>
    </row>
    <row r="5681" customFormat="false" ht="15" hidden="false" customHeight="false" outlineLevel="0" collapsed="false">
      <c r="A5681" s="0" t="n">
        <v>5680</v>
      </c>
      <c r="B5681" s="18" t="n">
        <v>1600882.29410478</v>
      </c>
      <c r="C5681" s="18" t="n">
        <v>2859915.87565095</v>
      </c>
      <c r="D5681" s="0" t="n">
        <v>1</v>
      </c>
    </row>
    <row r="5682" customFormat="false" ht="15" hidden="false" customHeight="false" outlineLevel="0" collapsed="false">
      <c r="A5682" s="0" t="n">
        <v>5681</v>
      </c>
      <c r="B5682" s="18" t="n">
        <v>387746.261371057</v>
      </c>
      <c r="C5682" s="18" t="n">
        <v>0</v>
      </c>
      <c r="D5682" s="0" t="n">
        <v>0</v>
      </c>
      <c r="E5682" s="19" t="n">
        <v>33.4166666666667</v>
      </c>
    </row>
    <row r="5683" customFormat="false" ht="15" hidden="false" customHeight="false" outlineLevel="0" collapsed="false">
      <c r="A5683" s="0" t="n">
        <v>5682</v>
      </c>
      <c r="B5683" s="18" t="n">
        <v>1574929.68819978</v>
      </c>
      <c r="C5683" s="18" t="n">
        <v>11130468.336929</v>
      </c>
      <c r="D5683" s="0" t="n">
        <v>1</v>
      </c>
    </row>
    <row r="5684" customFormat="false" ht="15" hidden="false" customHeight="false" outlineLevel="0" collapsed="false">
      <c r="A5684" s="0" t="n">
        <v>5683</v>
      </c>
      <c r="B5684" s="18" t="n">
        <v>979411.847743062</v>
      </c>
      <c r="C5684" s="18" t="n">
        <v>0</v>
      </c>
      <c r="D5684" s="0" t="n">
        <v>0</v>
      </c>
      <c r="E5684" s="19" t="n">
        <v>37.5</v>
      </c>
    </row>
    <row r="5685" customFormat="false" ht="15" hidden="false" customHeight="false" outlineLevel="0" collapsed="false">
      <c r="A5685" s="0" t="n">
        <v>5684</v>
      </c>
      <c r="B5685" s="18" t="n">
        <v>1193224.30002902</v>
      </c>
      <c r="C5685" s="18" t="n">
        <v>0</v>
      </c>
      <c r="D5685" s="0" t="n">
        <v>0</v>
      </c>
      <c r="E5685" s="19" t="n">
        <v>43.25</v>
      </c>
    </row>
    <row r="5686" customFormat="false" ht="15" hidden="false" customHeight="false" outlineLevel="0" collapsed="false">
      <c r="A5686" s="0" t="n">
        <v>5685</v>
      </c>
      <c r="B5686" s="18" t="n">
        <v>483509.181256453</v>
      </c>
      <c r="C5686" s="18" t="n">
        <v>0</v>
      </c>
      <c r="D5686" s="0" t="n">
        <v>0</v>
      </c>
      <c r="E5686" s="19" t="n">
        <v>37.1666666666667</v>
      </c>
    </row>
    <row r="5687" customFormat="false" ht="15" hidden="false" customHeight="false" outlineLevel="0" collapsed="false">
      <c r="A5687" s="0" t="n">
        <v>5686</v>
      </c>
      <c r="B5687" s="18" t="n">
        <v>1643540.95396596</v>
      </c>
      <c r="C5687" s="18" t="n">
        <v>4004421.64222396</v>
      </c>
      <c r="D5687" s="0" t="n">
        <v>1</v>
      </c>
    </row>
    <row r="5688" customFormat="false" ht="15" hidden="false" customHeight="false" outlineLevel="0" collapsed="false">
      <c r="A5688" s="0" t="n">
        <v>5687</v>
      </c>
      <c r="B5688" s="18" t="n">
        <v>592456.034248741</v>
      </c>
      <c r="C5688" s="18" t="n">
        <v>0</v>
      </c>
      <c r="D5688" s="0" t="n">
        <v>0</v>
      </c>
      <c r="E5688" s="19" t="n">
        <v>40.8333333333333</v>
      </c>
    </row>
    <row r="5689" customFormat="false" ht="15" hidden="false" customHeight="false" outlineLevel="0" collapsed="false">
      <c r="A5689" s="0" t="n">
        <v>5688</v>
      </c>
      <c r="B5689" s="18" t="n">
        <v>1311260.46318796</v>
      </c>
      <c r="C5689" s="18" t="n">
        <v>3483174.35939672</v>
      </c>
      <c r="D5689" s="0" t="n">
        <v>1</v>
      </c>
    </row>
    <row r="5690" customFormat="false" ht="15" hidden="false" customHeight="false" outlineLevel="0" collapsed="false">
      <c r="A5690" s="0" t="n">
        <v>5689</v>
      </c>
      <c r="B5690" s="18" t="n">
        <v>683211.86362452</v>
      </c>
      <c r="C5690" s="18" t="n">
        <v>0</v>
      </c>
      <c r="D5690" s="0" t="n">
        <v>0</v>
      </c>
      <c r="E5690" s="19" t="n">
        <v>38.1666666666667</v>
      </c>
    </row>
    <row r="5691" customFormat="false" ht="15" hidden="false" customHeight="false" outlineLevel="0" collapsed="false">
      <c r="A5691" s="0" t="n">
        <v>5690</v>
      </c>
      <c r="B5691" s="18" t="n">
        <v>982367.572272694</v>
      </c>
      <c r="C5691" s="18" t="n">
        <v>4444843.59337515</v>
      </c>
      <c r="D5691" s="0" t="n">
        <v>1</v>
      </c>
    </row>
    <row r="5692" customFormat="false" ht="15" hidden="false" customHeight="false" outlineLevel="0" collapsed="false">
      <c r="A5692" s="0" t="n">
        <v>5691</v>
      </c>
      <c r="B5692" s="18" t="n">
        <v>352974.326600514</v>
      </c>
      <c r="C5692" s="18" t="n">
        <v>0</v>
      </c>
      <c r="D5692" s="0" t="n">
        <v>0</v>
      </c>
      <c r="E5692" s="19" t="n">
        <v>32.5</v>
      </c>
    </row>
    <row r="5693" customFormat="false" ht="15" hidden="false" customHeight="false" outlineLevel="0" collapsed="false">
      <c r="A5693" s="0" t="n">
        <v>5692</v>
      </c>
      <c r="B5693" s="18" t="n">
        <v>784153.587356349</v>
      </c>
      <c r="C5693" s="18" t="n">
        <v>504619.586747156</v>
      </c>
      <c r="D5693" s="0" t="n">
        <v>1</v>
      </c>
    </row>
    <row r="5694" customFormat="false" ht="15" hidden="false" customHeight="false" outlineLevel="0" collapsed="false">
      <c r="A5694" s="0" t="n">
        <v>5693</v>
      </c>
      <c r="B5694" s="18" t="n">
        <v>2063236.46747006</v>
      </c>
      <c r="C5694" s="18" t="n">
        <v>0</v>
      </c>
      <c r="D5694" s="0" t="n">
        <v>0</v>
      </c>
      <c r="E5694" s="19" t="n">
        <v>51.1666666666667</v>
      </c>
    </row>
    <row r="5695" customFormat="false" ht="15" hidden="false" customHeight="false" outlineLevel="0" collapsed="false">
      <c r="A5695" s="0" t="n">
        <v>5694</v>
      </c>
      <c r="B5695" s="18" t="n">
        <v>742725.936257055</v>
      </c>
      <c r="C5695" s="18" t="n">
        <v>0</v>
      </c>
      <c r="D5695" s="0" t="n">
        <v>0</v>
      </c>
      <c r="E5695" s="19" t="n">
        <v>43.9166666666667</v>
      </c>
    </row>
    <row r="5696" customFormat="false" ht="15" hidden="false" customHeight="false" outlineLevel="0" collapsed="false">
      <c r="A5696" s="0" t="n">
        <v>5695</v>
      </c>
      <c r="B5696" s="18" t="n">
        <v>2534625.25483663</v>
      </c>
      <c r="C5696" s="18" t="n">
        <v>17620009.9026207</v>
      </c>
      <c r="D5696" s="0" t="n">
        <v>1</v>
      </c>
    </row>
    <row r="5697" customFormat="false" ht="15" hidden="false" customHeight="false" outlineLevel="0" collapsed="false">
      <c r="A5697" s="0" t="n">
        <v>5696</v>
      </c>
      <c r="B5697" s="18" t="n">
        <v>995453.301878865</v>
      </c>
      <c r="C5697" s="18" t="n">
        <v>0</v>
      </c>
      <c r="D5697" s="0" t="n">
        <v>0</v>
      </c>
      <c r="E5697" s="19" t="n">
        <v>47.75</v>
      </c>
    </row>
    <row r="5698" customFormat="false" ht="15" hidden="false" customHeight="false" outlineLevel="0" collapsed="false">
      <c r="A5698" s="0" t="n">
        <v>5697</v>
      </c>
      <c r="B5698" s="18" t="n">
        <v>1310730.07502614</v>
      </c>
      <c r="C5698" s="18" t="n">
        <v>1323194.44013978</v>
      </c>
      <c r="D5698" s="0" t="n">
        <v>1</v>
      </c>
    </row>
    <row r="5699" customFormat="false" ht="15" hidden="false" customHeight="false" outlineLevel="0" collapsed="false">
      <c r="A5699" s="0" t="n">
        <v>5698</v>
      </c>
      <c r="B5699" s="18" t="n">
        <v>680295.975415683</v>
      </c>
      <c r="C5699" s="18" t="n">
        <v>0</v>
      </c>
      <c r="D5699" s="0" t="n">
        <v>0</v>
      </c>
      <c r="E5699" s="19" t="n">
        <v>38.3333333333333</v>
      </c>
    </row>
    <row r="5700" customFormat="false" ht="15" hidden="false" customHeight="false" outlineLevel="0" collapsed="false">
      <c r="A5700" s="0" t="n">
        <v>5699</v>
      </c>
      <c r="B5700" s="18" t="n">
        <v>1087559.37971901</v>
      </c>
      <c r="C5700" s="18" t="n">
        <v>0</v>
      </c>
      <c r="D5700" s="0" t="n">
        <v>0</v>
      </c>
      <c r="E5700" s="19" t="n">
        <v>43</v>
      </c>
    </row>
    <row r="5701" customFormat="false" ht="15" hidden="false" customHeight="false" outlineLevel="0" collapsed="false">
      <c r="A5701" s="0" t="n">
        <v>5700</v>
      </c>
      <c r="B5701" s="18" t="n">
        <v>540520.648789767</v>
      </c>
      <c r="C5701" s="18" t="n">
        <v>0</v>
      </c>
      <c r="D5701" s="0" t="n">
        <v>0</v>
      </c>
      <c r="E5701" s="19" t="n">
        <v>34.75</v>
      </c>
    </row>
    <row r="5702" customFormat="false" ht="15" hidden="false" customHeight="false" outlineLevel="0" collapsed="false">
      <c r="A5702" s="0" t="n">
        <v>5701</v>
      </c>
      <c r="B5702" s="18" t="n">
        <v>364540.472867129</v>
      </c>
      <c r="C5702" s="18" t="n">
        <v>0</v>
      </c>
      <c r="D5702" s="0" t="n">
        <v>0</v>
      </c>
      <c r="E5702" s="19" t="n">
        <v>31.0833333333333</v>
      </c>
    </row>
    <row r="5703" customFormat="false" ht="15" hidden="false" customHeight="false" outlineLevel="0" collapsed="false">
      <c r="A5703" s="0" t="n">
        <v>5702</v>
      </c>
      <c r="B5703" s="18" t="n">
        <v>2670224.50914533</v>
      </c>
      <c r="C5703" s="18" t="n">
        <v>22697713.9598524</v>
      </c>
      <c r="D5703" s="0" t="n">
        <v>1</v>
      </c>
    </row>
    <row r="5704" customFormat="false" ht="15" hidden="false" customHeight="false" outlineLevel="0" collapsed="false">
      <c r="A5704" s="0" t="n">
        <v>5703</v>
      </c>
      <c r="B5704" s="18" t="n">
        <v>2977154.38074217</v>
      </c>
      <c r="C5704" s="18" t="n">
        <v>1385634.70615102</v>
      </c>
      <c r="D5704" s="0" t="n">
        <v>1</v>
      </c>
    </row>
    <row r="5705" customFormat="false" ht="15" hidden="false" customHeight="false" outlineLevel="0" collapsed="false">
      <c r="A5705" s="0" t="n">
        <v>5704</v>
      </c>
      <c r="B5705" s="18" t="n">
        <v>1904125.71649838</v>
      </c>
      <c r="C5705" s="18" t="n">
        <v>22521289.4248078</v>
      </c>
      <c r="D5705" s="0" t="n">
        <v>1</v>
      </c>
    </row>
    <row r="5706" customFormat="false" ht="15" hidden="false" customHeight="false" outlineLevel="0" collapsed="false">
      <c r="A5706" s="0" t="n">
        <v>5705</v>
      </c>
      <c r="B5706" s="18" t="n">
        <v>1405036.77983179</v>
      </c>
      <c r="C5706" s="18" t="n">
        <v>853717.623052708</v>
      </c>
      <c r="D5706" s="0" t="n">
        <v>1</v>
      </c>
    </row>
    <row r="5707" customFormat="false" ht="15" hidden="false" customHeight="false" outlineLevel="0" collapsed="false">
      <c r="A5707" s="0" t="n">
        <v>5706</v>
      </c>
      <c r="B5707" s="18" t="n">
        <v>688366.060404606</v>
      </c>
      <c r="C5707" s="18" t="n">
        <v>0</v>
      </c>
      <c r="D5707" s="0" t="n">
        <v>0</v>
      </c>
      <c r="E5707" s="19" t="n">
        <v>38.75</v>
      </c>
    </row>
    <row r="5708" customFormat="false" ht="15" hidden="false" customHeight="false" outlineLevel="0" collapsed="false">
      <c r="A5708" s="0" t="n">
        <v>5707</v>
      </c>
      <c r="B5708" s="18" t="n">
        <v>1435028.01946854</v>
      </c>
      <c r="C5708" s="18" t="n">
        <v>3250644.47638831</v>
      </c>
      <c r="D5708" s="0" t="n">
        <v>1</v>
      </c>
    </row>
    <row r="5709" customFormat="false" ht="15" hidden="false" customHeight="false" outlineLevel="0" collapsed="false">
      <c r="A5709" s="0" t="n">
        <v>5708</v>
      </c>
      <c r="B5709" s="18" t="n">
        <v>1168832.82616435</v>
      </c>
      <c r="C5709" s="18" t="n">
        <v>8451675.98660304</v>
      </c>
      <c r="D5709" s="0" t="n">
        <v>1</v>
      </c>
    </row>
    <row r="5710" customFormat="false" ht="15" hidden="false" customHeight="false" outlineLevel="0" collapsed="false">
      <c r="A5710" s="0" t="n">
        <v>5709</v>
      </c>
      <c r="B5710" s="18" t="n">
        <v>1837127.74017404</v>
      </c>
      <c r="C5710" s="18" t="n">
        <v>4056941.40380806</v>
      </c>
      <c r="D5710" s="0" t="n">
        <v>1</v>
      </c>
    </row>
    <row r="5711" customFormat="false" ht="15" hidden="false" customHeight="false" outlineLevel="0" collapsed="false">
      <c r="A5711" s="0" t="n">
        <v>5710</v>
      </c>
      <c r="B5711" s="18" t="n">
        <v>1724213.56581006</v>
      </c>
      <c r="C5711" s="18" t="n">
        <v>54543.2942803059</v>
      </c>
      <c r="D5711" s="0" t="n">
        <v>1</v>
      </c>
    </row>
    <row r="5712" customFormat="false" ht="15" hidden="false" customHeight="false" outlineLevel="0" collapsed="false">
      <c r="A5712" s="0" t="n">
        <v>5711</v>
      </c>
      <c r="B5712" s="18" t="n">
        <v>843586.209175632</v>
      </c>
      <c r="C5712" s="18" t="n">
        <v>0</v>
      </c>
      <c r="D5712" s="0" t="n">
        <v>0</v>
      </c>
      <c r="E5712" s="19" t="n">
        <v>33.9166666666667</v>
      </c>
    </row>
    <row r="5713" customFormat="false" ht="15" hidden="false" customHeight="false" outlineLevel="0" collapsed="false">
      <c r="A5713" s="0" t="n">
        <v>5712</v>
      </c>
      <c r="B5713" s="18" t="n">
        <v>757079.377241659</v>
      </c>
      <c r="C5713" s="18" t="n">
        <v>0</v>
      </c>
      <c r="D5713" s="0" t="n">
        <v>0</v>
      </c>
      <c r="E5713" s="19" t="n">
        <v>37.3333333333333</v>
      </c>
    </row>
    <row r="5714" customFormat="false" ht="15" hidden="false" customHeight="false" outlineLevel="0" collapsed="false">
      <c r="A5714" s="0" t="n">
        <v>5713</v>
      </c>
      <c r="B5714" s="18" t="n">
        <v>579051.022198631</v>
      </c>
      <c r="C5714" s="18" t="n">
        <v>0</v>
      </c>
      <c r="D5714" s="0" t="n">
        <v>0</v>
      </c>
      <c r="E5714" s="19" t="n">
        <v>42.3333333333333</v>
      </c>
    </row>
    <row r="5715" customFormat="false" ht="15" hidden="false" customHeight="false" outlineLevel="0" collapsed="false">
      <c r="A5715" s="0" t="n">
        <v>5714</v>
      </c>
      <c r="B5715" s="18" t="n">
        <v>343865.280287975</v>
      </c>
      <c r="C5715" s="18" t="n">
        <v>0</v>
      </c>
      <c r="D5715" s="0" t="n">
        <v>0</v>
      </c>
      <c r="E5715" s="19" t="n">
        <v>32.3333333333333</v>
      </c>
    </row>
    <row r="5716" customFormat="false" ht="15" hidden="false" customHeight="false" outlineLevel="0" collapsed="false">
      <c r="A5716" s="0" t="n">
        <v>5715</v>
      </c>
      <c r="B5716" s="18" t="n">
        <v>682519.204982321</v>
      </c>
      <c r="C5716" s="18" t="n">
        <v>0</v>
      </c>
      <c r="D5716" s="0" t="n">
        <v>0</v>
      </c>
      <c r="E5716" s="19" t="n">
        <v>37.4166666666667</v>
      </c>
    </row>
    <row r="5717" customFormat="false" ht="15" hidden="false" customHeight="false" outlineLevel="0" collapsed="false">
      <c r="A5717" s="0" t="n">
        <v>5716</v>
      </c>
      <c r="B5717" s="18" t="n">
        <v>729218.196830557</v>
      </c>
      <c r="C5717" s="18" t="n">
        <v>0</v>
      </c>
      <c r="D5717" s="0" t="n">
        <v>0</v>
      </c>
      <c r="E5717" s="19" t="n">
        <v>50.9166666666667</v>
      </c>
    </row>
    <row r="5718" customFormat="false" ht="15" hidden="false" customHeight="false" outlineLevel="0" collapsed="false">
      <c r="A5718" s="0" t="n">
        <v>5717</v>
      </c>
      <c r="B5718" s="18" t="n">
        <v>935161.628649385</v>
      </c>
      <c r="C5718" s="18" t="n">
        <v>0</v>
      </c>
      <c r="D5718" s="0" t="n">
        <v>0</v>
      </c>
      <c r="E5718" s="19" t="n">
        <v>47.9166666666667</v>
      </c>
    </row>
    <row r="5719" customFormat="false" ht="15" hidden="false" customHeight="false" outlineLevel="0" collapsed="false">
      <c r="A5719" s="0" t="n">
        <v>5718</v>
      </c>
      <c r="B5719" s="18" t="n">
        <v>975056.428453598</v>
      </c>
      <c r="C5719" s="18" t="n">
        <v>707251.124570246</v>
      </c>
      <c r="D5719" s="0" t="n">
        <v>1</v>
      </c>
    </row>
    <row r="5720" customFormat="false" ht="15" hidden="false" customHeight="false" outlineLevel="0" collapsed="false">
      <c r="A5720" s="0" t="n">
        <v>5719</v>
      </c>
      <c r="B5720" s="18" t="n">
        <v>1721840.31034663</v>
      </c>
      <c r="C5720" s="18" t="n">
        <v>3963912.26120444</v>
      </c>
      <c r="D5720" s="0" t="n">
        <v>1</v>
      </c>
    </row>
    <row r="5721" customFormat="false" ht="15" hidden="false" customHeight="false" outlineLevel="0" collapsed="false">
      <c r="A5721" s="0" t="n">
        <v>5720</v>
      </c>
      <c r="B5721" s="18" t="n">
        <v>432726.938915814</v>
      </c>
      <c r="C5721" s="18" t="n">
        <v>0</v>
      </c>
      <c r="D5721" s="0" t="n">
        <v>0</v>
      </c>
      <c r="E5721" s="19" t="n">
        <v>31.5</v>
      </c>
    </row>
    <row r="5722" customFormat="false" ht="15" hidden="false" customHeight="false" outlineLevel="0" collapsed="false">
      <c r="A5722" s="0" t="n">
        <v>5721</v>
      </c>
      <c r="B5722" s="18" t="n">
        <v>496575.324611562</v>
      </c>
      <c r="C5722" s="18" t="n">
        <v>0</v>
      </c>
      <c r="D5722" s="0" t="n">
        <v>0</v>
      </c>
      <c r="E5722" s="19" t="n">
        <v>34.75</v>
      </c>
    </row>
    <row r="5723" customFormat="false" ht="15" hidden="false" customHeight="false" outlineLevel="0" collapsed="false">
      <c r="A5723" s="0" t="n">
        <v>5722</v>
      </c>
      <c r="B5723" s="18" t="n">
        <v>977407.464230289</v>
      </c>
      <c r="C5723" s="18" t="n">
        <v>942482.917994367</v>
      </c>
      <c r="D5723" s="0" t="n">
        <v>1</v>
      </c>
    </row>
    <row r="5724" customFormat="false" ht="15" hidden="false" customHeight="false" outlineLevel="0" collapsed="false">
      <c r="A5724" s="0" t="n">
        <v>5723</v>
      </c>
      <c r="B5724" s="18" t="n">
        <v>320797.455525534</v>
      </c>
      <c r="C5724" s="18" t="n">
        <v>0</v>
      </c>
      <c r="D5724" s="0" t="n">
        <v>0</v>
      </c>
      <c r="E5724" s="19" t="n">
        <v>31.6666666666667</v>
      </c>
    </row>
    <row r="5725" customFormat="false" ht="15" hidden="false" customHeight="false" outlineLevel="0" collapsed="false">
      <c r="A5725" s="0" t="n">
        <v>5724</v>
      </c>
      <c r="B5725" s="18" t="n">
        <v>776641.580630851</v>
      </c>
      <c r="C5725" s="18" t="n">
        <v>0</v>
      </c>
      <c r="D5725" s="0" t="n">
        <v>0</v>
      </c>
      <c r="E5725" s="19" t="n">
        <v>54.1666666666667</v>
      </c>
    </row>
    <row r="5726" customFormat="false" ht="15" hidden="false" customHeight="false" outlineLevel="0" collapsed="false">
      <c r="A5726" s="0" t="n">
        <v>5725</v>
      </c>
      <c r="B5726" s="18" t="n">
        <v>557386.428980293</v>
      </c>
      <c r="C5726" s="18" t="n">
        <v>0</v>
      </c>
      <c r="D5726" s="0" t="n">
        <v>0</v>
      </c>
      <c r="E5726" s="19" t="n">
        <v>34.0833333333333</v>
      </c>
    </row>
    <row r="5727" customFormat="false" ht="15" hidden="false" customHeight="false" outlineLevel="0" collapsed="false">
      <c r="A5727" s="0" t="n">
        <v>5726</v>
      </c>
      <c r="B5727" s="18" t="n">
        <v>831706.43092621</v>
      </c>
      <c r="C5727" s="18" t="n">
        <v>0</v>
      </c>
      <c r="D5727" s="0" t="n">
        <v>0</v>
      </c>
      <c r="E5727" s="19" t="n">
        <v>47.3333333333333</v>
      </c>
    </row>
    <row r="5728" customFormat="false" ht="15" hidden="false" customHeight="false" outlineLevel="0" collapsed="false">
      <c r="A5728" s="0" t="n">
        <v>5727</v>
      </c>
      <c r="B5728" s="18" t="n">
        <v>498071.137653645</v>
      </c>
      <c r="C5728" s="18" t="n">
        <v>0</v>
      </c>
      <c r="D5728" s="0" t="n">
        <v>0</v>
      </c>
      <c r="E5728" s="19" t="n">
        <v>37</v>
      </c>
    </row>
    <row r="5729" customFormat="false" ht="15" hidden="false" customHeight="false" outlineLevel="0" collapsed="false">
      <c r="A5729" s="0" t="n">
        <v>5728</v>
      </c>
      <c r="B5729" s="18" t="n">
        <v>1586630.42814727</v>
      </c>
      <c r="C5729" s="18" t="n">
        <v>982791.077525962</v>
      </c>
      <c r="D5729" s="0" t="n">
        <v>1</v>
      </c>
    </row>
    <row r="5730" customFormat="false" ht="15" hidden="false" customHeight="false" outlineLevel="0" collapsed="false">
      <c r="A5730" s="0" t="n">
        <v>5729</v>
      </c>
      <c r="B5730" s="18" t="n">
        <v>741788.812624067</v>
      </c>
      <c r="C5730" s="18" t="n">
        <v>0</v>
      </c>
      <c r="D5730" s="0" t="n">
        <v>0</v>
      </c>
      <c r="E5730" s="19" t="n">
        <v>35.8333333333333</v>
      </c>
    </row>
    <row r="5731" customFormat="false" ht="15" hidden="false" customHeight="false" outlineLevel="0" collapsed="false">
      <c r="A5731" s="0" t="n">
        <v>5730</v>
      </c>
      <c r="B5731" s="18" t="n">
        <v>1814630.5852711</v>
      </c>
      <c r="C5731" s="18" t="n">
        <v>10611783.9107766</v>
      </c>
      <c r="D5731" s="0" t="n">
        <v>1</v>
      </c>
    </row>
    <row r="5732" customFormat="false" ht="15" hidden="false" customHeight="false" outlineLevel="0" collapsed="false">
      <c r="A5732" s="0" t="n">
        <v>5731</v>
      </c>
      <c r="B5732" s="18" t="n">
        <v>1107792.32864341</v>
      </c>
      <c r="C5732" s="18" t="n">
        <v>0</v>
      </c>
      <c r="D5732" s="0" t="n">
        <v>0</v>
      </c>
      <c r="E5732" s="19" t="n">
        <v>46.25</v>
      </c>
    </row>
    <row r="5733" customFormat="false" ht="15" hidden="false" customHeight="false" outlineLevel="0" collapsed="false">
      <c r="A5733" s="0" t="n">
        <v>5732</v>
      </c>
      <c r="B5733" s="18" t="n">
        <v>423534.614202294</v>
      </c>
      <c r="C5733" s="18" t="n">
        <v>0</v>
      </c>
      <c r="D5733" s="0" t="n">
        <v>0</v>
      </c>
      <c r="E5733" s="19" t="n">
        <v>34.25</v>
      </c>
    </row>
    <row r="5734" customFormat="false" ht="15" hidden="false" customHeight="false" outlineLevel="0" collapsed="false">
      <c r="A5734" s="0" t="n">
        <v>5733</v>
      </c>
      <c r="B5734" s="18" t="n">
        <v>1699547.87892537</v>
      </c>
      <c r="C5734" s="18" t="n">
        <v>0</v>
      </c>
      <c r="D5734" s="0" t="n">
        <v>0</v>
      </c>
      <c r="E5734" s="19" t="n">
        <v>52.1666666666667</v>
      </c>
    </row>
    <row r="5735" customFormat="false" ht="15" hidden="false" customHeight="false" outlineLevel="0" collapsed="false">
      <c r="A5735" s="0" t="n">
        <v>5734</v>
      </c>
      <c r="B5735" s="18" t="n">
        <v>1270205.67850135</v>
      </c>
      <c r="C5735" s="18" t="n">
        <v>3737082.12570523</v>
      </c>
      <c r="D5735" s="0" t="n">
        <v>1</v>
      </c>
    </row>
    <row r="5736" customFormat="false" ht="15" hidden="false" customHeight="false" outlineLevel="0" collapsed="false">
      <c r="A5736" s="0" t="n">
        <v>5735</v>
      </c>
      <c r="B5736" s="18" t="n">
        <v>1643282.34881623</v>
      </c>
      <c r="C5736" s="18" t="n">
        <v>9255713.52504014</v>
      </c>
      <c r="D5736" s="0" t="n">
        <v>1</v>
      </c>
    </row>
    <row r="5737" customFormat="false" ht="15" hidden="false" customHeight="false" outlineLevel="0" collapsed="false">
      <c r="A5737" s="0" t="n">
        <v>5736</v>
      </c>
      <c r="B5737" s="18" t="n">
        <v>671407.960921837</v>
      </c>
      <c r="C5737" s="18" t="n">
        <v>0</v>
      </c>
      <c r="D5737" s="0" t="n">
        <v>0</v>
      </c>
      <c r="E5737" s="19" t="n">
        <v>40.3333333333333</v>
      </c>
    </row>
    <row r="5738" customFormat="false" ht="15" hidden="false" customHeight="false" outlineLevel="0" collapsed="false">
      <c r="A5738" s="0" t="n">
        <v>5737</v>
      </c>
      <c r="B5738" s="18" t="n">
        <v>1014356.06069119</v>
      </c>
      <c r="C5738" s="18" t="n">
        <v>4912968.24490191</v>
      </c>
      <c r="D5738" s="0" t="n">
        <v>1</v>
      </c>
    </row>
    <row r="5739" customFormat="false" ht="15" hidden="false" customHeight="false" outlineLevel="0" collapsed="false">
      <c r="A5739" s="0" t="n">
        <v>5738</v>
      </c>
      <c r="B5739" s="18" t="n">
        <v>572246.107933334</v>
      </c>
      <c r="C5739" s="18" t="n">
        <v>0</v>
      </c>
      <c r="D5739" s="0" t="n">
        <v>0</v>
      </c>
      <c r="E5739" s="19" t="n">
        <v>35.9166666666667</v>
      </c>
    </row>
    <row r="5740" customFormat="false" ht="15" hidden="false" customHeight="false" outlineLevel="0" collapsed="false">
      <c r="A5740" s="0" t="n">
        <v>5739</v>
      </c>
      <c r="B5740" s="18" t="n">
        <v>1164661.54261026</v>
      </c>
      <c r="C5740" s="18" t="n">
        <v>0</v>
      </c>
      <c r="D5740" s="0" t="n">
        <v>0</v>
      </c>
      <c r="E5740" s="19" t="n">
        <v>44.5</v>
      </c>
    </row>
    <row r="5741" customFormat="false" ht="15" hidden="false" customHeight="false" outlineLevel="0" collapsed="false">
      <c r="A5741" s="0" t="n">
        <v>5740</v>
      </c>
      <c r="B5741" s="18" t="n">
        <v>469554.281842127</v>
      </c>
      <c r="C5741" s="18" t="n">
        <v>0</v>
      </c>
      <c r="D5741" s="0" t="n">
        <v>0</v>
      </c>
      <c r="E5741" s="19" t="n">
        <v>38.3333333333333</v>
      </c>
    </row>
    <row r="5742" customFormat="false" ht="15" hidden="false" customHeight="false" outlineLevel="0" collapsed="false">
      <c r="A5742" s="0" t="n">
        <v>5741</v>
      </c>
      <c r="B5742" s="18" t="n">
        <v>404509.216746224</v>
      </c>
      <c r="C5742" s="18" t="n">
        <v>0</v>
      </c>
      <c r="D5742" s="0" t="n">
        <v>0</v>
      </c>
      <c r="E5742" s="19" t="n">
        <v>38.0833333333333</v>
      </c>
    </row>
    <row r="5743" customFormat="false" ht="15" hidden="false" customHeight="false" outlineLevel="0" collapsed="false">
      <c r="A5743" s="0" t="n">
        <v>5742</v>
      </c>
      <c r="B5743" s="18" t="n">
        <v>1829067.02159745</v>
      </c>
      <c r="C5743" s="18" t="n">
        <v>4320438.35516897</v>
      </c>
      <c r="D5743" s="0" t="n">
        <v>1</v>
      </c>
    </row>
    <row r="5744" customFormat="false" ht="15" hidden="false" customHeight="false" outlineLevel="0" collapsed="false">
      <c r="A5744" s="0" t="n">
        <v>5743</v>
      </c>
      <c r="B5744" s="18" t="n">
        <v>1023138.2796378</v>
      </c>
      <c r="C5744" s="18" t="n">
        <v>736660.324356468</v>
      </c>
      <c r="D5744" s="0" t="n">
        <v>1</v>
      </c>
    </row>
    <row r="5745" customFormat="false" ht="15" hidden="false" customHeight="false" outlineLevel="0" collapsed="false">
      <c r="A5745" s="0" t="n">
        <v>5744</v>
      </c>
      <c r="B5745" s="18" t="n">
        <v>722599.589217433</v>
      </c>
      <c r="C5745" s="18" t="n">
        <v>0</v>
      </c>
      <c r="D5745" s="0" t="n">
        <v>0</v>
      </c>
      <c r="E5745" s="19" t="n">
        <v>33.8333333333333</v>
      </c>
    </row>
    <row r="5746" customFormat="false" ht="15" hidden="false" customHeight="false" outlineLevel="0" collapsed="false">
      <c r="A5746" s="0" t="n">
        <v>5745</v>
      </c>
      <c r="B5746" s="18" t="n">
        <v>555920.37506311</v>
      </c>
      <c r="C5746" s="18" t="n">
        <v>0</v>
      </c>
      <c r="D5746" s="0" t="n">
        <v>0</v>
      </c>
      <c r="E5746" s="19" t="n">
        <v>32</v>
      </c>
    </row>
    <row r="5747" customFormat="false" ht="15" hidden="false" customHeight="false" outlineLevel="0" collapsed="false">
      <c r="A5747" s="0" t="n">
        <v>5746</v>
      </c>
      <c r="B5747" s="18" t="n">
        <v>1180062.49246463</v>
      </c>
      <c r="C5747" s="18" t="n">
        <v>0</v>
      </c>
      <c r="D5747" s="0" t="n">
        <v>0</v>
      </c>
      <c r="E5747" s="19" t="n">
        <v>50.1666666666667</v>
      </c>
    </row>
    <row r="5748" customFormat="false" ht="15" hidden="false" customHeight="false" outlineLevel="0" collapsed="false">
      <c r="A5748" s="0" t="n">
        <v>5747</v>
      </c>
      <c r="B5748" s="18" t="n">
        <v>1067662.8760893</v>
      </c>
      <c r="C5748" s="18" t="n">
        <v>0</v>
      </c>
      <c r="D5748" s="0" t="n">
        <v>0</v>
      </c>
      <c r="E5748" s="19" t="n">
        <v>41.5</v>
      </c>
    </row>
    <row r="5749" customFormat="false" ht="15" hidden="false" customHeight="false" outlineLevel="0" collapsed="false">
      <c r="A5749" s="0" t="n">
        <v>5748</v>
      </c>
      <c r="B5749" s="18" t="n">
        <v>1289661.57997342</v>
      </c>
      <c r="C5749" s="18" t="n">
        <v>0</v>
      </c>
      <c r="D5749" s="0" t="n">
        <v>0</v>
      </c>
      <c r="E5749" s="19" t="n">
        <v>48</v>
      </c>
    </row>
    <row r="5750" customFormat="false" ht="15" hidden="false" customHeight="false" outlineLevel="0" collapsed="false">
      <c r="A5750" s="0" t="n">
        <v>5749</v>
      </c>
      <c r="B5750" s="18" t="n">
        <v>398114.998108682</v>
      </c>
      <c r="C5750" s="18" t="n">
        <v>0</v>
      </c>
      <c r="D5750" s="0" t="n">
        <v>0</v>
      </c>
      <c r="E5750" s="19" t="n">
        <v>33.4166666666667</v>
      </c>
    </row>
    <row r="5751" customFormat="false" ht="15" hidden="false" customHeight="false" outlineLevel="0" collapsed="false">
      <c r="A5751" s="0" t="n">
        <v>5750</v>
      </c>
      <c r="B5751" s="18" t="n">
        <v>592774.830047567</v>
      </c>
      <c r="C5751" s="18" t="n">
        <v>0</v>
      </c>
      <c r="D5751" s="0" t="n">
        <v>0</v>
      </c>
      <c r="E5751" s="19" t="n">
        <v>35.25</v>
      </c>
    </row>
    <row r="5752" customFormat="false" ht="15" hidden="false" customHeight="false" outlineLevel="0" collapsed="false">
      <c r="A5752" s="0" t="n">
        <v>5751</v>
      </c>
      <c r="B5752" s="18" t="n">
        <v>1039392.36744523</v>
      </c>
      <c r="C5752" s="18" t="n">
        <v>646528.247670714</v>
      </c>
      <c r="D5752" s="0" t="n">
        <v>1</v>
      </c>
    </row>
    <row r="5753" customFormat="false" ht="15" hidden="false" customHeight="false" outlineLevel="0" collapsed="false">
      <c r="A5753" s="0" t="n">
        <v>5752</v>
      </c>
      <c r="B5753" s="18" t="n">
        <v>1007036.24968755</v>
      </c>
      <c r="C5753" s="18" t="n">
        <v>2953832.64939581</v>
      </c>
      <c r="D5753" s="0" t="n">
        <v>1</v>
      </c>
    </row>
    <row r="5754" customFormat="false" ht="15" hidden="false" customHeight="false" outlineLevel="0" collapsed="false">
      <c r="A5754" s="0" t="n">
        <v>5753</v>
      </c>
      <c r="B5754" s="18" t="n">
        <v>1560889.61542344</v>
      </c>
      <c r="C5754" s="18" t="n">
        <v>5048564.10014706</v>
      </c>
      <c r="D5754" s="0" t="n">
        <v>1</v>
      </c>
    </row>
    <row r="5755" customFormat="false" ht="15" hidden="false" customHeight="false" outlineLevel="0" collapsed="false">
      <c r="A5755" s="0" t="n">
        <v>5754</v>
      </c>
      <c r="B5755" s="18" t="n">
        <v>902085.761979614</v>
      </c>
      <c r="C5755" s="18" t="n">
        <v>0</v>
      </c>
      <c r="D5755" s="0" t="n">
        <v>0</v>
      </c>
      <c r="E5755" s="19" t="n">
        <v>38.6666666666667</v>
      </c>
    </row>
    <row r="5756" customFormat="false" ht="15" hidden="false" customHeight="false" outlineLevel="0" collapsed="false">
      <c r="A5756" s="0" t="n">
        <v>5755</v>
      </c>
      <c r="B5756" s="18" t="n">
        <v>1107499.64484497</v>
      </c>
      <c r="C5756" s="18" t="n">
        <v>0</v>
      </c>
      <c r="D5756" s="0" t="n">
        <v>0</v>
      </c>
      <c r="E5756" s="19" t="n">
        <v>47.75</v>
      </c>
    </row>
    <row r="5757" customFormat="false" ht="15" hidden="false" customHeight="false" outlineLevel="0" collapsed="false">
      <c r="A5757" s="0" t="n">
        <v>5756</v>
      </c>
      <c r="B5757" s="18" t="n">
        <v>330142.782769866</v>
      </c>
      <c r="C5757" s="18" t="n">
        <v>0</v>
      </c>
      <c r="D5757" s="0" t="n">
        <v>0</v>
      </c>
      <c r="E5757" s="19" t="n">
        <v>29.1666666666667</v>
      </c>
    </row>
    <row r="5758" customFormat="false" ht="15" hidden="false" customHeight="false" outlineLevel="0" collapsed="false">
      <c r="A5758" s="0" t="n">
        <v>5757</v>
      </c>
      <c r="B5758" s="18" t="n">
        <v>1173811.06840097</v>
      </c>
      <c r="C5758" s="18" t="n">
        <v>0</v>
      </c>
      <c r="D5758" s="0" t="n">
        <v>0</v>
      </c>
      <c r="E5758" s="19" t="n">
        <v>52.5833333333333</v>
      </c>
    </row>
    <row r="5759" customFormat="false" ht="15" hidden="false" customHeight="false" outlineLevel="0" collapsed="false">
      <c r="A5759" s="0" t="n">
        <v>5758</v>
      </c>
      <c r="B5759" s="18" t="n">
        <v>1026572.25711068</v>
      </c>
      <c r="C5759" s="18" t="n">
        <v>284900.557809287</v>
      </c>
      <c r="D5759" s="0" t="n">
        <v>1</v>
      </c>
    </row>
    <row r="5760" customFormat="false" ht="15" hidden="false" customHeight="false" outlineLevel="0" collapsed="false">
      <c r="A5760" s="0" t="n">
        <v>5759</v>
      </c>
      <c r="B5760" s="18" t="n">
        <v>873977.211651871</v>
      </c>
      <c r="C5760" s="18" t="n">
        <v>0</v>
      </c>
      <c r="D5760" s="0" t="n">
        <v>0</v>
      </c>
      <c r="E5760" s="19" t="n">
        <v>40.5</v>
      </c>
    </row>
    <row r="5761" customFormat="false" ht="15" hidden="false" customHeight="false" outlineLevel="0" collapsed="false">
      <c r="A5761" s="0" t="n">
        <v>5760</v>
      </c>
      <c r="B5761" s="18" t="n">
        <v>488354.789652201</v>
      </c>
      <c r="C5761" s="18" t="n">
        <v>0</v>
      </c>
      <c r="D5761" s="0" t="n">
        <v>0</v>
      </c>
      <c r="E5761" s="19" t="n">
        <v>32.25</v>
      </c>
    </row>
    <row r="5762" customFormat="false" ht="15" hidden="false" customHeight="false" outlineLevel="0" collapsed="false">
      <c r="A5762" s="0" t="n">
        <v>5761</v>
      </c>
      <c r="B5762" s="18" t="n">
        <v>995255.615060346</v>
      </c>
      <c r="C5762" s="18" t="n">
        <v>0</v>
      </c>
      <c r="D5762" s="0" t="n">
        <v>0</v>
      </c>
      <c r="E5762" s="19" t="n">
        <v>52.0833333333333</v>
      </c>
    </row>
    <row r="5763" customFormat="false" ht="15" hidden="false" customHeight="false" outlineLevel="0" collapsed="false">
      <c r="A5763" s="0" t="n">
        <v>5762</v>
      </c>
      <c r="B5763" s="18" t="n">
        <v>699422.637245378</v>
      </c>
      <c r="C5763" s="18" t="n">
        <v>5970188.63708711</v>
      </c>
      <c r="D5763" s="0" t="n">
        <v>1</v>
      </c>
    </row>
    <row r="5764" customFormat="false" ht="15" hidden="false" customHeight="false" outlineLevel="0" collapsed="false">
      <c r="A5764" s="0" t="n">
        <v>5763</v>
      </c>
      <c r="B5764" s="18" t="n">
        <v>919338.484719961</v>
      </c>
      <c r="C5764" s="18" t="n">
        <v>0</v>
      </c>
      <c r="D5764" s="0" t="n">
        <v>0</v>
      </c>
      <c r="E5764" s="19" t="n">
        <v>53.3333333333333</v>
      </c>
    </row>
    <row r="5765" customFormat="false" ht="15" hidden="false" customHeight="false" outlineLevel="0" collapsed="false">
      <c r="A5765" s="0" t="n">
        <v>5764</v>
      </c>
      <c r="B5765" s="18" t="n">
        <v>999384.705386928</v>
      </c>
      <c r="C5765" s="18" t="n">
        <v>499366.822489934</v>
      </c>
      <c r="D5765" s="0" t="n">
        <v>1</v>
      </c>
    </row>
    <row r="5766" customFormat="false" ht="15" hidden="false" customHeight="false" outlineLevel="0" collapsed="false">
      <c r="A5766" s="0" t="n">
        <v>5765</v>
      </c>
      <c r="B5766" s="18" t="n">
        <v>304258.350767318</v>
      </c>
      <c r="C5766" s="18" t="n">
        <v>0</v>
      </c>
      <c r="D5766" s="0" t="n">
        <v>0</v>
      </c>
      <c r="E5766" s="19" t="n">
        <v>33.8333333333333</v>
      </c>
    </row>
    <row r="5767" customFormat="false" ht="15" hidden="false" customHeight="false" outlineLevel="0" collapsed="false">
      <c r="A5767" s="0" t="n">
        <v>5766</v>
      </c>
      <c r="B5767" s="18" t="n">
        <v>954969.499817221</v>
      </c>
      <c r="C5767" s="18" t="n">
        <v>3764038.96077466</v>
      </c>
      <c r="D5767" s="0" t="n">
        <v>1</v>
      </c>
    </row>
    <row r="5768" customFormat="false" ht="15" hidden="false" customHeight="false" outlineLevel="0" collapsed="false">
      <c r="A5768" s="0" t="n">
        <v>5767</v>
      </c>
      <c r="B5768" s="18" t="n">
        <v>1298828.27070317</v>
      </c>
      <c r="C5768" s="18" t="n">
        <v>0</v>
      </c>
      <c r="D5768" s="0" t="n">
        <v>0</v>
      </c>
      <c r="E5768" s="19" t="n">
        <v>44.3333333333333</v>
      </c>
    </row>
    <row r="5769" customFormat="false" ht="15" hidden="false" customHeight="false" outlineLevel="0" collapsed="false">
      <c r="A5769" s="0" t="n">
        <v>5768</v>
      </c>
      <c r="B5769" s="18" t="n">
        <v>1490097.60924397</v>
      </c>
      <c r="C5769" s="18" t="n">
        <v>22639650.0732527</v>
      </c>
      <c r="D5769" s="0" t="n">
        <v>1</v>
      </c>
    </row>
    <row r="5770" customFormat="false" ht="15" hidden="false" customHeight="false" outlineLevel="0" collapsed="false">
      <c r="A5770" s="0" t="n">
        <v>5769</v>
      </c>
      <c r="B5770" s="18" t="n">
        <v>1828696.60399169</v>
      </c>
      <c r="C5770" s="18" t="n">
        <v>5880789.07908227</v>
      </c>
      <c r="D5770" s="0" t="n">
        <v>1</v>
      </c>
    </row>
    <row r="5771" customFormat="false" ht="15" hidden="false" customHeight="false" outlineLevel="0" collapsed="false">
      <c r="A5771" s="0" t="n">
        <v>5770</v>
      </c>
      <c r="B5771" s="18" t="n">
        <v>1840377.25760949</v>
      </c>
      <c r="C5771" s="18" t="n">
        <v>994121.64464806</v>
      </c>
      <c r="D5771" s="0" t="n">
        <v>1</v>
      </c>
    </row>
    <row r="5772" customFormat="false" ht="15" hidden="false" customHeight="false" outlineLevel="0" collapsed="false">
      <c r="A5772" s="0" t="n">
        <v>5771</v>
      </c>
      <c r="B5772" s="18" t="n">
        <v>608790.393393959</v>
      </c>
      <c r="C5772" s="18" t="n">
        <v>0</v>
      </c>
      <c r="D5772" s="0" t="n">
        <v>0</v>
      </c>
      <c r="E5772" s="19" t="n">
        <v>35.25</v>
      </c>
    </row>
    <row r="5773" customFormat="false" ht="15" hidden="false" customHeight="false" outlineLevel="0" collapsed="false">
      <c r="A5773" s="0" t="n">
        <v>5772</v>
      </c>
      <c r="B5773" s="18" t="n">
        <v>2366829.67618561</v>
      </c>
      <c r="C5773" s="18" t="n">
        <v>4661113.84172358</v>
      </c>
      <c r="D5773" s="0" t="n">
        <v>1</v>
      </c>
    </row>
    <row r="5774" customFormat="false" ht="15" hidden="false" customHeight="false" outlineLevel="0" collapsed="false">
      <c r="A5774" s="0" t="n">
        <v>5773</v>
      </c>
      <c r="B5774" s="18" t="n">
        <v>1019007.27580684</v>
      </c>
      <c r="C5774" s="18" t="n">
        <v>0</v>
      </c>
      <c r="D5774" s="0" t="n">
        <v>0</v>
      </c>
      <c r="E5774" s="19" t="n">
        <v>40.6666666666667</v>
      </c>
    </row>
    <row r="5775" customFormat="false" ht="15" hidden="false" customHeight="false" outlineLevel="0" collapsed="false">
      <c r="A5775" s="0" t="n">
        <v>5774</v>
      </c>
      <c r="B5775" s="18" t="n">
        <v>2473815.48263737</v>
      </c>
      <c r="C5775" s="18" t="n">
        <v>34451522.3571071</v>
      </c>
      <c r="D5775" s="0" t="n">
        <v>1</v>
      </c>
    </row>
    <row r="5776" customFormat="false" ht="15" hidden="false" customHeight="false" outlineLevel="0" collapsed="false">
      <c r="A5776" s="0" t="n">
        <v>5775</v>
      </c>
      <c r="B5776" s="18" t="n">
        <v>955914.924953866</v>
      </c>
      <c r="C5776" s="18" t="n">
        <v>0</v>
      </c>
      <c r="D5776" s="0" t="n">
        <v>0</v>
      </c>
      <c r="E5776" s="19" t="n">
        <v>45.0833333333333</v>
      </c>
    </row>
    <row r="5777" customFormat="false" ht="15" hidden="false" customHeight="false" outlineLevel="0" collapsed="false">
      <c r="A5777" s="0" t="n">
        <v>5776</v>
      </c>
      <c r="B5777" s="18" t="n">
        <v>1189155.56829356</v>
      </c>
      <c r="C5777" s="18" t="n">
        <v>0</v>
      </c>
      <c r="D5777" s="0" t="n">
        <v>0</v>
      </c>
      <c r="E5777" s="19" t="n">
        <v>45.5833333333333</v>
      </c>
    </row>
    <row r="5778" customFormat="false" ht="15" hidden="false" customHeight="false" outlineLevel="0" collapsed="false">
      <c r="A5778" s="0" t="n">
        <v>5777</v>
      </c>
      <c r="B5778" s="18" t="n">
        <v>485677.192535478</v>
      </c>
      <c r="C5778" s="18" t="n">
        <v>0</v>
      </c>
      <c r="D5778" s="0" t="n">
        <v>0</v>
      </c>
      <c r="E5778" s="19" t="n">
        <v>34</v>
      </c>
    </row>
    <row r="5779" customFormat="false" ht="15" hidden="false" customHeight="false" outlineLevel="0" collapsed="false">
      <c r="A5779" s="0" t="n">
        <v>5778</v>
      </c>
      <c r="B5779" s="18" t="n">
        <v>1541513.97573674</v>
      </c>
      <c r="C5779" s="18" t="n">
        <v>4085926.08307207</v>
      </c>
      <c r="D5779" s="0" t="n">
        <v>1</v>
      </c>
    </row>
    <row r="5780" customFormat="false" ht="15" hidden="false" customHeight="false" outlineLevel="0" collapsed="false">
      <c r="A5780" s="0" t="n">
        <v>5779</v>
      </c>
      <c r="B5780" s="18" t="n">
        <v>1939754.65310451</v>
      </c>
      <c r="C5780" s="18" t="n">
        <v>5372381.97732913</v>
      </c>
      <c r="D5780" s="0" t="n">
        <v>1</v>
      </c>
    </row>
    <row r="5781" customFormat="false" ht="15" hidden="false" customHeight="false" outlineLevel="0" collapsed="false">
      <c r="A5781" s="0" t="n">
        <v>5780</v>
      </c>
      <c r="B5781" s="18" t="n">
        <v>458281.419546694</v>
      </c>
      <c r="C5781" s="18" t="n">
        <v>0</v>
      </c>
      <c r="D5781" s="0" t="n">
        <v>0</v>
      </c>
      <c r="E5781" s="19" t="n">
        <v>35.1666666666667</v>
      </c>
    </row>
    <row r="5782" customFormat="false" ht="15" hidden="false" customHeight="false" outlineLevel="0" collapsed="false">
      <c r="A5782" s="0" t="n">
        <v>5781</v>
      </c>
      <c r="B5782" s="18" t="n">
        <v>863447.099693469</v>
      </c>
      <c r="C5782" s="18" t="n">
        <v>0</v>
      </c>
      <c r="D5782" s="0" t="n">
        <v>0</v>
      </c>
      <c r="E5782" s="19" t="n">
        <v>38.75</v>
      </c>
    </row>
    <row r="5783" customFormat="false" ht="15" hidden="false" customHeight="false" outlineLevel="0" collapsed="false">
      <c r="A5783" s="0" t="n">
        <v>5782</v>
      </c>
      <c r="B5783" s="18" t="n">
        <v>980273.126711728</v>
      </c>
      <c r="C5783" s="18" t="n">
        <v>0</v>
      </c>
      <c r="D5783" s="0" t="n">
        <v>0</v>
      </c>
      <c r="E5783" s="19" t="n">
        <v>40.1666666666667</v>
      </c>
    </row>
    <row r="5784" customFormat="false" ht="15" hidden="false" customHeight="false" outlineLevel="0" collapsed="false">
      <c r="A5784" s="0" t="n">
        <v>5783</v>
      </c>
      <c r="B5784" s="18" t="n">
        <v>954897.776314971</v>
      </c>
      <c r="C5784" s="18" t="n">
        <v>0</v>
      </c>
      <c r="D5784" s="0" t="n">
        <v>0</v>
      </c>
      <c r="E5784" s="19" t="n">
        <v>44.25</v>
      </c>
    </row>
    <row r="5785" customFormat="false" ht="15" hidden="false" customHeight="false" outlineLevel="0" collapsed="false">
      <c r="A5785" s="0" t="n">
        <v>5784</v>
      </c>
      <c r="B5785" s="18" t="n">
        <v>327913.756076789</v>
      </c>
      <c r="C5785" s="18" t="n">
        <v>0</v>
      </c>
      <c r="D5785" s="0" t="n">
        <v>0</v>
      </c>
      <c r="E5785" s="19" t="n">
        <v>31.75</v>
      </c>
    </row>
    <row r="5786" customFormat="false" ht="15" hidden="false" customHeight="false" outlineLevel="0" collapsed="false">
      <c r="A5786" s="0" t="n">
        <v>5785</v>
      </c>
      <c r="B5786" s="18" t="n">
        <v>467054.520132359</v>
      </c>
      <c r="C5786" s="18" t="n">
        <v>0</v>
      </c>
      <c r="D5786" s="0" t="n">
        <v>0</v>
      </c>
      <c r="E5786" s="19" t="n">
        <v>39.9166666666667</v>
      </c>
    </row>
    <row r="5787" customFormat="false" ht="15" hidden="false" customHeight="false" outlineLevel="0" collapsed="false">
      <c r="A5787" s="0" t="n">
        <v>5786</v>
      </c>
      <c r="B5787" s="18" t="n">
        <v>1112097.53259175</v>
      </c>
      <c r="C5787" s="18" t="n">
        <v>0</v>
      </c>
      <c r="D5787" s="0" t="n">
        <v>0</v>
      </c>
      <c r="E5787" s="19" t="n">
        <v>45.1666666666667</v>
      </c>
    </row>
    <row r="5788" customFormat="false" ht="15" hidden="false" customHeight="false" outlineLevel="0" collapsed="false">
      <c r="A5788" s="0" t="n">
        <v>5787</v>
      </c>
      <c r="B5788" s="18" t="n">
        <v>744813.081830599</v>
      </c>
      <c r="C5788" s="18" t="n">
        <v>4023664.63530121</v>
      </c>
      <c r="D5788" s="0" t="n">
        <v>1</v>
      </c>
    </row>
    <row r="5789" customFormat="false" ht="15" hidden="false" customHeight="false" outlineLevel="0" collapsed="false">
      <c r="A5789" s="0" t="n">
        <v>5788</v>
      </c>
      <c r="B5789" s="18" t="n">
        <v>633400.327532215</v>
      </c>
      <c r="C5789" s="18" t="n">
        <v>0</v>
      </c>
      <c r="D5789" s="0" t="n">
        <v>0</v>
      </c>
      <c r="E5789" s="19" t="n">
        <v>36.75</v>
      </c>
    </row>
    <row r="5790" customFormat="false" ht="15" hidden="false" customHeight="false" outlineLevel="0" collapsed="false">
      <c r="A5790" s="0" t="n">
        <v>5789</v>
      </c>
      <c r="B5790" s="18" t="n">
        <v>1399645.70233023</v>
      </c>
      <c r="C5790" s="18" t="n">
        <v>0</v>
      </c>
      <c r="D5790" s="0" t="n">
        <v>0</v>
      </c>
      <c r="E5790" s="19" t="n">
        <v>48.1666666666667</v>
      </c>
    </row>
    <row r="5791" customFormat="false" ht="15" hidden="false" customHeight="false" outlineLevel="0" collapsed="false">
      <c r="A5791" s="0" t="n">
        <v>5790</v>
      </c>
      <c r="B5791" s="18" t="n">
        <v>2490327.91568754</v>
      </c>
      <c r="C5791" s="18" t="n">
        <v>1336497.98726338</v>
      </c>
      <c r="D5791" s="0" t="n">
        <v>1</v>
      </c>
    </row>
    <row r="5792" customFormat="false" ht="15" hidden="false" customHeight="false" outlineLevel="0" collapsed="false">
      <c r="A5792" s="0" t="n">
        <v>5791</v>
      </c>
      <c r="B5792" s="18" t="n">
        <v>685777.639841468</v>
      </c>
      <c r="C5792" s="18" t="n">
        <v>0</v>
      </c>
      <c r="D5792" s="0" t="n">
        <v>0</v>
      </c>
      <c r="E5792" s="19" t="n">
        <v>34.9166666666667</v>
      </c>
    </row>
    <row r="5793" customFormat="false" ht="15" hidden="false" customHeight="false" outlineLevel="0" collapsed="false">
      <c r="A5793" s="0" t="n">
        <v>5792</v>
      </c>
      <c r="B5793" s="18" t="n">
        <v>1608277.2387495</v>
      </c>
      <c r="C5793" s="18" t="n">
        <v>13446950.4364342</v>
      </c>
      <c r="D5793" s="0" t="n">
        <v>1</v>
      </c>
    </row>
    <row r="5794" customFormat="false" ht="15" hidden="false" customHeight="false" outlineLevel="0" collapsed="false">
      <c r="A5794" s="0" t="n">
        <v>5793</v>
      </c>
      <c r="B5794" s="18" t="n">
        <v>1334860.33758106</v>
      </c>
      <c r="C5794" s="18" t="n">
        <v>1316884.48901108</v>
      </c>
      <c r="D5794" s="0" t="n">
        <v>1</v>
      </c>
    </row>
    <row r="5795" customFormat="false" ht="15" hidden="false" customHeight="false" outlineLevel="0" collapsed="false">
      <c r="A5795" s="0" t="n">
        <v>5794</v>
      </c>
      <c r="B5795" s="18" t="n">
        <v>2029388.92035641</v>
      </c>
      <c r="C5795" s="18" t="n">
        <v>10719798.916089</v>
      </c>
      <c r="D5795" s="0" t="n">
        <v>1</v>
      </c>
    </row>
    <row r="5796" customFormat="false" ht="15" hidden="false" customHeight="false" outlineLevel="0" collapsed="false">
      <c r="A5796" s="0" t="n">
        <v>5795</v>
      </c>
      <c r="B5796" s="18" t="n">
        <v>602779.275493246</v>
      </c>
      <c r="C5796" s="18" t="n">
        <v>0</v>
      </c>
      <c r="D5796" s="0" t="n">
        <v>0</v>
      </c>
      <c r="E5796" s="19" t="n">
        <v>36.6666666666667</v>
      </c>
    </row>
    <row r="5797" customFormat="false" ht="15" hidden="false" customHeight="false" outlineLevel="0" collapsed="false">
      <c r="A5797" s="0" t="n">
        <v>5796</v>
      </c>
      <c r="B5797" s="18" t="n">
        <v>2157816.24794449</v>
      </c>
      <c r="C5797" s="18" t="n">
        <v>1484239.49131331</v>
      </c>
      <c r="D5797" s="0" t="n">
        <v>1</v>
      </c>
    </row>
    <row r="5798" customFormat="false" ht="15" hidden="false" customHeight="false" outlineLevel="0" collapsed="false">
      <c r="A5798" s="0" t="n">
        <v>5797</v>
      </c>
      <c r="B5798" s="18" t="n">
        <v>5754610.01819048</v>
      </c>
      <c r="C5798" s="18" t="n">
        <v>33534457.8907145</v>
      </c>
      <c r="D5798" s="0" t="n">
        <v>1</v>
      </c>
    </row>
    <row r="5799" customFormat="false" ht="15" hidden="false" customHeight="false" outlineLevel="0" collapsed="false">
      <c r="A5799" s="0" t="n">
        <v>5798</v>
      </c>
      <c r="B5799" s="18" t="n">
        <v>2032858.88975496</v>
      </c>
      <c r="C5799" s="18" t="n">
        <v>2134290.62116615</v>
      </c>
      <c r="D5799" s="0" t="n">
        <v>1</v>
      </c>
    </row>
    <row r="5800" customFormat="false" ht="15" hidden="false" customHeight="false" outlineLevel="0" collapsed="false">
      <c r="A5800" s="0" t="n">
        <v>5799</v>
      </c>
      <c r="B5800" s="18" t="n">
        <v>705664.520440804</v>
      </c>
      <c r="C5800" s="18" t="n">
        <v>2185920.41403072</v>
      </c>
      <c r="D5800" s="0" t="n">
        <v>1</v>
      </c>
    </row>
    <row r="5801" customFormat="false" ht="15" hidden="false" customHeight="false" outlineLevel="0" collapsed="false">
      <c r="A5801" s="0" t="n">
        <v>5800</v>
      </c>
      <c r="B5801" s="18" t="n">
        <v>1487142.43571566</v>
      </c>
      <c r="C5801" s="18" t="n">
        <v>1306921.32189403</v>
      </c>
      <c r="D5801" s="0" t="n">
        <v>1</v>
      </c>
    </row>
    <row r="5802" customFormat="false" ht="15" hidden="false" customHeight="false" outlineLevel="0" collapsed="false">
      <c r="A5802" s="0" t="n">
        <v>5801</v>
      </c>
      <c r="B5802" s="18" t="n">
        <v>924811.588689809</v>
      </c>
      <c r="C5802" s="18" t="n">
        <v>0</v>
      </c>
      <c r="D5802" s="0" t="n">
        <v>0</v>
      </c>
      <c r="E5802" s="19" t="n">
        <v>49.8333333333333</v>
      </c>
    </row>
    <row r="5803" customFormat="false" ht="15" hidden="false" customHeight="false" outlineLevel="0" collapsed="false">
      <c r="A5803" s="0" t="n">
        <v>5802</v>
      </c>
      <c r="B5803" s="18" t="n">
        <v>1366902.81643135</v>
      </c>
      <c r="C5803" s="18" t="n">
        <v>2192492.38616742</v>
      </c>
      <c r="D5803" s="0" t="n">
        <v>1</v>
      </c>
    </row>
    <row r="5804" customFormat="false" ht="15" hidden="false" customHeight="false" outlineLevel="0" collapsed="false">
      <c r="A5804" s="0" t="n">
        <v>5803</v>
      </c>
      <c r="B5804" s="18" t="n">
        <v>2619020.58536434</v>
      </c>
      <c r="C5804" s="18" t="n">
        <v>13165653.697436</v>
      </c>
      <c r="D5804" s="0" t="n">
        <v>1</v>
      </c>
    </row>
    <row r="5805" customFormat="false" ht="15" hidden="false" customHeight="false" outlineLevel="0" collapsed="false">
      <c r="A5805" s="0" t="n">
        <v>5804</v>
      </c>
      <c r="B5805" s="18" t="n">
        <v>468286.655508266</v>
      </c>
      <c r="C5805" s="18" t="n">
        <v>0</v>
      </c>
      <c r="D5805" s="0" t="n">
        <v>0</v>
      </c>
      <c r="E5805" s="19" t="n">
        <v>34</v>
      </c>
    </row>
    <row r="5806" customFormat="false" ht="15" hidden="false" customHeight="false" outlineLevel="0" collapsed="false">
      <c r="A5806" s="0" t="n">
        <v>5805</v>
      </c>
      <c r="B5806" s="18" t="n">
        <v>2007436.00868723</v>
      </c>
      <c r="C5806" s="18" t="n">
        <v>971591.76224169</v>
      </c>
      <c r="D5806" s="0" t="n">
        <v>1</v>
      </c>
    </row>
    <row r="5807" customFormat="false" ht="15" hidden="false" customHeight="false" outlineLevel="0" collapsed="false">
      <c r="A5807" s="0" t="n">
        <v>5806</v>
      </c>
      <c r="B5807" s="18" t="n">
        <v>796845.298408413</v>
      </c>
      <c r="C5807" s="18" t="n">
        <v>3149960.15362206</v>
      </c>
      <c r="D5807" s="0" t="n">
        <v>1</v>
      </c>
    </row>
    <row r="5808" customFormat="false" ht="15" hidden="false" customHeight="false" outlineLevel="0" collapsed="false">
      <c r="A5808" s="0" t="n">
        <v>5807</v>
      </c>
      <c r="B5808" s="18" t="n">
        <v>218609.268960637</v>
      </c>
      <c r="C5808" s="18" t="n">
        <v>0</v>
      </c>
      <c r="D5808" s="0" t="n">
        <v>0</v>
      </c>
      <c r="E5808" s="19" t="n">
        <v>28.6666666666667</v>
      </c>
    </row>
    <row r="5809" customFormat="false" ht="15" hidden="false" customHeight="false" outlineLevel="0" collapsed="false">
      <c r="A5809" s="0" t="n">
        <v>5808</v>
      </c>
      <c r="B5809" s="18" t="n">
        <v>963961.986734799</v>
      </c>
      <c r="C5809" s="18" t="n">
        <v>0</v>
      </c>
      <c r="D5809" s="0" t="n">
        <v>0</v>
      </c>
      <c r="E5809" s="19" t="n">
        <v>44.3333333333333</v>
      </c>
    </row>
    <row r="5810" customFormat="false" ht="15" hidden="false" customHeight="false" outlineLevel="0" collapsed="false">
      <c r="A5810" s="0" t="n">
        <v>5809</v>
      </c>
      <c r="B5810" s="18" t="n">
        <v>511948.632855097</v>
      </c>
      <c r="C5810" s="18" t="n">
        <v>0</v>
      </c>
      <c r="D5810" s="0" t="n">
        <v>0</v>
      </c>
      <c r="E5810" s="19" t="n">
        <v>31.4166666666667</v>
      </c>
    </row>
    <row r="5811" customFormat="false" ht="15" hidden="false" customHeight="false" outlineLevel="0" collapsed="false">
      <c r="A5811" s="0" t="n">
        <v>5810</v>
      </c>
      <c r="B5811" s="18" t="n">
        <v>652401.948959358</v>
      </c>
      <c r="C5811" s="18" t="n">
        <v>0</v>
      </c>
      <c r="D5811" s="0" t="n">
        <v>0</v>
      </c>
      <c r="E5811" s="19" t="n">
        <v>40.3333333333333</v>
      </c>
    </row>
    <row r="5812" customFormat="false" ht="15" hidden="false" customHeight="false" outlineLevel="0" collapsed="false">
      <c r="A5812" s="0" t="n">
        <v>5811</v>
      </c>
      <c r="B5812" s="18" t="n">
        <v>1243798.39506823</v>
      </c>
      <c r="C5812" s="18" t="n">
        <v>318774.307586988</v>
      </c>
      <c r="D5812" s="0" t="n">
        <v>1</v>
      </c>
    </row>
    <row r="5813" customFormat="false" ht="15" hidden="false" customHeight="false" outlineLevel="0" collapsed="false">
      <c r="A5813" s="0" t="n">
        <v>5812</v>
      </c>
      <c r="B5813" s="18" t="n">
        <v>973189.045926962</v>
      </c>
      <c r="C5813" s="18" t="n">
        <v>0</v>
      </c>
      <c r="D5813" s="0" t="n">
        <v>0</v>
      </c>
      <c r="E5813" s="19" t="n">
        <v>44.5</v>
      </c>
    </row>
    <row r="5814" customFormat="false" ht="15" hidden="false" customHeight="false" outlineLevel="0" collapsed="false">
      <c r="A5814" s="0" t="n">
        <v>5813</v>
      </c>
      <c r="B5814" s="18" t="n">
        <v>1909178.58072825</v>
      </c>
      <c r="C5814" s="18" t="n">
        <v>1426534.4565629</v>
      </c>
      <c r="D5814" s="0" t="n">
        <v>1</v>
      </c>
    </row>
    <row r="5815" customFormat="false" ht="15" hidden="false" customHeight="false" outlineLevel="0" collapsed="false">
      <c r="A5815" s="0" t="n">
        <v>5814</v>
      </c>
      <c r="B5815" s="18" t="n">
        <v>2522176.07302124</v>
      </c>
      <c r="C5815" s="18" t="n">
        <v>344205.088887026</v>
      </c>
      <c r="D5815" s="0" t="n">
        <v>1</v>
      </c>
    </row>
    <row r="5816" customFormat="false" ht="15" hidden="false" customHeight="false" outlineLevel="0" collapsed="false">
      <c r="A5816" s="0" t="n">
        <v>5815</v>
      </c>
      <c r="B5816" s="18" t="n">
        <v>573960.204685187</v>
      </c>
      <c r="C5816" s="18" t="n">
        <v>0</v>
      </c>
      <c r="D5816" s="0" t="n">
        <v>0</v>
      </c>
      <c r="E5816" s="19" t="n">
        <v>34.5</v>
      </c>
    </row>
    <row r="5817" customFormat="false" ht="15" hidden="false" customHeight="false" outlineLevel="0" collapsed="false">
      <c r="A5817" s="0" t="n">
        <v>5816</v>
      </c>
      <c r="B5817" s="18" t="n">
        <v>634602.838842225</v>
      </c>
      <c r="C5817" s="18" t="n">
        <v>0</v>
      </c>
      <c r="D5817" s="0" t="n">
        <v>0</v>
      </c>
      <c r="E5817" s="19" t="n">
        <v>37.3333333333333</v>
      </c>
    </row>
    <row r="5818" customFormat="false" ht="15" hidden="false" customHeight="false" outlineLevel="0" collapsed="false">
      <c r="A5818" s="0" t="n">
        <v>5817</v>
      </c>
      <c r="B5818" s="18" t="n">
        <v>1862046.96434343</v>
      </c>
      <c r="C5818" s="18" t="n">
        <v>0</v>
      </c>
      <c r="D5818" s="0" t="n">
        <v>0</v>
      </c>
      <c r="E5818" s="19" t="n">
        <v>54.5833333333333</v>
      </c>
    </row>
    <row r="5819" customFormat="false" ht="15" hidden="false" customHeight="false" outlineLevel="0" collapsed="false">
      <c r="A5819" s="0" t="n">
        <v>5818</v>
      </c>
      <c r="B5819" s="18" t="n">
        <v>915718.897698707</v>
      </c>
      <c r="C5819" s="18" t="n">
        <v>1577641.015612</v>
      </c>
      <c r="D5819" s="0" t="n">
        <v>1</v>
      </c>
    </row>
    <row r="5820" customFormat="false" ht="15" hidden="false" customHeight="false" outlineLevel="0" collapsed="false">
      <c r="A5820" s="0" t="n">
        <v>5819</v>
      </c>
      <c r="B5820" s="18" t="n">
        <v>859111.069826539</v>
      </c>
      <c r="C5820" s="18" t="n">
        <v>0</v>
      </c>
      <c r="D5820" s="0" t="n">
        <v>0</v>
      </c>
      <c r="E5820" s="19" t="n">
        <v>48.75</v>
      </c>
    </row>
    <row r="5821" customFormat="false" ht="15" hidden="false" customHeight="false" outlineLevel="0" collapsed="false">
      <c r="A5821" s="0" t="n">
        <v>5820</v>
      </c>
      <c r="B5821" s="18" t="n">
        <v>688015.173856216</v>
      </c>
      <c r="C5821" s="18" t="n">
        <v>0</v>
      </c>
      <c r="D5821" s="0" t="n">
        <v>0</v>
      </c>
      <c r="E5821" s="19" t="n">
        <v>51</v>
      </c>
    </row>
    <row r="5822" customFormat="false" ht="15" hidden="false" customHeight="false" outlineLevel="0" collapsed="false">
      <c r="A5822" s="0" t="n">
        <v>5821</v>
      </c>
      <c r="B5822" s="18" t="n">
        <v>1497499.3788991</v>
      </c>
      <c r="C5822" s="18" t="n">
        <v>1718243.71856263</v>
      </c>
      <c r="D5822" s="0" t="n">
        <v>1</v>
      </c>
    </row>
    <row r="5823" customFormat="false" ht="15" hidden="false" customHeight="false" outlineLevel="0" collapsed="false">
      <c r="A5823" s="0" t="n">
        <v>5822</v>
      </c>
      <c r="B5823" s="18" t="n">
        <v>2188426.43176299</v>
      </c>
      <c r="C5823" s="18" t="n">
        <v>1969798.61886723</v>
      </c>
      <c r="D5823" s="0" t="n">
        <v>1</v>
      </c>
    </row>
    <row r="5824" customFormat="false" ht="15" hidden="false" customHeight="false" outlineLevel="0" collapsed="false">
      <c r="A5824" s="0" t="n">
        <v>5823</v>
      </c>
      <c r="B5824" s="18" t="n">
        <v>1462154.33078643</v>
      </c>
      <c r="C5824" s="18" t="n">
        <v>0</v>
      </c>
      <c r="D5824" s="0" t="n">
        <v>0</v>
      </c>
      <c r="E5824" s="19" t="n">
        <v>49.6666666666667</v>
      </c>
    </row>
    <row r="5825" customFormat="false" ht="15" hidden="false" customHeight="false" outlineLevel="0" collapsed="false">
      <c r="A5825" s="0" t="n">
        <v>5824</v>
      </c>
      <c r="B5825" s="18" t="n">
        <v>383257.903450631</v>
      </c>
      <c r="C5825" s="18" t="n">
        <v>0</v>
      </c>
      <c r="D5825" s="0" t="n">
        <v>0</v>
      </c>
      <c r="E5825" s="19" t="n">
        <v>32.25</v>
      </c>
    </row>
    <row r="5826" customFormat="false" ht="15" hidden="false" customHeight="false" outlineLevel="0" collapsed="false">
      <c r="A5826" s="0" t="n">
        <v>5825</v>
      </c>
      <c r="B5826" s="18" t="n">
        <v>2201020.31218153</v>
      </c>
      <c r="C5826" s="18" t="n">
        <v>884720.783496858</v>
      </c>
      <c r="D5826" s="0" t="n">
        <v>1</v>
      </c>
    </row>
    <row r="5827" customFormat="false" ht="15" hidden="false" customHeight="false" outlineLevel="0" collapsed="false">
      <c r="A5827" s="0" t="n">
        <v>5826</v>
      </c>
      <c r="B5827" s="18" t="n">
        <v>494934.324021775</v>
      </c>
      <c r="C5827" s="18" t="n">
        <v>0</v>
      </c>
      <c r="D5827" s="0" t="n">
        <v>0</v>
      </c>
      <c r="E5827" s="19" t="n">
        <v>34</v>
      </c>
    </row>
    <row r="5828" customFormat="false" ht="15" hidden="false" customHeight="false" outlineLevel="0" collapsed="false">
      <c r="A5828" s="0" t="n">
        <v>5827</v>
      </c>
      <c r="B5828" s="18" t="n">
        <v>797480.863350652</v>
      </c>
      <c r="C5828" s="18" t="n">
        <v>0</v>
      </c>
      <c r="D5828" s="0" t="n">
        <v>0</v>
      </c>
      <c r="E5828" s="19" t="n">
        <v>34</v>
      </c>
    </row>
    <row r="5829" customFormat="false" ht="15" hidden="false" customHeight="false" outlineLevel="0" collapsed="false">
      <c r="A5829" s="0" t="n">
        <v>5828</v>
      </c>
      <c r="B5829" s="18" t="n">
        <v>1129748.72921645</v>
      </c>
      <c r="C5829" s="18" t="n">
        <v>2247050.70784215</v>
      </c>
      <c r="D5829" s="0" t="n">
        <v>1</v>
      </c>
    </row>
    <row r="5830" customFormat="false" ht="15" hidden="false" customHeight="false" outlineLevel="0" collapsed="false">
      <c r="A5830" s="0" t="n">
        <v>5829</v>
      </c>
      <c r="B5830" s="18" t="n">
        <v>1541084.53409606</v>
      </c>
      <c r="C5830" s="18" t="n">
        <v>3348610.51227479</v>
      </c>
      <c r="D5830" s="0" t="n">
        <v>1</v>
      </c>
    </row>
    <row r="5831" customFormat="false" ht="15" hidden="false" customHeight="false" outlineLevel="0" collapsed="false">
      <c r="A5831" s="0" t="n">
        <v>5830</v>
      </c>
      <c r="B5831" s="18" t="n">
        <v>838903.173456678</v>
      </c>
      <c r="C5831" s="18" t="n">
        <v>0</v>
      </c>
      <c r="D5831" s="0" t="n">
        <v>0</v>
      </c>
      <c r="E5831" s="19" t="n">
        <v>43.6666666666667</v>
      </c>
    </row>
    <row r="5832" customFormat="false" ht="15" hidden="false" customHeight="false" outlineLevel="0" collapsed="false">
      <c r="A5832" s="0" t="n">
        <v>5831</v>
      </c>
      <c r="B5832" s="18" t="n">
        <v>1528696.60763711</v>
      </c>
      <c r="C5832" s="18" t="n">
        <v>76747.1308917914</v>
      </c>
      <c r="D5832" s="0" t="n">
        <v>1</v>
      </c>
    </row>
    <row r="5833" customFormat="false" ht="15" hidden="false" customHeight="false" outlineLevel="0" collapsed="false">
      <c r="A5833" s="0" t="n">
        <v>5832</v>
      </c>
      <c r="B5833" s="18" t="n">
        <v>805268.602953632</v>
      </c>
      <c r="C5833" s="18" t="n">
        <v>0</v>
      </c>
      <c r="D5833" s="0" t="n">
        <v>0</v>
      </c>
      <c r="E5833" s="19" t="n">
        <v>36.5</v>
      </c>
    </row>
    <row r="5834" customFormat="false" ht="15" hidden="false" customHeight="false" outlineLevel="0" collapsed="false">
      <c r="A5834" s="0" t="n">
        <v>5833</v>
      </c>
      <c r="B5834" s="18" t="n">
        <v>1568763.27232489</v>
      </c>
      <c r="C5834" s="18" t="n">
        <v>2807873.44937601</v>
      </c>
      <c r="D5834" s="0" t="n">
        <v>1</v>
      </c>
    </row>
    <row r="5835" customFormat="false" ht="15" hidden="false" customHeight="false" outlineLevel="0" collapsed="false">
      <c r="A5835" s="0" t="n">
        <v>5834</v>
      </c>
      <c r="B5835" s="18" t="n">
        <v>934408.692233527</v>
      </c>
      <c r="C5835" s="18" t="n">
        <v>1585517.86487547</v>
      </c>
      <c r="D5835" s="0" t="n">
        <v>1</v>
      </c>
    </row>
    <row r="5836" customFormat="false" ht="15" hidden="false" customHeight="false" outlineLevel="0" collapsed="false">
      <c r="A5836" s="0" t="n">
        <v>5835</v>
      </c>
      <c r="B5836" s="18" t="n">
        <v>4118369.33386409</v>
      </c>
      <c r="C5836" s="18" t="n">
        <v>4100268.79370475</v>
      </c>
      <c r="D5836" s="0" t="n">
        <v>1</v>
      </c>
    </row>
    <row r="5837" customFormat="false" ht="15" hidden="false" customHeight="false" outlineLevel="0" collapsed="false">
      <c r="A5837" s="0" t="n">
        <v>5836</v>
      </c>
      <c r="B5837" s="18" t="n">
        <v>959335.425750362</v>
      </c>
      <c r="C5837" s="18" t="n">
        <v>0</v>
      </c>
      <c r="D5837" s="0" t="n">
        <v>0</v>
      </c>
      <c r="E5837" s="19" t="n">
        <v>48.6666666666667</v>
      </c>
    </row>
    <row r="5838" customFormat="false" ht="15" hidden="false" customHeight="false" outlineLevel="0" collapsed="false">
      <c r="A5838" s="0" t="n">
        <v>5837</v>
      </c>
      <c r="B5838" s="18" t="n">
        <v>1593309.26308897</v>
      </c>
      <c r="C5838" s="18" t="n">
        <v>13773879.6742823</v>
      </c>
      <c r="D5838" s="0" t="n">
        <v>1</v>
      </c>
    </row>
    <row r="5839" customFormat="false" ht="15" hidden="false" customHeight="false" outlineLevel="0" collapsed="false">
      <c r="A5839" s="0" t="n">
        <v>5838</v>
      </c>
      <c r="B5839" s="18" t="n">
        <v>1716262.48837677</v>
      </c>
      <c r="C5839" s="18" t="n">
        <v>1931358.68606907</v>
      </c>
      <c r="D5839" s="0" t="n">
        <v>1</v>
      </c>
    </row>
    <row r="5840" customFormat="false" ht="15" hidden="false" customHeight="false" outlineLevel="0" collapsed="false">
      <c r="A5840" s="0" t="n">
        <v>5839</v>
      </c>
      <c r="B5840" s="18" t="n">
        <v>689413.554336577</v>
      </c>
      <c r="C5840" s="18" t="n">
        <v>0</v>
      </c>
      <c r="D5840" s="0" t="n">
        <v>0</v>
      </c>
      <c r="E5840" s="19" t="n">
        <v>32.75</v>
      </c>
    </row>
    <row r="5841" customFormat="false" ht="15" hidden="false" customHeight="false" outlineLevel="0" collapsed="false">
      <c r="A5841" s="0" t="n">
        <v>5840</v>
      </c>
      <c r="B5841" s="18" t="n">
        <v>1297484.00586898</v>
      </c>
      <c r="C5841" s="18" t="n">
        <v>12605550.7270123</v>
      </c>
      <c r="D5841" s="0" t="n">
        <v>1</v>
      </c>
    </row>
    <row r="5842" customFormat="false" ht="15" hidden="false" customHeight="false" outlineLevel="0" collapsed="false">
      <c r="A5842" s="0" t="n">
        <v>5841</v>
      </c>
      <c r="B5842" s="18" t="n">
        <v>1015340.49280104</v>
      </c>
      <c r="C5842" s="18" t="n">
        <v>0</v>
      </c>
      <c r="D5842" s="0" t="n">
        <v>0</v>
      </c>
      <c r="E5842" s="19" t="n">
        <v>50.4166666666667</v>
      </c>
    </row>
    <row r="5843" customFormat="false" ht="15" hidden="false" customHeight="false" outlineLevel="0" collapsed="false">
      <c r="A5843" s="0" t="n">
        <v>5842</v>
      </c>
      <c r="B5843" s="18" t="n">
        <v>941864.010694283</v>
      </c>
      <c r="C5843" s="18" t="n">
        <v>570494.316269731</v>
      </c>
      <c r="D5843" s="0" t="n">
        <v>1</v>
      </c>
    </row>
    <row r="5844" customFormat="false" ht="15" hidden="false" customHeight="false" outlineLevel="0" collapsed="false">
      <c r="A5844" s="0" t="n">
        <v>5843</v>
      </c>
      <c r="B5844" s="18" t="n">
        <v>1523612.05371066</v>
      </c>
      <c r="C5844" s="18" t="n">
        <v>1800324.14602609</v>
      </c>
      <c r="D5844" s="0" t="n">
        <v>1</v>
      </c>
    </row>
    <row r="5845" customFormat="false" ht="15" hidden="false" customHeight="false" outlineLevel="0" collapsed="false">
      <c r="A5845" s="0" t="n">
        <v>5844</v>
      </c>
      <c r="B5845" s="18" t="n">
        <v>1031832.76666537</v>
      </c>
      <c r="C5845" s="18" t="n">
        <v>0</v>
      </c>
      <c r="D5845" s="0" t="n">
        <v>0</v>
      </c>
      <c r="E5845" s="19" t="n">
        <v>41.8333333333333</v>
      </c>
    </row>
    <row r="5846" customFormat="false" ht="15" hidden="false" customHeight="false" outlineLevel="0" collapsed="false">
      <c r="A5846" s="0" t="n">
        <v>5845</v>
      </c>
      <c r="B5846" s="18" t="n">
        <v>2603509.67121575</v>
      </c>
      <c r="C5846" s="18" t="n">
        <v>3302139.04265592</v>
      </c>
      <c r="D5846" s="0" t="n">
        <v>1</v>
      </c>
    </row>
    <row r="5847" customFormat="false" ht="15" hidden="false" customHeight="false" outlineLevel="0" collapsed="false">
      <c r="A5847" s="0" t="n">
        <v>5846</v>
      </c>
      <c r="B5847" s="18" t="n">
        <v>836353.273374176</v>
      </c>
      <c r="C5847" s="18" t="n">
        <v>16957396.5310766</v>
      </c>
      <c r="D5847" s="0" t="n">
        <v>1</v>
      </c>
    </row>
    <row r="5848" customFormat="false" ht="15" hidden="false" customHeight="false" outlineLevel="0" collapsed="false">
      <c r="A5848" s="0" t="n">
        <v>5847</v>
      </c>
      <c r="B5848" s="18" t="n">
        <v>762828.409676991</v>
      </c>
      <c r="C5848" s="18" t="n">
        <v>1522921.29556828</v>
      </c>
      <c r="D5848" s="0" t="n">
        <v>1</v>
      </c>
    </row>
    <row r="5849" customFormat="false" ht="15" hidden="false" customHeight="false" outlineLevel="0" collapsed="false">
      <c r="A5849" s="0" t="n">
        <v>5848</v>
      </c>
      <c r="B5849" s="18" t="n">
        <v>436122.086802276</v>
      </c>
      <c r="C5849" s="18" t="n">
        <v>0</v>
      </c>
      <c r="D5849" s="0" t="n">
        <v>0</v>
      </c>
      <c r="E5849" s="19" t="n">
        <v>30.5</v>
      </c>
    </row>
    <row r="5850" customFormat="false" ht="15" hidden="false" customHeight="false" outlineLevel="0" collapsed="false">
      <c r="A5850" s="0" t="n">
        <v>5849</v>
      </c>
      <c r="B5850" s="18" t="n">
        <v>1210007.12460069</v>
      </c>
      <c r="C5850" s="18" t="n">
        <v>0</v>
      </c>
      <c r="D5850" s="0" t="n">
        <v>0</v>
      </c>
      <c r="E5850" s="19" t="n">
        <v>47.5833333333333</v>
      </c>
    </row>
    <row r="5851" customFormat="false" ht="15" hidden="false" customHeight="false" outlineLevel="0" collapsed="false">
      <c r="A5851" s="0" t="n">
        <v>5850</v>
      </c>
      <c r="B5851" s="18" t="n">
        <v>540576.995108528</v>
      </c>
      <c r="C5851" s="18" t="n">
        <v>0</v>
      </c>
      <c r="D5851" s="0" t="n">
        <v>0</v>
      </c>
      <c r="E5851" s="19" t="n">
        <v>43.3333333333333</v>
      </c>
    </row>
    <row r="5852" customFormat="false" ht="15" hidden="false" customHeight="false" outlineLevel="0" collapsed="false">
      <c r="A5852" s="0" t="n">
        <v>5851</v>
      </c>
      <c r="B5852" s="18" t="n">
        <v>522716.372571384</v>
      </c>
      <c r="C5852" s="18" t="n">
        <v>0</v>
      </c>
      <c r="D5852" s="0" t="n">
        <v>0</v>
      </c>
      <c r="E5852" s="19" t="n">
        <v>32.25</v>
      </c>
    </row>
    <row r="5853" customFormat="false" ht="15" hidden="false" customHeight="false" outlineLevel="0" collapsed="false">
      <c r="A5853" s="0" t="n">
        <v>5852</v>
      </c>
      <c r="B5853" s="18" t="n">
        <v>357293.493375922</v>
      </c>
      <c r="C5853" s="18" t="n">
        <v>0</v>
      </c>
      <c r="D5853" s="0" t="n">
        <v>0</v>
      </c>
      <c r="E5853" s="19" t="n">
        <v>31.9166666666667</v>
      </c>
    </row>
    <row r="5854" customFormat="false" ht="15" hidden="false" customHeight="false" outlineLevel="0" collapsed="false">
      <c r="A5854" s="0" t="n">
        <v>5853</v>
      </c>
      <c r="B5854" s="18" t="n">
        <v>872227.503149979</v>
      </c>
      <c r="C5854" s="18" t="n">
        <v>104601.584848763</v>
      </c>
      <c r="D5854" s="0" t="n">
        <v>1</v>
      </c>
    </row>
    <row r="5855" customFormat="false" ht="15" hidden="false" customHeight="false" outlineLevel="0" collapsed="false">
      <c r="A5855" s="0" t="n">
        <v>5854</v>
      </c>
      <c r="B5855" s="18" t="n">
        <v>1589680.296576</v>
      </c>
      <c r="C5855" s="18" t="n">
        <v>86704.7728160358</v>
      </c>
      <c r="D5855" s="0" t="n">
        <v>1</v>
      </c>
    </row>
    <row r="5856" customFormat="false" ht="15" hidden="false" customHeight="false" outlineLevel="0" collapsed="false">
      <c r="A5856" s="0" t="n">
        <v>5855</v>
      </c>
      <c r="B5856" s="18" t="n">
        <v>3767198.85576045</v>
      </c>
      <c r="C5856" s="18" t="n">
        <v>6511265.46614547</v>
      </c>
      <c r="D5856" s="0" t="n">
        <v>1</v>
      </c>
    </row>
    <row r="5857" customFormat="false" ht="15" hidden="false" customHeight="false" outlineLevel="0" collapsed="false">
      <c r="A5857" s="0" t="n">
        <v>5856</v>
      </c>
      <c r="B5857" s="18" t="n">
        <v>789041.509493699</v>
      </c>
      <c r="C5857" s="18" t="n">
        <v>2395757.76624797</v>
      </c>
      <c r="D5857" s="0" t="n">
        <v>1</v>
      </c>
    </row>
    <row r="5858" customFormat="false" ht="15" hidden="false" customHeight="false" outlineLevel="0" collapsed="false">
      <c r="A5858" s="0" t="n">
        <v>5857</v>
      </c>
      <c r="B5858" s="18" t="n">
        <v>531375.865189535</v>
      </c>
      <c r="C5858" s="18" t="n">
        <v>0</v>
      </c>
      <c r="D5858" s="0" t="n">
        <v>0</v>
      </c>
      <c r="E5858" s="19" t="n">
        <v>37.0833333333333</v>
      </c>
    </row>
    <row r="5859" customFormat="false" ht="15" hidden="false" customHeight="false" outlineLevel="0" collapsed="false">
      <c r="A5859" s="0" t="n">
        <v>5858</v>
      </c>
      <c r="B5859" s="18" t="n">
        <v>579337.415320544</v>
      </c>
      <c r="C5859" s="18" t="n">
        <v>0</v>
      </c>
      <c r="D5859" s="0" t="n">
        <v>0</v>
      </c>
      <c r="E5859" s="19" t="n">
        <v>37.5</v>
      </c>
    </row>
    <row r="5860" customFormat="false" ht="15" hidden="false" customHeight="false" outlineLevel="0" collapsed="false">
      <c r="A5860" s="0" t="n">
        <v>5859</v>
      </c>
      <c r="B5860" s="18" t="n">
        <v>1244382.11291256</v>
      </c>
      <c r="C5860" s="18" t="n">
        <v>491575.43760903</v>
      </c>
      <c r="D5860" s="0" t="n">
        <v>1</v>
      </c>
    </row>
    <row r="5861" customFormat="false" ht="15" hidden="false" customHeight="false" outlineLevel="0" collapsed="false">
      <c r="A5861" s="0" t="n">
        <v>5860</v>
      </c>
      <c r="B5861" s="18" t="n">
        <v>1717210.93900901</v>
      </c>
      <c r="C5861" s="18" t="n">
        <v>666474.766047393</v>
      </c>
      <c r="D5861" s="0" t="n">
        <v>1</v>
      </c>
    </row>
    <row r="5862" customFormat="false" ht="15" hidden="false" customHeight="false" outlineLevel="0" collapsed="false">
      <c r="A5862" s="0" t="n">
        <v>5861</v>
      </c>
      <c r="B5862" s="18" t="n">
        <v>1429293.38358407</v>
      </c>
      <c r="C5862" s="18" t="n">
        <v>1858593.21741467</v>
      </c>
      <c r="D5862" s="0" t="n">
        <v>1</v>
      </c>
    </row>
    <row r="5863" customFormat="false" ht="15" hidden="false" customHeight="false" outlineLevel="0" collapsed="false">
      <c r="A5863" s="0" t="n">
        <v>5862</v>
      </c>
      <c r="B5863" s="18" t="n">
        <v>2199324.04349517</v>
      </c>
      <c r="C5863" s="18" t="n">
        <v>12084450.7922564</v>
      </c>
      <c r="D5863" s="0" t="n">
        <v>1</v>
      </c>
    </row>
    <row r="5864" customFormat="false" ht="15" hidden="false" customHeight="false" outlineLevel="0" collapsed="false">
      <c r="A5864" s="0" t="n">
        <v>5863</v>
      </c>
      <c r="B5864" s="18" t="n">
        <v>1145018.5921742</v>
      </c>
      <c r="C5864" s="18" t="n">
        <v>21417556.5862418</v>
      </c>
      <c r="D5864" s="0" t="n">
        <v>1</v>
      </c>
    </row>
    <row r="5865" customFormat="false" ht="15" hidden="false" customHeight="false" outlineLevel="0" collapsed="false">
      <c r="A5865" s="0" t="n">
        <v>5864</v>
      </c>
      <c r="B5865" s="18" t="n">
        <v>560826.164441632</v>
      </c>
      <c r="C5865" s="18" t="n">
        <v>0</v>
      </c>
      <c r="D5865" s="0" t="n">
        <v>0</v>
      </c>
      <c r="E5865" s="19" t="n">
        <v>47.75</v>
      </c>
    </row>
    <row r="5866" customFormat="false" ht="15" hidden="false" customHeight="false" outlineLevel="0" collapsed="false">
      <c r="A5866" s="0" t="n">
        <v>5865</v>
      </c>
      <c r="B5866" s="18" t="n">
        <v>978938.277074</v>
      </c>
      <c r="C5866" s="18" t="n">
        <v>0</v>
      </c>
      <c r="D5866" s="0" t="n">
        <v>0</v>
      </c>
      <c r="E5866" s="19" t="n">
        <v>44.6666666666667</v>
      </c>
    </row>
    <row r="5867" customFormat="false" ht="15" hidden="false" customHeight="false" outlineLevel="0" collapsed="false">
      <c r="A5867" s="0" t="n">
        <v>5866</v>
      </c>
      <c r="B5867" s="18" t="n">
        <v>1264029.80339968</v>
      </c>
      <c r="C5867" s="18" t="n">
        <v>2426156.72250443</v>
      </c>
      <c r="D5867" s="0" t="n">
        <v>1</v>
      </c>
    </row>
    <row r="5868" customFormat="false" ht="15" hidden="false" customHeight="false" outlineLevel="0" collapsed="false">
      <c r="A5868" s="0" t="n">
        <v>5867</v>
      </c>
      <c r="B5868" s="18" t="n">
        <v>1065852.62822808</v>
      </c>
      <c r="C5868" s="18" t="n">
        <v>2835597.69509437</v>
      </c>
      <c r="D5868" s="0" t="n">
        <v>1</v>
      </c>
    </row>
    <row r="5869" customFormat="false" ht="15" hidden="false" customHeight="false" outlineLevel="0" collapsed="false">
      <c r="A5869" s="0" t="n">
        <v>5868</v>
      </c>
      <c r="B5869" s="18" t="n">
        <v>1165802.01566194</v>
      </c>
      <c r="C5869" s="18" t="n">
        <v>6085932.81667718</v>
      </c>
      <c r="D5869" s="0" t="n">
        <v>1</v>
      </c>
    </row>
    <row r="5870" customFormat="false" ht="15" hidden="false" customHeight="false" outlineLevel="0" collapsed="false">
      <c r="A5870" s="0" t="n">
        <v>5869</v>
      </c>
      <c r="B5870" s="18" t="n">
        <v>622985.743732423</v>
      </c>
      <c r="C5870" s="18" t="n">
        <v>0</v>
      </c>
      <c r="D5870" s="0" t="n">
        <v>0</v>
      </c>
      <c r="E5870" s="19" t="n">
        <v>35.1666666666667</v>
      </c>
    </row>
    <row r="5871" customFormat="false" ht="15" hidden="false" customHeight="false" outlineLevel="0" collapsed="false">
      <c r="A5871" s="0" t="n">
        <v>5870</v>
      </c>
      <c r="B5871" s="18" t="n">
        <v>898151.862915287</v>
      </c>
      <c r="C5871" s="18" t="n">
        <v>0</v>
      </c>
      <c r="D5871" s="0" t="n">
        <v>0</v>
      </c>
      <c r="E5871" s="19" t="n">
        <v>44.5833333333333</v>
      </c>
    </row>
    <row r="5872" customFormat="false" ht="15" hidden="false" customHeight="false" outlineLevel="0" collapsed="false">
      <c r="A5872" s="0" t="n">
        <v>5871</v>
      </c>
      <c r="B5872" s="18" t="n">
        <v>801148.962449989</v>
      </c>
      <c r="C5872" s="18" t="n">
        <v>0</v>
      </c>
      <c r="D5872" s="0" t="n">
        <v>0</v>
      </c>
      <c r="E5872" s="19" t="n">
        <v>42.5</v>
      </c>
    </row>
    <row r="5873" customFormat="false" ht="15" hidden="false" customHeight="false" outlineLevel="0" collapsed="false">
      <c r="A5873" s="0" t="n">
        <v>5872</v>
      </c>
      <c r="B5873" s="18" t="n">
        <v>1602000.39256356</v>
      </c>
      <c r="C5873" s="18" t="n">
        <v>247816.784196475</v>
      </c>
      <c r="D5873" s="0" t="n">
        <v>1</v>
      </c>
    </row>
    <row r="5874" customFormat="false" ht="15" hidden="false" customHeight="false" outlineLevel="0" collapsed="false">
      <c r="A5874" s="0" t="n">
        <v>5873</v>
      </c>
      <c r="B5874" s="18" t="n">
        <v>914714.335591761</v>
      </c>
      <c r="C5874" s="18" t="n">
        <v>983202.348687235</v>
      </c>
      <c r="D5874" s="0" t="n">
        <v>1</v>
      </c>
    </row>
    <row r="5875" customFormat="false" ht="15" hidden="false" customHeight="false" outlineLevel="0" collapsed="false">
      <c r="A5875" s="0" t="n">
        <v>5874</v>
      </c>
      <c r="B5875" s="18" t="n">
        <v>1341421.26486978</v>
      </c>
      <c r="C5875" s="18" t="n">
        <v>0</v>
      </c>
      <c r="D5875" s="0" t="n">
        <v>0</v>
      </c>
      <c r="E5875" s="19" t="n">
        <v>54.5833333333333</v>
      </c>
    </row>
    <row r="5876" customFormat="false" ht="15" hidden="false" customHeight="false" outlineLevel="0" collapsed="false">
      <c r="A5876" s="0" t="n">
        <v>5875</v>
      </c>
      <c r="B5876" s="18" t="n">
        <v>1001257.56503633</v>
      </c>
      <c r="C5876" s="18" t="n">
        <v>0</v>
      </c>
      <c r="D5876" s="0" t="n">
        <v>0</v>
      </c>
      <c r="E5876" s="19" t="n">
        <v>34.8333333333333</v>
      </c>
    </row>
    <row r="5877" customFormat="false" ht="15" hidden="false" customHeight="false" outlineLevel="0" collapsed="false">
      <c r="A5877" s="0" t="n">
        <v>5876</v>
      </c>
      <c r="B5877" s="18" t="n">
        <v>1817041.49890861</v>
      </c>
      <c r="C5877" s="18" t="n">
        <v>1303607.55200456</v>
      </c>
      <c r="D5877" s="0" t="n">
        <v>1</v>
      </c>
    </row>
    <row r="5878" customFormat="false" ht="15" hidden="false" customHeight="false" outlineLevel="0" collapsed="false">
      <c r="A5878" s="0" t="n">
        <v>5877</v>
      </c>
      <c r="B5878" s="18" t="n">
        <v>1872651.39937803</v>
      </c>
      <c r="C5878" s="18" t="n">
        <v>3526123.58525317</v>
      </c>
      <c r="D5878" s="0" t="n">
        <v>1</v>
      </c>
    </row>
    <row r="5879" customFormat="false" ht="15" hidden="false" customHeight="false" outlineLevel="0" collapsed="false">
      <c r="A5879" s="0" t="n">
        <v>5878</v>
      </c>
      <c r="B5879" s="18" t="n">
        <v>562920.316666677</v>
      </c>
      <c r="C5879" s="18" t="n">
        <v>0</v>
      </c>
      <c r="D5879" s="0" t="n">
        <v>0</v>
      </c>
      <c r="E5879" s="19" t="n">
        <v>37.5833333333333</v>
      </c>
    </row>
    <row r="5880" customFormat="false" ht="15" hidden="false" customHeight="false" outlineLevel="0" collapsed="false">
      <c r="A5880" s="0" t="n">
        <v>5879</v>
      </c>
      <c r="B5880" s="18" t="n">
        <v>1920983.77784333</v>
      </c>
      <c r="C5880" s="18" t="n">
        <v>2218126.44291336</v>
      </c>
      <c r="D5880" s="0" t="n">
        <v>1</v>
      </c>
    </row>
    <row r="5881" customFormat="false" ht="15" hidden="false" customHeight="false" outlineLevel="0" collapsed="false">
      <c r="A5881" s="0" t="n">
        <v>5880</v>
      </c>
      <c r="B5881" s="18" t="n">
        <v>1022544.50473452</v>
      </c>
      <c r="C5881" s="18" t="n">
        <v>14304936.8911547</v>
      </c>
      <c r="D5881" s="0" t="n">
        <v>1</v>
      </c>
    </row>
    <row r="5882" customFormat="false" ht="15" hidden="false" customHeight="false" outlineLevel="0" collapsed="false">
      <c r="A5882" s="0" t="n">
        <v>5881</v>
      </c>
      <c r="B5882" s="18" t="n">
        <v>926540.913585956</v>
      </c>
      <c r="C5882" s="18" t="n">
        <v>0</v>
      </c>
      <c r="D5882" s="0" t="n">
        <v>0</v>
      </c>
      <c r="E5882" s="19" t="n">
        <v>51.8333333333333</v>
      </c>
    </row>
    <row r="5883" customFormat="false" ht="15" hidden="false" customHeight="false" outlineLevel="0" collapsed="false">
      <c r="A5883" s="0" t="n">
        <v>5882</v>
      </c>
      <c r="B5883" s="18" t="n">
        <v>906890.661314843</v>
      </c>
      <c r="C5883" s="18" t="n">
        <v>0</v>
      </c>
      <c r="D5883" s="0" t="n">
        <v>0</v>
      </c>
      <c r="E5883" s="19" t="n">
        <v>38.5833333333333</v>
      </c>
    </row>
    <row r="5884" customFormat="false" ht="15" hidden="false" customHeight="false" outlineLevel="0" collapsed="false">
      <c r="A5884" s="0" t="n">
        <v>5883</v>
      </c>
      <c r="B5884" s="18" t="n">
        <v>497462.746216682</v>
      </c>
      <c r="C5884" s="18" t="n">
        <v>0</v>
      </c>
      <c r="D5884" s="0" t="n">
        <v>0</v>
      </c>
      <c r="E5884" s="19" t="n">
        <v>42.75</v>
      </c>
    </row>
    <row r="5885" customFormat="false" ht="15" hidden="false" customHeight="false" outlineLevel="0" collapsed="false">
      <c r="A5885" s="0" t="n">
        <v>5884</v>
      </c>
      <c r="B5885" s="18" t="n">
        <v>667899.974010598</v>
      </c>
      <c r="C5885" s="18" t="n">
        <v>0</v>
      </c>
      <c r="D5885" s="0" t="n">
        <v>0</v>
      </c>
      <c r="E5885" s="19" t="n">
        <v>35.75</v>
      </c>
    </row>
    <row r="5886" customFormat="false" ht="15" hidden="false" customHeight="false" outlineLevel="0" collapsed="false">
      <c r="A5886" s="0" t="n">
        <v>5885</v>
      </c>
      <c r="B5886" s="18" t="n">
        <v>574796.487409734</v>
      </c>
      <c r="C5886" s="18" t="n">
        <v>0</v>
      </c>
      <c r="D5886" s="0" t="n">
        <v>0</v>
      </c>
      <c r="E5886" s="19" t="n">
        <v>37.5833333333333</v>
      </c>
    </row>
    <row r="5887" customFormat="false" ht="15" hidden="false" customHeight="false" outlineLevel="0" collapsed="false">
      <c r="A5887" s="0" t="n">
        <v>5886</v>
      </c>
      <c r="B5887" s="18" t="n">
        <v>380938.457146218</v>
      </c>
      <c r="C5887" s="18" t="n">
        <v>0</v>
      </c>
      <c r="D5887" s="0" t="n">
        <v>0</v>
      </c>
      <c r="E5887" s="19" t="n">
        <v>31.8333333333333</v>
      </c>
    </row>
    <row r="5888" customFormat="false" ht="15" hidden="false" customHeight="false" outlineLevel="0" collapsed="false">
      <c r="A5888" s="0" t="n">
        <v>5887</v>
      </c>
      <c r="B5888" s="18" t="n">
        <v>607545.978515366</v>
      </c>
      <c r="C5888" s="18" t="n">
        <v>0</v>
      </c>
      <c r="D5888" s="0" t="n">
        <v>0</v>
      </c>
      <c r="E5888" s="19" t="n">
        <v>49.4166666666667</v>
      </c>
    </row>
    <row r="5889" customFormat="false" ht="15" hidden="false" customHeight="false" outlineLevel="0" collapsed="false">
      <c r="A5889" s="0" t="n">
        <v>5888</v>
      </c>
      <c r="B5889" s="18" t="n">
        <v>1399578.78613913</v>
      </c>
      <c r="C5889" s="18" t="n">
        <v>7300339.60519289</v>
      </c>
      <c r="D5889" s="0" t="n">
        <v>1</v>
      </c>
    </row>
    <row r="5890" customFormat="false" ht="15" hidden="false" customHeight="false" outlineLevel="0" collapsed="false">
      <c r="A5890" s="0" t="n">
        <v>5889</v>
      </c>
      <c r="B5890" s="18" t="n">
        <v>1827300.64135749</v>
      </c>
      <c r="C5890" s="18" t="n">
        <v>10337152.6275526</v>
      </c>
      <c r="D5890" s="0" t="n">
        <v>1</v>
      </c>
    </row>
    <row r="5891" customFormat="false" ht="15" hidden="false" customHeight="false" outlineLevel="0" collapsed="false">
      <c r="A5891" s="0" t="n">
        <v>5890</v>
      </c>
      <c r="B5891" s="18" t="n">
        <v>997822.144709766</v>
      </c>
      <c r="C5891" s="18" t="n">
        <v>0</v>
      </c>
      <c r="D5891" s="0" t="n">
        <v>0</v>
      </c>
      <c r="E5891" s="19" t="n">
        <v>45.1666666666667</v>
      </c>
    </row>
    <row r="5892" customFormat="false" ht="15" hidden="false" customHeight="false" outlineLevel="0" collapsed="false">
      <c r="A5892" s="0" t="n">
        <v>5891</v>
      </c>
      <c r="B5892" s="18" t="n">
        <v>1598700.80314092</v>
      </c>
      <c r="C5892" s="18" t="n">
        <v>0</v>
      </c>
      <c r="D5892" s="0" t="n">
        <v>0</v>
      </c>
      <c r="E5892" s="19" t="n">
        <v>47.5</v>
      </c>
    </row>
    <row r="5893" customFormat="false" ht="15" hidden="false" customHeight="false" outlineLevel="0" collapsed="false">
      <c r="A5893" s="0" t="n">
        <v>5892</v>
      </c>
      <c r="B5893" s="18" t="n">
        <v>1122887.60605516</v>
      </c>
      <c r="C5893" s="18" t="n">
        <v>0</v>
      </c>
      <c r="D5893" s="0" t="n">
        <v>0</v>
      </c>
      <c r="E5893" s="19" t="n">
        <v>45.5</v>
      </c>
    </row>
    <row r="5894" customFormat="false" ht="15" hidden="false" customHeight="false" outlineLevel="0" collapsed="false">
      <c r="A5894" s="0" t="n">
        <v>5893</v>
      </c>
      <c r="B5894" s="18" t="n">
        <v>2502218.89072835</v>
      </c>
      <c r="C5894" s="18" t="n">
        <v>25278682.2846879</v>
      </c>
      <c r="D5894" s="0" t="n">
        <v>1</v>
      </c>
    </row>
    <row r="5895" customFormat="false" ht="15" hidden="false" customHeight="false" outlineLevel="0" collapsed="false">
      <c r="A5895" s="0" t="n">
        <v>5894</v>
      </c>
      <c r="B5895" s="18" t="n">
        <v>1381821.62501548</v>
      </c>
      <c r="C5895" s="18" t="n">
        <v>10460363.6879139</v>
      </c>
      <c r="D5895" s="0" t="n">
        <v>1</v>
      </c>
    </row>
    <row r="5896" customFormat="false" ht="15" hidden="false" customHeight="false" outlineLevel="0" collapsed="false">
      <c r="A5896" s="0" t="n">
        <v>5895</v>
      </c>
      <c r="B5896" s="18" t="n">
        <v>837539.483838899</v>
      </c>
      <c r="C5896" s="18" t="n">
        <v>0</v>
      </c>
      <c r="D5896" s="0" t="n">
        <v>0</v>
      </c>
      <c r="E5896" s="19" t="n">
        <v>40.0833333333333</v>
      </c>
    </row>
    <row r="5897" customFormat="false" ht="15" hidden="false" customHeight="false" outlineLevel="0" collapsed="false">
      <c r="A5897" s="0" t="n">
        <v>5896</v>
      </c>
      <c r="B5897" s="18" t="n">
        <v>545484.653473721</v>
      </c>
      <c r="C5897" s="18" t="n">
        <v>0</v>
      </c>
      <c r="D5897" s="0" t="n">
        <v>0</v>
      </c>
      <c r="E5897" s="19" t="n">
        <v>40.0833333333333</v>
      </c>
    </row>
    <row r="5898" customFormat="false" ht="15" hidden="false" customHeight="false" outlineLevel="0" collapsed="false">
      <c r="A5898" s="0" t="n">
        <v>5897</v>
      </c>
      <c r="B5898" s="18" t="n">
        <v>1044602.74335689</v>
      </c>
      <c r="C5898" s="18" t="n">
        <v>16586478.2445764</v>
      </c>
      <c r="D5898" s="0" t="n">
        <v>1</v>
      </c>
    </row>
    <row r="5899" customFormat="false" ht="15" hidden="false" customHeight="false" outlineLevel="0" collapsed="false">
      <c r="A5899" s="0" t="n">
        <v>5898</v>
      </c>
      <c r="B5899" s="18" t="n">
        <v>1187812.73966739</v>
      </c>
      <c r="C5899" s="18" t="n">
        <v>0</v>
      </c>
      <c r="D5899" s="0" t="n">
        <v>0</v>
      </c>
      <c r="E5899" s="19" t="n">
        <v>50.3333333333333</v>
      </c>
    </row>
    <row r="5900" customFormat="false" ht="15" hidden="false" customHeight="false" outlineLevel="0" collapsed="false">
      <c r="A5900" s="0" t="n">
        <v>5899</v>
      </c>
      <c r="B5900" s="18" t="n">
        <v>587820.569396114</v>
      </c>
      <c r="C5900" s="18" t="n">
        <v>0</v>
      </c>
      <c r="D5900" s="0" t="n">
        <v>0</v>
      </c>
      <c r="E5900" s="19" t="n">
        <v>39</v>
      </c>
    </row>
    <row r="5901" customFormat="false" ht="15" hidden="false" customHeight="false" outlineLevel="0" collapsed="false">
      <c r="A5901" s="0" t="n">
        <v>5900</v>
      </c>
      <c r="B5901" s="18" t="n">
        <v>1496774.42763845</v>
      </c>
      <c r="C5901" s="18" t="n">
        <v>3999378.61014133</v>
      </c>
      <c r="D5901" s="0" t="n">
        <v>1</v>
      </c>
    </row>
    <row r="5902" customFormat="false" ht="15" hidden="false" customHeight="false" outlineLevel="0" collapsed="false">
      <c r="A5902" s="0" t="n">
        <v>5901</v>
      </c>
      <c r="B5902" s="18" t="n">
        <v>790637.430839168</v>
      </c>
      <c r="C5902" s="18" t="n">
        <v>93909.2536580025</v>
      </c>
      <c r="D5902" s="0" t="n">
        <v>1</v>
      </c>
    </row>
    <row r="5903" customFormat="false" ht="15" hidden="false" customHeight="false" outlineLevel="0" collapsed="false">
      <c r="A5903" s="0" t="n">
        <v>5902</v>
      </c>
      <c r="B5903" s="18" t="n">
        <v>1621211.45451056</v>
      </c>
      <c r="C5903" s="18" t="n">
        <v>0</v>
      </c>
      <c r="D5903" s="0" t="n">
        <v>0</v>
      </c>
      <c r="E5903" s="19" t="n">
        <v>46.0833333333333</v>
      </c>
    </row>
    <row r="5904" customFormat="false" ht="15" hidden="false" customHeight="false" outlineLevel="0" collapsed="false">
      <c r="A5904" s="0" t="n">
        <v>5903</v>
      </c>
      <c r="B5904" s="18" t="n">
        <v>2175740.26631088</v>
      </c>
      <c r="C5904" s="18" t="n">
        <v>3380260.34387549</v>
      </c>
      <c r="D5904" s="0" t="n">
        <v>1</v>
      </c>
    </row>
    <row r="5905" customFormat="false" ht="15" hidden="false" customHeight="false" outlineLevel="0" collapsed="false">
      <c r="A5905" s="0" t="n">
        <v>5904</v>
      </c>
      <c r="B5905" s="18" t="n">
        <v>1709255.82879792</v>
      </c>
      <c r="C5905" s="18" t="n">
        <v>7603190.32212762</v>
      </c>
      <c r="D5905" s="0" t="n">
        <v>1</v>
      </c>
    </row>
    <row r="5906" customFormat="false" ht="15" hidden="false" customHeight="false" outlineLevel="0" collapsed="false">
      <c r="A5906" s="0" t="n">
        <v>5905</v>
      </c>
      <c r="B5906" s="18" t="n">
        <v>814180.712239484</v>
      </c>
      <c r="C5906" s="18" t="n">
        <v>0</v>
      </c>
      <c r="D5906" s="0" t="n">
        <v>0</v>
      </c>
      <c r="E5906" s="19" t="n">
        <v>54.4166666666667</v>
      </c>
    </row>
    <row r="5907" customFormat="false" ht="15" hidden="false" customHeight="false" outlineLevel="0" collapsed="false">
      <c r="A5907" s="0" t="n">
        <v>5906</v>
      </c>
      <c r="B5907" s="18" t="n">
        <v>1299865.13799227</v>
      </c>
      <c r="C5907" s="18" t="n">
        <v>11088228.0574791</v>
      </c>
      <c r="D5907" s="0" t="n">
        <v>1</v>
      </c>
    </row>
    <row r="5908" customFormat="false" ht="15" hidden="false" customHeight="false" outlineLevel="0" collapsed="false">
      <c r="A5908" s="0" t="n">
        <v>5907</v>
      </c>
      <c r="B5908" s="18" t="n">
        <v>995297.980693423</v>
      </c>
      <c r="C5908" s="18" t="n">
        <v>0</v>
      </c>
      <c r="D5908" s="0" t="n">
        <v>0</v>
      </c>
      <c r="E5908" s="19" t="n">
        <v>48.9166666666667</v>
      </c>
    </row>
    <row r="5909" customFormat="false" ht="15" hidden="false" customHeight="false" outlineLevel="0" collapsed="false">
      <c r="A5909" s="0" t="n">
        <v>5908</v>
      </c>
      <c r="B5909" s="18" t="n">
        <v>573287.684911464</v>
      </c>
      <c r="C5909" s="18" t="n">
        <v>0</v>
      </c>
      <c r="D5909" s="0" t="n">
        <v>0</v>
      </c>
      <c r="E5909" s="19" t="n">
        <v>35.5833333333333</v>
      </c>
    </row>
    <row r="5910" customFormat="false" ht="15" hidden="false" customHeight="false" outlineLevel="0" collapsed="false">
      <c r="A5910" s="0" t="n">
        <v>5909</v>
      </c>
      <c r="B5910" s="18" t="n">
        <v>1624225.88278565</v>
      </c>
      <c r="C5910" s="18" t="n">
        <v>0</v>
      </c>
      <c r="D5910" s="0" t="n">
        <v>0</v>
      </c>
      <c r="E5910" s="19" t="n">
        <v>51.25</v>
      </c>
    </row>
    <row r="5911" customFormat="false" ht="15" hidden="false" customHeight="false" outlineLevel="0" collapsed="false">
      <c r="A5911" s="0" t="n">
        <v>5910</v>
      </c>
      <c r="B5911" s="18" t="n">
        <v>632921.229878288</v>
      </c>
      <c r="C5911" s="18" t="n">
        <v>2141122.39143915</v>
      </c>
      <c r="D5911" s="0" t="n">
        <v>1</v>
      </c>
    </row>
    <row r="5912" customFormat="false" ht="15" hidden="false" customHeight="false" outlineLevel="0" collapsed="false">
      <c r="A5912" s="0" t="n">
        <v>5911</v>
      </c>
      <c r="B5912" s="18" t="n">
        <v>848551.988939286</v>
      </c>
      <c r="C5912" s="18" t="n">
        <v>0</v>
      </c>
      <c r="D5912" s="0" t="n">
        <v>0</v>
      </c>
      <c r="E5912" s="19" t="n">
        <v>38.9166666666667</v>
      </c>
    </row>
    <row r="5913" customFormat="false" ht="15" hidden="false" customHeight="false" outlineLevel="0" collapsed="false">
      <c r="A5913" s="0" t="n">
        <v>5912</v>
      </c>
      <c r="B5913" s="18" t="n">
        <v>2443238.65305131</v>
      </c>
      <c r="C5913" s="18" t="n">
        <v>9839103.64422706</v>
      </c>
      <c r="D5913" s="0" t="n">
        <v>1</v>
      </c>
    </row>
    <row r="5914" customFormat="false" ht="15" hidden="false" customHeight="false" outlineLevel="0" collapsed="false">
      <c r="A5914" s="0" t="n">
        <v>5913</v>
      </c>
      <c r="B5914" s="18" t="n">
        <v>3134159.68306356</v>
      </c>
      <c r="C5914" s="18" t="n">
        <v>9987147.51841168</v>
      </c>
      <c r="D5914" s="0" t="n">
        <v>1</v>
      </c>
    </row>
    <row r="5915" customFormat="false" ht="15" hidden="false" customHeight="false" outlineLevel="0" collapsed="false">
      <c r="A5915" s="0" t="n">
        <v>5914</v>
      </c>
      <c r="B5915" s="18" t="n">
        <v>1487612.24489891</v>
      </c>
      <c r="C5915" s="18" t="n">
        <v>12564085.6279437</v>
      </c>
      <c r="D5915" s="0" t="n">
        <v>1</v>
      </c>
    </row>
    <row r="5916" customFormat="false" ht="15" hidden="false" customHeight="false" outlineLevel="0" collapsed="false">
      <c r="A5916" s="0" t="n">
        <v>5915</v>
      </c>
      <c r="B5916" s="18" t="n">
        <v>1796471.16620332</v>
      </c>
      <c r="C5916" s="18" t="n">
        <v>3648335.43918049</v>
      </c>
      <c r="D5916" s="0" t="n">
        <v>1</v>
      </c>
    </row>
    <row r="5917" customFormat="false" ht="15" hidden="false" customHeight="false" outlineLevel="0" collapsed="false">
      <c r="A5917" s="0" t="n">
        <v>5916</v>
      </c>
      <c r="B5917" s="18" t="n">
        <v>680860.890204855</v>
      </c>
      <c r="C5917" s="18" t="n">
        <v>0</v>
      </c>
      <c r="D5917" s="0" t="n">
        <v>0</v>
      </c>
      <c r="E5917" s="19" t="n">
        <v>38.8333333333333</v>
      </c>
    </row>
    <row r="5918" customFormat="false" ht="15" hidden="false" customHeight="false" outlineLevel="0" collapsed="false">
      <c r="A5918" s="0" t="n">
        <v>5917</v>
      </c>
      <c r="B5918" s="18" t="n">
        <v>896991.703173913</v>
      </c>
      <c r="C5918" s="18" t="n">
        <v>0</v>
      </c>
      <c r="D5918" s="0" t="n">
        <v>0</v>
      </c>
      <c r="E5918" s="19" t="n">
        <v>40</v>
      </c>
    </row>
    <row r="5919" customFormat="false" ht="15" hidden="false" customHeight="false" outlineLevel="0" collapsed="false">
      <c r="A5919" s="0" t="n">
        <v>5918</v>
      </c>
      <c r="B5919" s="18" t="n">
        <v>607558.333537461</v>
      </c>
      <c r="C5919" s="18" t="n">
        <v>0</v>
      </c>
      <c r="D5919" s="0" t="n">
        <v>0</v>
      </c>
      <c r="E5919" s="19" t="n">
        <v>34.75</v>
      </c>
    </row>
    <row r="5920" customFormat="false" ht="15" hidden="false" customHeight="false" outlineLevel="0" collapsed="false">
      <c r="A5920" s="0" t="n">
        <v>5919</v>
      </c>
      <c r="B5920" s="18" t="n">
        <v>511720.277526566</v>
      </c>
      <c r="C5920" s="18" t="n">
        <v>0</v>
      </c>
      <c r="D5920" s="0" t="n">
        <v>0</v>
      </c>
      <c r="E5920" s="19" t="n">
        <v>34.5833333333333</v>
      </c>
    </row>
    <row r="5921" customFormat="false" ht="15" hidden="false" customHeight="false" outlineLevel="0" collapsed="false">
      <c r="A5921" s="0" t="n">
        <v>5920</v>
      </c>
      <c r="B5921" s="18" t="n">
        <v>1675849.9609859</v>
      </c>
      <c r="C5921" s="18" t="n">
        <v>851317.949991131</v>
      </c>
      <c r="D5921" s="0" t="n">
        <v>1</v>
      </c>
    </row>
    <row r="5922" customFormat="false" ht="15" hidden="false" customHeight="false" outlineLevel="0" collapsed="false">
      <c r="A5922" s="0" t="n">
        <v>5921</v>
      </c>
      <c r="B5922" s="18" t="n">
        <v>614914.383088391</v>
      </c>
      <c r="C5922" s="18" t="n">
        <v>0</v>
      </c>
      <c r="D5922" s="0" t="n">
        <v>0</v>
      </c>
      <c r="E5922" s="19" t="n">
        <v>37.25</v>
      </c>
    </row>
    <row r="5923" customFormat="false" ht="15" hidden="false" customHeight="false" outlineLevel="0" collapsed="false">
      <c r="A5923" s="0" t="n">
        <v>5922</v>
      </c>
      <c r="B5923" s="18" t="n">
        <v>1115199.1359485</v>
      </c>
      <c r="C5923" s="18" t="n">
        <v>1358428.81126998</v>
      </c>
      <c r="D5923" s="0" t="n">
        <v>1</v>
      </c>
    </row>
    <row r="5924" customFormat="false" ht="15" hidden="false" customHeight="false" outlineLevel="0" collapsed="false">
      <c r="A5924" s="0" t="n">
        <v>5923</v>
      </c>
      <c r="B5924" s="18" t="n">
        <v>1034231.30825768</v>
      </c>
      <c r="C5924" s="18" t="n">
        <v>19031544.6355551</v>
      </c>
      <c r="D5924" s="0" t="n">
        <v>1</v>
      </c>
    </row>
    <row r="5925" customFormat="false" ht="15" hidden="false" customHeight="false" outlineLevel="0" collapsed="false">
      <c r="A5925" s="0" t="n">
        <v>5924</v>
      </c>
      <c r="B5925" s="18" t="n">
        <v>1957619.7928927</v>
      </c>
      <c r="C5925" s="18" t="n">
        <v>0</v>
      </c>
      <c r="D5925" s="0" t="n">
        <v>0</v>
      </c>
      <c r="E5925" s="19" t="n">
        <v>52.75</v>
      </c>
    </row>
    <row r="5926" customFormat="false" ht="15" hidden="false" customHeight="false" outlineLevel="0" collapsed="false">
      <c r="A5926" s="0" t="n">
        <v>5925</v>
      </c>
      <c r="B5926" s="18" t="n">
        <v>867580.051543187</v>
      </c>
      <c r="C5926" s="18" t="n">
        <v>3191593.04943722</v>
      </c>
      <c r="D5926" s="0" t="n">
        <v>1</v>
      </c>
    </row>
    <row r="5927" customFormat="false" ht="15" hidden="false" customHeight="false" outlineLevel="0" collapsed="false">
      <c r="A5927" s="0" t="n">
        <v>5926</v>
      </c>
      <c r="B5927" s="18" t="n">
        <v>1215432.62971057</v>
      </c>
      <c r="C5927" s="18" t="n">
        <v>1316894.96427231</v>
      </c>
      <c r="D5927" s="0" t="n">
        <v>1</v>
      </c>
    </row>
    <row r="5928" customFormat="false" ht="15" hidden="false" customHeight="false" outlineLevel="0" collapsed="false">
      <c r="A5928" s="0" t="n">
        <v>5927</v>
      </c>
      <c r="B5928" s="18" t="n">
        <v>1267569.70359714</v>
      </c>
      <c r="C5928" s="18" t="n">
        <v>564755.170938086</v>
      </c>
      <c r="D5928" s="0" t="n">
        <v>1</v>
      </c>
    </row>
    <row r="5929" customFormat="false" ht="15" hidden="false" customHeight="false" outlineLevel="0" collapsed="false">
      <c r="A5929" s="0" t="n">
        <v>5928</v>
      </c>
      <c r="B5929" s="18" t="n">
        <v>1374854.68122835</v>
      </c>
      <c r="C5929" s="18" t="n">
        <v>0</v>
      </c>
      <c r="D5929" s="0" t="n">
        <v>0</v>
      </c>
      <c r="E5929" s="19" t="n">
        <v>46.6666666666667</v>
      </c>
    </row>
    <row r="5930" customFormat="false" ht="15" hidden="false" customHeight="false" outlineLevel="0" collapsed="false">
      <c r="A5930" s="0" t="n">
        <v>5929</v>
      </c>
      <c r="B5930" s="18" t="n">
        <v>851937.493224762</v>
      </c>
      <c r="C5930" s="18" t="n">
        <v>0</v>
      </c>
      <c r="D5930" s="0" t="n">
        <v>0</v>
      </c>
      <c r="E5930" s="19" t="n">
        <v>38</v>
      </c>
    </row>
    <row r="5931" customFormat="false" ht="15" hidden="false" customHeight="false" outlineLevel="0" collapsed="false">
      <c r="A5931" s="0" t="n">
        <v>5930</v>
      </c>
      <c r="B5931" s="18" t="n">
        <v>357146.434935182</v>
      </c>
      <c r="C5931" s="18" t="n">
        <v>0</v>
      </c>
      <c r="D5931" s="0" t="n">
        <v>0</v>
      </c>
      <c r="E5931" s="19" t="n">
        <v>31.5833333333333</v>
      </c>
    </row>
    <row r="5932" customFormat="false" ht="15" hidden="false" customHeight="false" outlineLevel="0" collapsed="false">
      <c r="A5932" s="0" t="n">
        <v>5931</v>
      </c>
      <c r="B5932" s="18" t="n">
        <v>491841.898188421</v>
      </c>
      <c r="C5932" s="18" t="n">
        <v>0</v>
      </c>
      <c r="D5932" s="0" t="n">
        <v>0</v>
      </c>
      <c r="E5932" s="19" t="n">
        <v>33.8333333333333</v>
      </c>
    </row>
    <row r="5933" customFormat="false" ht="15" hidden="false" customHeight="false" outlineLevel="0" collapsed="false">
      <c r="A5933" s="0" t="n">
        <v>5932</v>
      </c>
      <c r="B5933" s="18" t="n">
        <v>607579.553265207</v>
      </c>
      <c r="C5933" s="18" t="n">
        <v>0</v>
      </c>
      <c r="D5933" s="0" t="n">
        <v>0</v>
      </c>
      <c r="E5933" s="19" t="n">
        <v>35.9166666666667</v>
      </c>
    </row>
    <row r="5934" customFormat="false" ht="15" hidden="false" customHeight="false" outlineLevel="0" collapsed="false">
      <c r="A5934" s="0" t="n">
        <v>5933</v>
      </c>
      <c r="B5934" s="18" t="n">
        <v>1139919.3125563</v>
      </c>
      <c r="C5934" s="18" t="n">
        <v>0</v>
      </c>
      <c r="D5934" s="0" t="n">
        <v>0</v>
      </c>
      <c r="E5934" s="19" t="n">
        <v>46.75</v>
      </c>
    </row>
    <row r="5935" customFormat="false" ht="15" hidden="false" customHeight="false" outlineLevel="0" collapsed="false">
      <c r="A5935" s="0" t="n">
        <v>5934</v>
      </c>
      <c r="B5935" s="18" t="n">
        <v>645730.357680241</v>
      </c>
      <c r="C5935" s="18" t="n">
        <v>15458879.6819698</v>
      </c>
      <c r="D5935" s="0" t="n">
        <v>1</v>
      </c>
    </row>
    <row r="5936" customFormat="false" ht="15" hidden="false" customHeight="false" outlineLevel="0" collapsed="false">
      <c r="A5936" s="0" t="n">
        <v>5935</v>
      </c>
      <c r="B5936" s="18" t="n">
        <v>425216.691497307</v>
      </c>
      <c r="C5936" s="18" t="n">
        <v>0</v>
      </c>
      <c r="D5936" s="0" t="n">
        <v>0</v>
      </c>
      <c r="E5936" s="19" t="n">
        <v>34.8333333333333</v>
      </c>
    </row>
    <row r="5937" customFormat="false" ht="15" hidden="false" customHeight="false" outlineLevel="0" collapsed="false">
      <c r="A5937" s="0" t="n">
        <v>5936</v>
      </c>
      <c r="B5937" s="18" t="n">
        <v>1150455.251798</v>
      </c>
      <c r="C5937" s="18" t="n">
        <v>0</v>
      </c>
      <c r="D5937" s="0" t="n">
        <v>0</v>
      </c>
      <c r="E5937" s="19" t="n">
        <v>38</v>
      </c>
    </row>
    <row r="5938" customFormat="false" ht="15" hidden="false" customHeight="false" outlineLevel="0" collapsed="false">
      <c r="A5938" s="0" t="n">
        <v>5937</v>
      </c>
      <c r="B5938" s="18" t="n">
        <v>2049492.75013971</v>
      </c>
      <c r="C5938" s="18" t="n">
        <v>0</v>
      </c>
      <c r="D5938" s="0" t="n">
        <v>0</v>
      </c>
      <c r="E5938" s="19" t="n">
        <v>47</v>
      </c>
    </row>
    <row r="5939" customFormat="false" ht="15" hidden="false" customHeight="false" outlineLevel="0" collapsed="false">
      <c r="A5939" s="0" t="n">
        <v>5938</v>
      </c>
      <c r="B5939" s="18" t="n">
        <v>1556779.79089877</v>
      </c>
      <c r="C5939" s="18" t="n">
        <v>0</v>
      </c>
      <c r="D5939" s="0" t="n">
        <v>0</v>
      </c>
      <c r="E5939" s="19" t="n">
        <v>49.5833333333333</v>
      </c>
    </row>
    <row r="5940" customFormat="false" ht="15" hidden="false" customHeight="false" outlineLevel="0" collapsed="false">
      <c r="A5940" s="0" t="n">
        <v>5939</v>
      </c>
      <c r="B5940" s="18" t="n">
        <v>1819010.43048341</v>
      </c>
      <c r="C5940" s="18" t="n">
        <v>1284730.09148421</v>
      </c>
      <c r="D5940" s="0" t="n">
        <v>1</v>
      </c>
    </row>
    <row r="5941" customFormat="false" ht="15" hidden="false" customHeight="false" outlineLevel="0" collapsed="false">
      <c r="A5941" s="0" t="n">
        <v>5940</v>
      </c>
      <c r="B5941" s="18" t="n">
        <v>553469.382103636</v>
      </c>
      <c r="C5941" s="18" t="n">
        <v>0</v>
      </c>
      <c r="D5941" s="0" t="n">
        <v>0</v>
      </c>
      <c r="E5941" s="19" t="n">
        <v>37.8333333333333</v>
      </c>
    </row>
    <row r="5942" customFormat="false" ht="15" hidden="false" customHeight="false" outlineLevel="0" collapsed="false">
      <c r="A5942" s="0" t="n">
        <v>5941</v>
      </c>
      <c r="B5942" s="18" t="n">
        <v>1938758.45082893</v>
      </c>
      <c r="C5942" s="18" t="n">
        <v>26194940.8078142</v>
      </c>
      <c r="D5942" s="0" t="n">
        <v>1</v>
      </c>
    </row>
    <row r="5943" customFormat="false" ht="15" hidden="false" customHeight="false" outlineLevel="0" collapsed="false">
      <c r="A5943" s="0" t="n">
        <v>5942</v>
      </c>
      <c r="B5943" s="18" t="n">
        <v>844602.971455293</v>
      </c>
      <c r="C5943" s="18" t="n">
        <v>0</v>
      </c>
      <c r="D5943" s="0" t="n">
        <v>0</v>
      </c>
      <c r="E5943" s="19" t="n">
        <v>37.5833333333333</v>
      </c>
    </row>
    <row r="5944" customFormat="false" ht="15" hidden="false" customHeight="false" outlineLevel="0" collapsed="false">
      <c r="A5944" s="0" t="n">
        <v>5943</v>
      </c>
      <c r="B5944" s="18" t="n">
        <v>347521.293761666</v>
      </c>
      <c r="C5944" s="18" t="n">
        <v>0</v>
      </c>
      <c r="D5944" s="0" t="n">
        <v>0</v>
      </c>
      <c r="E5944" s="19" t="n">
        <v>32</v>
      </c>
    </row>
    <row r="5945" customFormat="false" ht="15" hidden="false" customHeight="false" outlineLevel="0" collapsed="false">
      <c r="A5945" s="0" t="n">
        <v>5944</v>
      </c>
      <c r="B5945" s="18" t="n">
        <v>454348.341276355</v>
      </c>
      <c r="C5945" s="18" t="n">
        <v>0</v>
      </c>
      <c r="D5945" s="0" t="n">
        <v>0</v>
      </c>
      <c r="E5945" s="19" t="n">
        <v>31.5833333333333</v>
      </c>
    </row>
    <row r="5946" customFormat="false" ht="15" hidden="false" customHeight="false" outlineLevel="0" collapsed="false">
      <c r="A5946" s="0" t="n">
        <v>5945</v>
      </c>
      <c r="B5946" s="18" t="n">
        <v>839879.76814234</v>
      </c>
      <c r="C5946" s="18" t="n">
        <v>0</v>
      </c>
      <c r="D5946" s="0" t="n">
        <v>0</v>
      </c>
      <c r="E5946" s="19" t="n">
        <v>47.8333333333333</v>
      </c>
    </row>
    <row r="5947" customFormat="false" ht="15" hidden="false" customHeight="false" outlineLevel="0" collapsed="false">
      <c r="A5947" s="0" t="n">
        <v>5946</v>
      </c>
      <c r="B5947" s="18" t="n">
        <v>1027831.21890572</v>
      </c>
      <c r="C5947" s="18" t="n">
        <v>0</v>
      </c>
      <c r="D5947" s="0" t="n">
        <v>0</v>
      </c>
      <c r="E5947" s="19" t="n">
        <v>48.4166666666667</v>
      </c>
    </row>
    <row r="5948" customFormat="false" ht="15" hidden="false" customHeight="false" outlineLevel="0" collapsed="false">
      <c r="A5948" s="0" t="n">
        <v>5947</v>
      </c>
      <c r="B5948" s="18" t="n">
        <v>548378.979448711</v>
      </c>
      <c r="C5948" s="18" t="n">
        <v>0</v>
      </c>
      <c r="D5948" s="0" t="n">
        <v>0</v>
      </c>
      <c r="E5948" s="19" t="n">
        <v>41.75</v>
      </c>
    </row>
    <row r="5949" customFormat="false" ht="15" hidden="false" customHeight="false" outlineLevel="0" collapsed="false">
      <c r="A5949" s="0" t="n">
        <v>5948</v>
      </c>
      <c r="B5949" s="18" t="n">
        <v>336277.973085341</v>
      </c>
      <c r="C5949" s="18" t="n">
        <v>0</v>
      </c>
      <c r="D5949" s="0" t="n">
        <v>0</v>
      </c>
      <c r="E5949" s="19" t="n">
        <v>30.1666666666667</v>
      </c>
    </row>
    <row r="5950" customFormat="false" ht="15" hidden="false" customHeight="false" outlineLevel="0" collapsed="false">
      <c r="A5950" s="0" t="n">
        <v>5949</v>
      </c>
      <c r="B5950" s="18" t="n">
        <v>509552.910784734</v>
      </c>
      <c r="C5950" s="18" t="n">
        <v>0</v>
      </c>
      <c r="D5950" s="0" t="n">
        <v>0</v>
      </c>
      <c r="E5950" s="19" t="n">
        <v>34.0833333333333</v>
      </c>
    </row>
    <row r="5951" customFormat="false" ht="15" hidden="false" customHeight="false" outlineLevel="0" collapsed="false">
      <c r="A5951" s="0" t="n">
        <v>5950</v>
      </c>
      <c r="B5951" s="18" t="n">
        <v>615316.229301338</v>
      </c>
      <c r="C5951" s="18" t="n">
        <v>2837626.85885011</v>
      </c>
      <c r="D5951" s="0" t="n">
        <v>1</v>
      </c>
    </row>
    <row r="5952" customFormat="false" ht="15" hidden="false" customHeight="false" outlineLevel="0" collapsed="false">
      <c r="A5952" s="0" t="n">
        <v>5951</v>
      </c>
      <c r="B5952" s="18" t="n">
        <v>671492.240345367</v>
      </c>
      <c r="C5952" s="18" t="n">
        <v>0</v>
      </c>
      <c r="D5952" s="0" t="n">
        <v>0</v>
      </c>
      <c r="E5952" s="19" t="n">
        <v>36.1666666666667</v>
      </c>
    </row>
    <row r="5953" customFormat="false" ht="15" hidden="false" customHeight="false" outlineLevel="0" collapsed="false">
      <c r="A5953" s="0" t="n">
        <v>5952</v>
      </c>
      <c r="B5953" s="18" t="n">
        <v>1160359.02009256</v>
      </c>
      <c r="C5953" s="18" t="n">
        <v>0</v>
      </c>
      <c r="D5953" s="0" t="n">
        <v>0</v>
      </c>
      <c r="E5953" s="19" t="n">
        <v>44.75</v>
      </c>
    </row>
    <row r="5954" customFormat="false" ht="15" hidden="false" customHeight="false" outlineLevel="0" collapsed="false">
      <c r="A5954" s="0" t="n">
        <v>5953</v>
      </c>
      <c r="B5954" s="18" t="n">
        <v>900995.44446874</v>
      </c>
      <c r="C5954" s="18" t="n">
        <v>1453621.41076939</v>
      </c>
      <c r="D5954" s="0" t="n">
        <v>1</v>
      </c>
    </row>
    <row r="5955" customFormat="false" ht="15" hidden="false" customHeight="false" outlineLevel="0" collapsed="false">
      <c r="A5955" s="0" t="n">
        <v>5954</v>
      </c>
      <c r="B5955" s="18" t="n">
        <v>530867.895702457</v>
      </c>
      <c r="C5955" s="18" t="n">
        <v>3185391.7083462</v>
      </c>
      <c r="D5955" s="0" t="n">
        <v>1</v>
      </c>
    </row>
    <row r="5956" customFormat="false" ht="15" hidden="false" customHeight="false" outlineLevel="0" collapsed="false">
      <c r="A5956" s="0" t="n">
        <v>5955</v>
      </c>
      <c r="B5956" s="18" t="n">
        <v>1752422.18769239</v>
      </c>
      <c r="C5956" s="18" t="n">
        <v>8002542.12309574</v>
      </c>
      <c r="D5956" s="0" t="n">
        <v>1</v>
      </c>
    </row>
    <row r="5957" customFormat="false" ht="15" hidden="false" customHeight="false" outlineLevel="0" collapsed="false">
      <c r="A5957" s="0" t="n">
        <v>5956</v>
      </c>
      <c r="B5957" s="18" t="n">
        <v>1238997.06975098</v>
      </c>
      <c r="C5957" s="18" t="n">
        <v>0</v>
      </c>
      <c r="D5957" s="0" t="n">
        <v>0</v>
      </c>
      <c r="E5957" s="19" t="n">
        <v>42.8333333333333</v>
      </c>
    </row>
    <row r="5958" customFormat="false" ht="15" hidden="false" customHeight="false" outlineLevel="0" collapsed="false">
      <c r="A5958" s="0" t="n">
        <v>5957</v>
      </c>
      <c r="B5958" s="18" t="n">
        <v>1227829.59475437</v>
      </c>
      <c r="C5958" s="18" t="n">
        <v>1937874.45820329</v>
      </c>
      <c r="D5958" s="0" t="n">
        <v>1</v>
      </c>
    </row>
    <row r="5959" customFormat="false" ht="15" hidden="false" customHeight="false" outlineLevel="0" collapsed="false">
      <c r="A5959" s="0" t="n">
        <v>5958</v>
      </c>
      <c r="B5959" s="18" t="n">
        <v>428372.30348431</v>
      </c>
      <c r="C5959" s="18" t="n">
        <v>0</v>
      </c>
      <c r="D5959" s="0" t="n">
        <v>0</v>
      </c>
      <c r="E5959" s="19" t="n">
        <v>36.25</v>
      </c>
    </row>
    <row r="5960" customFormat="false" ht="15" hidden="false" customHeight="false" outlineLevel="0" collapsed="false">
      <c r="A5960" s="0" t="n">
        <v>5959</v>
      </c>
      <c r="B5960" s="18" t="n">
        <v>3198746.20904191</v>
      </c>
      <c r="C5960" s="18" t="n">
        <v>15285605.9086742</v>
      </c>
      <c r="D5960" s="0" t="n">
        <v>1</v>
      </c>
    </row>
    <row r="5961" customFormat="false" ht="15" hidden="false" customHeight="false" outlineLevel="0" collapsed="false">
      <c r="A5961" s="0" t="n">
        <v>5960</v>
      </c>
      <c r="B5961" s="18" t="n">
        <v>1212006.87341502</v>
      </c>
      <c r="C5961" s="18" t="n">
        <v>6725582.21632822</v>
      </c>
      <c r="D5961" s="0" t="n">
        <v>1</v>
      </c>
    </row>
    <row r="5962" customFormat="false" ht="15" hidden="false" customHeight="false" outlineLevel="0" collapsed="false">
      <c r="A5962" s="0" t="n">
        <v>5961</v>
      </c>
      <c r="B5962" s="18" t="n">
        <v>821132.556567011</v>
      </c>
      <c r="C5962" s="18" t="n">
        <v>0</v>
      </c>
      <c r="D5962" s="0" t="n">
        <v>0</v>
      </c>
      <c r="E5962" s="19" t="n">
        <v>47.8333333333333</v>
      </c>
    </row>
    <row r="5963" customFormat="false" ht="15" hidden="false" customHeight="false" outlineLevel="0" collapsed="false">
      <c r="A5963" s="0" t="n">
        <v>5962</v>
      </c>
      <c r="B5963" s="18" t="n">
        <v>374857.822204308</v>
      </c>
      <c r="C5963" s="18" t="n">
        <v>0</v>
      </c>
      <c r="D5963" s="0" t="n">
        <v>0</v>
      </c>
      <c r="E5963" s="19" t="n">
        <v>33.75</v>
      </c>
    </row>
    <row r="5964" customFormat="false" ht="15" hidden="false" customHeight="false" outlineLevel="0" collapsed="false">
      <c r="A5964" s="0" t="n">
        <v>5963</v>
      </c>
      <c r="B5964" s="18" t="n">
        <v>1812082.71716093</v>
      </c>
      <c r="C5964" s="18" t="n">
        <v>5540805.33289602</v>
      </c>
      <c r="D5964" s="0" t="n">
        <v>1</v>
      </c>
    </row>
    <row r="5965" customFormat="false" ht="15" hidden="false" customHeight="false" outlineLevel="0" collapsed="false">
      <c r="A5965" s="0" t="n">
        <v>5964</v>
      </c>
      <c r="B5965" s="18" t="n">
        <v>842516.71008511</v>
      </c>
      <c r="C5965" s="18" t="n">
        <v>0</v>
      </c>
      <c r="D5965" s="0" t="n">
        <v>0</v>
      </c>
      <c r="E5965" s="19" t="n">
        <v>34.75</v>
      </c>
    </row>
    <row r="5966" customFormat="false" ht="15" hidden="false" customHeight="false" outlineLevel="0" collapsed="false">
      <c r="A5966" s="0" t="n">
        <v>5965</v>
      </c>
      <c r="B5966" s="18" t="n">
        <v>1464519.06752976</v>
      </c>
      <c r="C5966" s="18" t="n">
        <v>14344961.8455475</v>
      </c>
      <c r="D5966" s="0" t="n">
        <v>1</v>
      </c>
    </row>
    <row r="5967" customFormat="false" ht="15" hidden="false" customHeight="false" outlineLevel="0" collapsed="false">
      <c r="A5967" s="0" t="n">
        <v>5966</v>
      </c>
      <c r="B5967" s="18" t="n">
        <v>1669419.50062749</v>
      </c>
      <c r="C5967" s="18" t="n">
        <v>7742116.28679677</v>
      </c>
      <c r="D5967" s="0" t="n">
        <v>1</v>
      </c>
    </row>
    <row r="5968" customFormat="false" ht="15" hidden="false" customHeight="false" outlineLevel="0" collapsed="false">
      <c r="A5968" s="0" t="n">
        <v>5967</v>
      </c>
      <c r="B5968" s="18" t="n">
        <v>899938.394232845</v>
      </c>
      <c r="C5968" s="18" t="n">
        <v>0</v>
      </c>
      <c r="D5968" s="0" t="n">
        <v>0</v>
      </c>
      <c r="E5968" s="19" t="n">
        <v>39.25</v>
      </c>
    </row>
    <row r="5969" customFormat="false" ht="15" hidden="false" customHeight="false" outlineLevel="0" collapsed="false">
      <c r="A5969" s="0" t="n">
        <v>5968</v>
      </c>
      <c r="B5969" s="18" t="n">
        <v>802739.499203447</v>
      </c>
      <c r="C5969" s="18" t="n">
        <v>0</v>
      </c>
      <c r="D5969" s="0" t="n">
        <v>0</v>
      </c>
      <c r="E5969" s="19" t="n">
        <v>34.75</v>
      </c>
    </row>
    <row r="5970" customFormat="false" ht="15" hidden="false" customHeight="false" outlineLevel="0" collapsed="false">
      <c r="A5970" s="0" t="n">
        <v>5969</v>
      </c>
      <c r="B5970" s="18" t="n">
        <v>469406.106318135</v>
      </c>
      <c r="C5970" s="18" t="n">
        <v>0</v>
      </c>
      <c r="D5970" s="0" t="n">
        <v>0</v>
      </c>
      <c r="E5970" s="19" t="n">
        <v>32.1666666666667</v>
      </c>
    </row>
    <row r="5971" customFormat="false" ht="15" hidden="false" customHeight="false" outlineLevel="0" collapsed="false">
      <c r="A5971" s="0" t="n">
        <v>5970</v>
      </c>
      <c r="B5971" s="18" t="n">
        <v>1499356.78280276</v>
      </c>
      <c r="C5971" s="18" t="n">
        <v>5433736.95784484</v>
      </c>
      <c r="D5971" s="0" t="n">
        <v>1</v>
      </c>
    </row>
    <row r="5972" customFormat="false" ht="15" hidden="false" customHeight="false" outlineLevel="0" collapsed="false">
      <c r="A5972" s="0" t="n">
        <v>5971</v>
      </c>
      <c r="B5972" s="18" t="n">
        <v>1042504.96710951</v>
      </c>
      <c r="C5972" s="18" t="n">
        <v>0</v>
      </c>
      <c r="D5972" s="0" t="n">
        <v>0</v>
      </c>
      <c r="E5972" s="19" t="n">
        <v>47</v>
      </c>
    </row>
    <row r="5973" customFormat="false" ht="15" hidden="false" customHeight="false" outlineLevel="0" collapsed="false">
      <c r="A5973" s="0" t="n">
        <v>5972</v>
      </c>
      <c r="B5973" s="18" t="n">
        <v>569891.372268138</v>
      </c>
      <c r="C5973" s="18" t="n">
        <v>0</v>
      </c>
      <c r="D5973" s="0" t="n">
        <v>0</v>
      </c>
      <c r="E5973" s="19" t="n">
        <v>46.0833333333333</v>
      </c>
    </row>
    <row r="5974" customFormat="false" ht="15" hidden="false" customHeight="false" outlineLevel="0" collapsed="false">
      <c r="A5974" s="0" t="n">
        <v>5973</v>
      </c>
      <c r="B5974" s="18" t="n">
        <v>402067.249209738</v>
      </c>
      <c r="C5974" s="18" t="n">
        <v>0</v>
      </c>
      <c r="D5974" s="0" t="n">
        <v>0</v>
      </c>
      <c r="E5974" s="19" t="n">
        <v>30.9166666666667</v>
      </c>
    </row>
    <row r="5975" customFormat="false" ht="15" hidden="false" customHeight="false" outlineLevel="0" collapsed="false">
      <c r="A5975" s="0" t="n">
        <v>5974</v>
      </c>
      <c r="B5975" s="18" t="n">
        <v>2424314.85659592</v>
      </c>
      <c r="C5975" s="18" t="n">
        <v>7498365.35033126</v>
      </c>
      <c r="D5975" s="0" t="n">
        <v>1</v>
      </c>
    </row>
    <row r="5976" customFormat="false" ht="15" hidden="false" customHeight="false" outlineLevel="0" collapsed="false">
      <c r="A5976" s="0" t="n">
        <v>5975</v>
      </c>
      <c r="B5976" s="18" t="n">
        <v>683452.047585234</v>
      </c>
      <c r="C5976" s="18" t="n">
        <v>0</v>
      </c>
      <c r="D5976" s="0" t="n">
        <v>0</v>
      </c>
      <c r="E5976" s="19" t="n">
        <v>39</v>
      </c>
    </row>
    <row r="5977" customFormat="false" ht="15" hidden="false" customHeight="false" outlineLevel="0" collapsed="false">
      <c r="A5977" s="0" t="n">
        <v>5976</v>
      </c>
      <c r="B5977" s="18" t="n">
        <v>4047672.86102307</v>
      </c>
      <c r="C5977" s="18" t="n">
        <v>26024640.010124</v>
      </c>
      <c r="D5977" s="0" t="n">
        <v>1</v>
      </c>
    </row>
    <row r="5978" customFormat="false" ht="15" hidden="false" customHeight="false" outlineLevel="0" collapsed="false">
      <c r="A5978" s="0" t="n">
        <v>5977</v>
      </c>
      <c r="B5978" s="18" t="n">
        <v>778734.544433002</v>
      </c>
      <c r="C5978" s="18" t="n">
        <v>0</v>
      </c>
      <c r="D5978" s="0" t="n">
        <v>0</v>
      </c>
      <c r="E5978" s="19" t="n">
        <v>50.3333333333333</v>
      </c>
    </row>
    <row r="5979" customFormat="false" ht="15" hidden="false" customHeight="false" outlineLevel="0" collapsed="false">
      <c r="A5979" s="0" t="n">
        <v>5978</v>
      </c>
      <c r="B5979" s="18" t="n">
        <v>1668409.55409659</v>
      </c>
      <c r="C5979" s="18" t="n">
        <v>1616059.75386308</v>
      </c>
      <c r="D5979" s="0" t="n">
        <v>1</v>
      </c>
    </row>
    <row r="5980" customFormat="false" ht="15" hidden="false" customHeight="false" outlineLevel="0" collapsed="false">
      <c r="A5980" s="0" t="n">
        <v>5979</v>
      </c>
      <c r="B5980" s="18" t="n">
        <v>2153421.56910743</v>
      </c>
      <c r="C5980" s="18" t="n">
        <v>13229363.118922</v>
      </c>
      <c r="D5980" s="0" t="n">
        <v>1</v>
      </c>
    </row>
    <row r="5981" customFormat="false" ht="15" hidden="false" customHeight="false" outlineLevel="0" collapsed="false">
      <c r="A5981" s="0" t="n">
        <v>5980</v>
      </c>
      <c r="B5981" s="18" t="n">
        <v>995108.996776922</v>
      </c>
      <c r="C5981" s="18" t="n">
        <v>0</v>
      </c>
      <c r="D5981" s="0" t="n">
        <v>0</v>
      </c>
      <c r="E5981" s="19" t="n">
        <v>49.8333333333333</v>
      </c>
    </row>
    <row r="5982" customFormat="false" ht="15" hidden="false" customHeight="false" outlineLevel="0" collapsed="false">
      <c r="A5982" s="0" t="n">
        <v>5981</v>
      </c>
      <c r="B5982" s="18" t="n">
        <v>295742.328532371</v>
      </c>
      <c r="C5982" s="18" t="n">
        <v>0</v>
      </c>
      <c r="D5982" s="0" t="n">
        <v>0</v>
      </c>
      <c r="E5982" s="19" t="n">
        <v>30.5</v>
      </c>
    </row>
    <row r="5983" customFormat="false" ht="15" hidden="false" customHeight="false" outlineLevel="0" collapsed="false">
      <c r="A5983" s="0" t="n">
        <v>5982</v>
      </c>
      <c r="B5983" s="18" t="n">
        <v>1184694.78866193</v>
      </c>
      <c r="C5983" s="18" t="n">
        <v>0</v>
      </c>
      <c r="D5983" s="0" t="n">
        <v>0</v>
      </c>
      <c r="E5983" s="19" t="n">
        <v>43</v>
      </c>
    </row>
    <row r="5984" customFormat="false" ht="15" hidden="false" customHeight="false" outlineLevel="0" collapsed="false">
      <c r="A5984" s="0" t="n">
        <v>5983</v>
      </c>
      <c r="B5984" s="18" t="n">
        <v>952418.219154109</v>
      </c>
      <c r="C5984" s="18" t="n">
        <v>0</v>
      </c>
      <c r="D5984" s="0" t="n">
        <v>0</v>
      </c>
      <c r="E5984" s="19" t="n">
        <v>44.8333333333333</v>
      </c>
    </row>
    <row r="5985" customFormat="false" ht="15" hidden="false" customHeight="false" outlineLevel="0" collapsed="false">
      <c r="A5985" s="0" t="n">
        <v>5984</v>
      </c>
      <c r="B5985" s="18" t="n">
        <v>1561592.98337125</v>
      </c>
      <c r="C5985" s="18" t="n">
        <v>3320839.03411525</v>
      </c>
      <c r="D5985" s="0" t="n">
        <v>1</v>
      </c>
    </row>
    <row r="5986" customFormat="false" ht="15" hidden="false" customHeight="false" outlineLevel="0" collapsed="false">
      <c r="A5986" s="0" t="n">
        <v>5985</v>
      </c>
      <c r="B5986" s="18" t="n">
        <v>834098.082364684</v>
      </c>
      <c r="C5986" s="18" t="n">
        <v>0</v>
      </c>
      <c r="D5986" s="0" t="n">
        <v>0</v>
      </c>
      <c r="E5986" s="19" t="n">
        <v>36.1666666666667</v>
      </c>
    </row>
    <row r="5987" customFormat="false" ht="15" hidden="false" customHeight="false" outlineLevel="0" collapsed="false">
      <c r="A5987" s="0" t="n">
        <v>5986</v>
      </c>
      <c r="B5987" s="18" t="n">
        <v>801048.089321177</v>
      </c>
      <c r="C5987" s="18" t="n">
        <v>0</v>
      </c>
      <c r="D5987" s="0" t="n">
        <v>0</v>
      </c>
      <c r="E5987" s="19" t="n">
        <v>36.25</v>
      </c>
    </row>
    <row r="5988" customFormat="false" ht="15" hidden="false" customHeight="false" outlineLevel="0" collapsed="false">
      <c r="A5988" s="0" t="n">
        <v>5987</v>
      </c>
      <c r="B5988" s="18" t="n">
        <v>761552.711982526</v>
      </c>
      <c r="C5988" s="18" t="n">
        <v>0</v>
      </c>
      <c r="D5988" s="0" t="n">
        <v>0</v>
      </c>
      <c r="E5988" s="19" t="n">
        <v>40.5833333333333</v>
      </c>
    </row>
    <row r="5989" customFormat="false" ht="15" hidden="false" customHeight="false" outlineLevel="0" collapsed="false">
      <c r="A5989" s="0" t="n">
        <v>5988</v>
      </c>
      <c r="B5989" s="18" t="n">
        <v>543718.006730454</v>
      </c>
      <c r="C5989" s="18" t="n">
        <v>0</v>
      </c>
      <c r="D5989" s="0" t="n">
        <v>0</v>
      </c>
      <c r="E5989" s="19" t="n">
        <v>40.6666666666667</v>
      </c>
    </row>
    <row r="5990" customFormat="false" ht="15" hidden="false" customHeight="false" outlineLevel="0" collapsed="false">
      <c r="A5990" s="0" t="n">
        <v>5989</v>
      </c>
      <c r="B5990" s="18" t="n">
        <v>727419.461627576</v>
      </c>
      <c r="C5990" s="18" t="n">
        <v>0</v>
      </c>
      <c r="D5990" s="0" t="n">
        <v>0</v>
      </c>
      <c r="E5990" s="19" t="n">
        <v>43.5</v>
      </c>
    </row>
    <row r="5991" customFormat="false" ht="15" hidden="false" customHeight="false" outlineLevel="0" collapsed="false">
      <c r="A5991" s="0" t="n">
        <v>5990</v>
      </c>
      <c r="B5991" s="18" t="n">
        <v>445605.702242634</v>
      </c>
      <c r="C5991" s="18" t="n">
        <v>0</v>
      </c>
      <c r="D5991" s="0" t="n">
        <v>0</v>
      </c>
      <c r="E5991" s="19" t="n">
        <v>34.4166666666667</v>
      </c>
    </row>
    <row r="5992" customFormat="false" ht="15" hidden="false" customHeight="false" outlineLevel="0" collapsed="false">
      <c r="A5992" s="0" t="n">
        <v>5991</v>
      </c>
      <c r="B5992" s="18" t="n">
        <v>1113095.74025028</v>
      </c>
      <c r="C5992" s="18" t="n">
        <v>2248933.21791726</v>
      </c>
      <c r="D5992" s="0" t="n">
        <v>1</v>
      </c>
    </row>
    <row r="5993" customFormat="false" ht="15" hidden="false" customHeight="false" outlineLevel="0" collapsed="false">
      <c r="A5993" s="0" t="n">
        <v>5992</v>
      </c>
      <c r="B5993" s="18" t="n">
        <v>1095126.39162859</v>
      </c>
      <c r="C5993" s="18" t="n">
        <v>4348058.12730762</v>
      </c>
      <c r="D5993" s="0" t="n">
        <v>1</v>
      </c>
    </row>
    <row r="5994" customFormat="false" ht="15" hidden="false" customHeight="false" outlineLevel="0" collapsed="false">
      <c r="A5994" s="0" t="n">
        <v>5993</v>
      </c>
      <c r="B5994" s="18" t="n">
        <v>622756.006665676</v>
      </c>
      <c r="C5994" s="18" t="n">
        <v>0</v>
      </c>
      <c r="D5994" s="0" t="n">
        <v>0</v>
      </c>
      <c r="E5994" s="19" t="n">
        <v>42.4166666666667</v>
      </c>
    </row>
    <row r="5995" customFormat="false" ht="15" hidden="false" customHeight="false" outlineLevel="0" collapsed="false">
      <c r="A5995" s="0" t="n">
        <v>5994</v>
      </c>
      <c r="B5995" s="18" t="n">
        <v>2464257.90034296</v>
      </c>
      <c r="C5995" s="18" t="n">
        <v>3646133.48505153</v>
      </c>
      <c r="D5995" s="0" t="n">
        <v>1</v>
      </c>
    </row>
    <row r="5996" customFormat="false" ht="15" hidden="false" customHeight="false" outlineLevel="0" collapsed="false">
      <c r="A5996" s="0" t="n">
        <v>5995</v>
      </c>
      <c r="B5996" s="18" t="n">
        <v>1969795.23150323</v>
      </c>
      <c r="C5996" s="18" t="n">
        <v>0</v>
      </c>
      <c r="D5996" s="0" t="n">
        <v>0</v>
      </c>
      <c r="E5996" s="19" t="n">
        <v>49.5833333333333</v>
      </c>
    </row>
    <row r="5997" customFormat="false" ht="15" hidden="false" customHeight="false" outlineLevel="0" collapsed="false">
      <c r="A5997" s="0" t="n">
        <v>5996</v>
      </c>
      <c r="B5997" s="18" t="n">
        <v>831455.993410091</v>
      </c>
      <c r="C5997" s="18" t="n">
        <v>0</v>
      </c>
      <c r="D5997" s="0" t="n">
        <v>0</v>
      </c>
      <c r="E5997" s="19" t="n">
        <v>47.1666666666667</v>
      </c>
    </row>
    <row r="5998" customFormat="false" ht="15" hidden="false" customHeight="false" outlineLevel="0" collapsed="false">
      <c r="A5998" s="0" t="n">
        <v>5997</v>
      </c>
      <c r="B5998" s="18" t="n">
        <v>2187470.43808411</v>
      </c>
      <c r="C5998" s="18" t="n">
        <v>4744848.89319329</v>
      </c>
      <c r="D5998" s="0" t="n">
        <v>1</v>
      </c>
    </row>
    <row r="5999" customFormat="false" ht="15" hidden="false" customHeight="false" outlineLevel="0" collapsed="false">
      <c r="A5999" s="0" t="n">
        <v>5998</v>
      </c>
      <c r="B5999" s="18" t="n">
        <v>532216.485489958</v>
      </c>
      <c r="C5999" s="18" t="n">
        <v>0</v>
      </c>
      <c r="D5999" s="0" t="n">
        <v>0</v>
      </c>
      <c r="E5999" s="19" t="n">
        <v>33.0833333333333</v>
      </c>
    </row>
    <row r="6000" customFormat="false" ht="15" hidden="false" customHeight="false" outlineLevel="0" collapsed="false">
      <c r="A6000" s="0" t="n">
        <v>5999</v>
      </c>
      <c r="B6000" s="18" t="n">
        <v>537497.746941641</v>
      </c>
      <c r="C6000" s="18" t="n">
        <v>0</v>
      </c>
      <c r="D6000" s="0" t="n">
        <v>0</v>
      </c>
      <c r="E6000" s="19" t="n">
        <v>37.4166666666667</v>
      </c>
    </row>
    <row r="6001" customFormat="false" ht="15" hidden="false" customHeight="false" outlineLevel="0" collapsed="false">
      <c r="A6001" s="0" t="n">
        <v>6000</v>
      </c>
      <c r="B6001" s="18" t="n">
        <v>453383.709914125</v>
      </c>
      <c r="C6001" s="18" t="n">
        <v>0</v>
      </c>
      <c r="D6001" s="0" t="n">
        <v>0</v>
      </c>
      <c r="E6001" s="19" t="n">
        <v>35.5833333333333</v>
      </c>
    </row>
    <row r="6002" customFormat="false" ht="15" hidden="false" customHeight="false" outlineLevel="0" collapsed="false">
      <c r="A6002" s="0" t="n">
        <v>6001</v>
      </c>
      <c r="B6002" s="18" t="n">
        <v>424412.73425605</v>
      </c>
      <c r="C6002" s="18" t="n">
        <v>0</v>
      </c>
      <c r="D6002" s="0" t="n">
        <v>0</v>
      </c>
      <c r="E6002" s="19" t="n">
        <v>34.1666666666667</v>
      </c>
    </row>
    <row r="6003" customFormat="false" ht="15" hidden="false" customHeight="false" outlineLevel="0" collapsed="false">
      <c r="A6003" s="0" t="n">
        <v>6002</v>
      </c>
      <c r="B6003" s="18" t="n">
        <v>528662.947023794</v>
      </c>
      <c r="C6003" s="18" t="n">
        <v>0</v>
      </c>
      <c r="D6003" s="0" t="n">
        <v>0</v>
      </c>
      <c r="E6003" s="19" t="n">
        <v>38.6666666666667</v>
      </c>
    </row>
    <row r="6004" customFormat="false" ht="15" hidden="false" customHeight="false" outlineLevel="0" collapsed="false">
      <c r="A6004" s="0" t="n">
        <v>6003</v>
      </c>
      <c r="B6004" s="18" t="n">
        <v>1153308.31480489</v>
      </c>
      <c r="C6004" s="18" t="n">
        <v>1848102.30812173</v>
      </c>
      <c r="D6004" s="0" t="n">
        <v>1</v>
      </c>
    </row>
    <row r="6005" customFormat="false" ht="15" hidden="false" customHeight="false" outlineLevel="0" collapsed="false">
      <c r="A6005" s="0" t="n">
        <v>6004</v>
      </c>
      <c r="B6005" s="18" t="n">
        <v>578853.727696602</v>
      </c>
      <c r="C6005" s="18" t="n">
        <v>0</v>
      </c>
      <c r="D6005" s="0" t="n">
        <v>0</v>
      </c>
      <c r="E6005" s="19" t="n">
        <v>42.5833333333333</v>
      </c>
    </row>
    <row r="6006" customFormat="false" ht="15" hidden="false" customHeight="false" outlineLevel="0" collapsed="false">
      <c r="A6006" s="0" t="n">
        <v>6005</v>
      </c>
      <c r="B6006" s="18" t="n">
        <v>1414190.20181141</v>
      </c>
      <c r="C6006" s="18" t="n">
        <v>5218319.99947973</v>
      </c>
      <c r="D6006" s="0" t="n">
        <v>1</v>
      </c>
    </row>
    <row r="6007" customFormat="false" ht="15" hidden="false" customHeight="false" outlineLevel="0" collapsed="false">
      <c r="A6007" s="0" t="n">
        <v>6006</v>
      </c>
      <c r="B6007" s="18" t="n">
        <v>610788.690289938</v>
      </c>
      <c r="C6007" s="18" t="n">
        <v>0</v>
      </c>
      <c r="D6007" s="0" t="n">
        <v>0</v>
      </c>
      <c r="E6007" s="19" t="n">
        <v>42</v>
      </c>
    </row>
    <row r="6008" customFormat="false" ht="15" hidden="false" customHeight="false" outlineLevel="0" collapsed="false">
      <c r="A6008" s="0" t="n">
        <v>6007</v>
      </c>
      <c r="B6008" s="18" t="n">
        <v>1794709.11466826</v>
      </c>
      <c r="C6008" s="18" t="n">
        <v>0</v>
      </c>
      <c r="D6008" s="0" t="n">
        <v>0</v>
      </c>
      <c r="E6008" s="19" t="n">
        <v>53.5</v>
      </c>
    </row>
    <row r="6009" customFormat="false" ht="15" hidden="false" customHeight="false" outlineLevel="0" collapsed="false">
      <c r="A6009" s="0" t="n">
        <v>6008</v>
      </c>
      <c r="B6009" s="18" t="n">
        <v>1116210.79658405</v>
      </c>
      <c r="C6009" s="18" t="n">
        <v>0</v>
      </c>
      <c r="D6009" s="0" t="n">
        <v>0</v>
      </c>
      <c r="E6009" s="19" t="n">
        <v>51</v>
      </c>
    </row>
    <row r="6010" customFormat="false" ht="15" hidden="false" customHeight="false" outlineLevel="0" collapsed="false">
      <c r="A6010" s="0" t="n">
        <v>6009</v>
      </c>
      <c r="B6010" s="18" t="n">
        <v>1500393.15800898</v>
      </c>
      <c r="C6010" s="18" t="n">
        <v>0</v>
      </c>
      <c r="D6010" s="0" t="n">
        <v>0</v>
      </c>
      <c r="E6010" s="19" t="n">
        <v>54.1666666666667</v>
      </c>
    </row>
    <row r="6011" customFormat="false" ht="15" hidden="false" customHeight="false" outlineLevel="0" collapsed="false">
      <c r="A6011" s="0" t="n">
        <v>6010</v>
      </c>
      <c r="B6011" s="18" t="n">
        <v>409784.722653184</v>
      </c>
      <c r="C6011" s="18" t="n">
        <v>0</v>
      </c>
      <c r="D6011" s="0" t="n">
        <v>0</v>
      </c>
      <c r="E6011" s="19" t="n">
        <v>33.3333333333333</v>
      </c>
    </row>
    <row r="6012" customFormat="false" ht="15" hidden="false" customHeight="false" outlineLevel="0" collapsed="false">
      <c r="A6012" s="0" t="n">
        <v>6011</v>
      </c>
      <c r="B6012" s="18" t="n">
        <v>971766.784782495</v>
      </c>
      <c r="C6012" s="18" t="n">
        <v>0</v>
      </c>
      <c r="D6012" s="0" t="n">
        <v>0</v>
      </c>
      <c r="E6012" s="19" t="n">
        <v>43.9166666666667</v>
      </c>
    </row>
    <row r="6013" customFormat="false" ht="15" hidden="false" customHeight="false" outlineLevel="0" collapsed="false">
      <c r="A6013" s="0" t="n">
        <v>6012</v>
      </c>
      <c r="B6013" s="18" t="n">
        <v>1395557.86791564</v>
      </c>
      <c r="C6013" s="18" t="n">
        <v>1307.17041333861</v>
      </c>
      <c r="D6013" s="0" t="n">
        <v>1</v>
      </c>
    </row>
    <row r="6014" customFormat="false" ht="15" hidden="false" customHeight="false" outlineLevel="0" collapsed="false">
      <c r="A6014" s="0" t="n">
        <v>6013</v>
      </c>
      <c r="B6014" s="18" t="n">
        <v>758709.509049869</v>
      </c>
      <c r="C6014" s="18" t="n">
        <v>0</v>
      </c>
      <c r="D6014" s="0" t="n">
        <v>0</v>
      </c>
      <c r="E6014" s="19" t="n">
        <v>44.3333333333333</v>
      </c>
    </row>
    <row r="6015" customFormat="false" ht="15" hidden="false" customHeight="false" outlineLevel="0" collapsed="false">
      <c r="A6015" s="0" t="n">
        <v>6014</v>
      </c>
      <c r="B6015" s="18" t="n">
        <v>1445768.06383179</v>
      </c>
      <c r="C6015" s="18" t="n">
        <v>0</v>
      </c>
      <c r="D6015" s="0" t="n">
        <v>0</v>
      </c>
      <c r="E6015" s="19" t="n">
        <v>53.75</v>
      </c>
    </row>
    <row r="6016" customFormat="false" ht="15" hidden="false" customHeight="false" outlineLevel="0" collapsed="false">
      <c r="A6016" s="0" t="n">
        <v>6015</v>
      </c>
      <c r="B6016" s="18" t="n">
        <v>515506.103820356</v>
      </c>
      <c r="C6016" s="18" t="n">
        <v>0</v>
      </c>
      <c r="D6016" s="0" t="n">
        <v>0</v>
      </c>
      <c r="E6016" s="19" t="n">
        <v>34.9166666666667</v>
      </c>
    </row>
    <row r="6017" customFormat="false" ht="15" hidden="false" customHeight="false" outlineLevel="0" collapsed="false">
      <c r="A6017" s="0" t="n">
        <v>6016</v>
      </c>
      <c r="B6017" s="18" t="n">
        <v>273359.364993638</v>
      </c>
      <c r="C6017" s="18" t="n">
        <v>0</v>
      </c>
      <c r="D6017" s="0" t="n">
        <v>0</v>
      </c>
      <c r="E6017" s="19" t="n">
        <v>30.3333333333333</v>
      </c>
    </row>
    <row r="6018" customFormat="false" ht="15" hidden="false" customHeight="false" outlineLevel="0" collapsed="false">
      <c r="A6018" s="0" t="n">
        <v>6017</v>
      </c>
      <c r="B6018" s="18" t="n">
        <v>2238670.67701307</v>
      </c>
      <c r="C6018" s="18" t="n">
        <v>17726512.2284141</v>
      </c>
      <c r="D6018" s="0" t="n">
        <v>1</v>
      </c>
    </row>
    <row r="6019" customFormat="false" ht="15" hidden="false" customHeight="false" outlineLevel="0" collapsed="false">
      <c r="A6019" s="0" t="n">
        <v>6018</v>
      </c>
      <c r="B6019" s="18" t="n">
        <v>577088.222330025</v>
      </c>
      <c r="C6019" s="18" t="n">
        <v>1160972.3410057</v>
      </c>
      <c r="D6019" s="0" t="n">
        <v>1</v>
      </c>
    </row>
    <row r="6020" customFormat="false" ht="15" hidden="false" customHeight="false" outlineLevel="0" collapsed="false">
      <c r="A6020" s="0" t="n">
        <v>6019</v>
      </c>
      <c r="B6020" s="18" t="n">
        <v>1112138.69418072</v>
      </c>
      <c r="C6020" s="18" t="n">
        <v>0</v>
      </c>
      <c r="D6020" s="0" t="n">
        <v>0</v>
      </c>
      <c r="E6020" s="19" t="n">
        <v>45.5</v>
      </c>
    </row>
    <row r="6021" customFormat="false" ht="15" hidden="false" customHeight="false" outlineLevel="0" collapsed="false">
      <c r="A6021" s="0" t="n">
        <v>6020</v>
      </c>
      <c r="B6021" s="18" t="n">
        <v>857699.894234887</v>
      </c>
      <c r="C6021" s="18" t="n">
        <v>11737883.9647216</v>
      </c>
      <c r="D6021" s="0" t="n">
        <v>1</v>
      </c>
    </row>
    <row r="6022" customFormat="false" ht="15" hidden="false" customHeight="false" outlineLevel="0" collapsed="false">
      <c r="A6022" s="0" t="n">
        <v>6021</v>
      </c>
      <c r="B6022" s="18" t="n">
        <v>735557.984245817</v>
      </c>
      <c r="C6022" s="18" t="n">
        <v>1297138.41200888</v>
      </c>
      <c r="D6022" s="0" t="n">
        <v>1</v>
      </c>
    </row>
    <row r="6023" customFormat="false" ht="15" hidden="false" customHeight="false" outlineLevel="0" collapsed="false">
      <c r="A6023" s="0" t="n">
        <v>6022</v>
      </c>
      <c r="B6023" s="18" t="n">
        <v>804523.915044196</v>
      </c>
      <c r="C6023" s="18" t="n">
        <v>0</v>
      </c>
      <c r="D6023" s="0" t="n">
        <v>0</v>
      </c>
      <c r="E6023" s="19" t="n">
        <v>46</v>
      </c>
    </row>
    <row r="6024" customFormat="false" ht="15" hidden="false" customHeight="false" outlineLevel="0" collapsed="false">
      <c r="A6024" s="0" t="n">
        <v>6023</v>
      </c>
      <c r="B6024" s="18" t="n">
        <v>943941.928343526</v>
      </c>
      <c r="C6024" s="18" t="n">
        <v>512255.154317171</v>
      </c>
      <c r="D6024" s="0" t="n">
        <v>1</v>
      </c>
    </row>
    <row r="6025" customFormat="false" ht="15" hidden="false" customHeight="false" outlineLevel="0" collapsed="false">
      <c r="A6025" s="0" t="n">
        <v>6024</v>
      </c>
      <c r="B6025" s="18" t="n">
        <v>512830.79188423</v>
      </c>
      <c r="C6025" s="18" t="n">
        <v>0</v>
      </c>
      <c r="D6025" s="0" t="n">
        <v>0</v>
      </c>
      <c r="E6025" s="19" t="n">
        <v>34.1666666666667</v>
      </c>
    </row>
    <row r="6026" customFormat="false" ht="15" hidden="false" customHeight="false" outlineLevel="0" collapsed="false">
      <c r="A6026" s="0" t="n">
        <v>6025</v>
      </c>
      <c r="B6026" s="18" t="n">
        <v>481916.124543534</v>
      </c>
      <c r="C6026" s="18" t="n">
        <v>0</v>
      </c>
      <c r="D6026" s="0" t="n">
        <v>0</v>
      </c>
      <c r="E6026" s="19" t="n">
        <v>40.4166666666667</v>
      </c>
    </row>
    <row r="6027" customFormat="false" ht="15" hidden="false" customHeight="false" outlineLevel="0" collapsed="false">
      <c r="A6027" s="0" t="n">
        <v>6026</v>
      </c>
      <c r="B6027" s="18" t="n">
        <v>480085.855724156</v>
      </c>
      <c r="C6027" s="18" t="n">
        <v>0</v>
      </c>
      <c r="D6027" s="0" t="n">
        <v>0</v>
      </c>
      <c r="E6027" s="19" t="n">
        <v>33.75</v>
      </c>
    </row>
    <row r="6028" customFormat="false" ht="15" hidden="false" customHeight="false" outlineLevel="0" collapsed="false">
      <c r="A6028" s="0" t="n">
        <v>6027</v>
      </c>
      <c r="B6028" s="18" t="n">
        <v>280729.203693568</v>
      </c>
      <c r="C6028" s="18" t="n">
        <v>0</v>
      </c>
      <c r="D6028" s="0" t="n">
        <v>0</v>
      </c>
      <c r="E6028" s="19" t="n">
        <v>31.5</v>
      </c>
    </row>
    <row r="6029" customFormat="false" ht="15" hidden="false" customHeight="false" outlineLevel="0" collapsed="false">
      <c r="A6029" s="0" t="n">
        <v>6028</v>
      </c>
      <c r="B6029" s="18" t="n">
        <v>2054366.95627469</v>
      </c>
      <c r="C6029" s="18" t="n">
        <v>0</v>
      </c>
      <c r="D6029" s="0" t="n">
        <v>0</v>
      </c>
      <c r="E6029" s="19" t="n">
        <v>52.5</v>
      </c>
    </row>
    <row r="6030" customFormat="false" ht="15" hidden="false" customHeight="false" outlineLevel="0" collapsed="false">
      <c r="A6030" s="0" t="n">
        <v>6029</v>
      </c>
      <c r="B6030" s="18" t="n">
        <v>1381381.61533373</v>
      </c>
      <c r="C6030" s="18" t="n">
        <v>874649.591796963</v>
      </c>
      <c r="D6030" s="0" t="n">
        <v>1</v>
      </c>
    </row>
    <row r="6031" customFormat="false" ht="15" hidden="false" customHeight="false" outlineLevel="0" collapsed="false">
      <c r="A6031" s="0" t="n">
        <v>6030</v>
      </c>
      <c r="B6031" s="18" t="n">
        <v>885247.04939269</v>
      </c>
      <c r="C6031" s="18" t="n">
        <v>0</v>
      </c>
      <c r="D6031" s="0" t="n">
        <v>0</v>
      </c>
      <c r="E6031" s="19" t="n">
        <v>39.6666666666667</v>
      </c>
    </row>
    <row r="6032" customFormat="false" ht="15" hidden="false" customHeight="false" outlineLevel="0" collapsed="false">
      <c r="A6032" s="0" t="n">
        <v>6031</v>
      </c>
      <c r="B6032" s="18" t="n">
        <v>1240577.77454974</v>
      </c>
      <c r="C6032" s="18" t="n">
        <v>0</v>
      </c>
      <c r="D6032" s="0" t="n">
        <v>0</v>
      </c>
      <c r="E6032" s="19" t="n">
        <v>41.1666666666667</v>
      </c>
    </row>
    <row r="6033" customFormat="false" ht="15" hidden="false" customHeight="false" outlineLevel="0" collapsed="false">
      <c r="A6033" s="0" t="n">
        <v>6032</v>
      </c>
      <c r="B6033" s="18" t="n">
        <v>553830.481465226</v>
      </c>
      <c r="C6033" s="18" t="n">
        <v>0</v>
      </c>
      <c r="D6033" s="0" t="n">
        <v>0</v>
      </c>
      <c r="E6033" s="19" t="n">
        <v>35.5</v>
      </c>
    </row>
    <row r="6034" customFormat="false" ht="15" hidden="false" customHeight="false" outlineLevel="0" collapsed="false">
      <c r="A6034" s="0" t="n">
        <v>6033</v>
      </c>
      <c r="B6034" s="18" t="n">
        <v>778051.218986518</v>
      </c>
      <c r="C6034" s="18" t="n">
        <v>0</v>
      </c>
      <c r="D6034" s="0" t="n">
        <v>0</v>
      </c>
      <c r="E6034" s="19" t="n">
        <v>37.0833333333333</v>
      </c>
    </row>
    <row r="6035" customFormat="false" ht="15" hidden="false" customHeight="false" outlineLevel="0" collapsed="false">
      <c r="A6035" s="0" t="n">
        <v>6034</v>
      </c>
      <c r="B6035" s="18" t="n">
        <v>777460.093975365</v>
      </c>
      <c r="C6035" s="18" t="n">
        <v>0</v>
      </c>
      <c r="D6035" s="0" t="n">
        <v>0</v>
      </c>
      <c r="E6035" s="19" t="n">
        <v>41.8333333333333</v>
      </c>
    </row>
    <row r="6036" customFormat="false" ht="15" hidden="false" customHeight="false" outlineLevel="0" collapsed="false">
      <c r="A6036" s="0" t="n">
        <v>6035</v>
      </c>
      <c r="B6036" s="18" t="n">
        <v>570332.254317436</v>
      </c>
      <c r="C6036" s="18" t="n">
        <v>0</v>
      </c>
      <c r="D6036" s="0" t="n">
        <v>0</v>
      </c>
      <c r="E6036" s="19" t="n">
        <v>38.8333333333333</v>
      </c>
    </row>
    <row r="6037" customFormat="false" ht="15" hidden="false" customHeight="false" outlineLevel="0" collapsed="false">
      <c r="A6037" s="0" t="n">
        <v>6036</v>
      </c>
      <c r="B6037" s="18" t="n">
        <v>607465.307303747</v>
      </c>
      <c r="C6037" s="18" t="n">
        <v>0</v>
      </c>
      <c r="D6037" s="0" t="n">
        <v>0</v>
      </c>
      <c r="E6037" s="19" t="n">
        <v>34.5833333333333</v>
      </c>
    </row>
    <row r="6038" customFormat="false" ht="15" hidden="false" customHeight="false" outlineLevel="0" collapsed="false">
      <c r="A6038" s="0" t="n">
        <v>6037</v>
      </c>
      <c r="B6038" s="18" t="n">
        <v>1258426.73182048</v>
      </c>
      <c r="C6038" s="18" t="n">
        <v>0</v>
      </c>
      <c r="D6038" s="0" t="n">
        <v>0</v>
      </c>
      <c r="E6038" s="19" t="n">
        <v>44.3333333333333</v>
      </c>
    </row>
    <row r="6039" customFormat="false" ht="15" hidden="false" customHeight="false" outlineLevel="0" collapsed="false">
      <c r="A6039" s="0" t="n">
        <v>6038</v>
      </c>
      <c r="B6039" s="18" t="n">
        <v>589690.273327218</v>
      </c>
      <c r="C6039" s="18" t="n">
        <v>0</v>
      </c>
      <c r="D6039" s="0" t="n">
        <v>0</v>
      </c>
      <c r="E6039" s="19" t="n">
        <v>35.5833333333333</v>
      </c>
    </row>
    <row r="6040" customFormat="false" ht="15" hidden="false" customHeight="false" outlineLevel="0" collapsed="false">
      <c r="A6040" s="0" t="n">
        <v>6039</v>
      </c>
      <c r="B6040" s="18" t="n">
        <v>867629.363923073</v>
      </c>
      <c r="C6040" s="18" t="n">
        <v>0</v>
      </c>
      <c r="D6040" s="0" t="n">
        <v>0</v>
      </c>
      <c r="E6040" s="19" t="n">
        <v>39.4166666666667</v>
      </c>
    </row>
    <row r="6041" customFormat="false" ht="15" hidden="false" customHeight="false" outlineLevel="0" collapsed="false">
      <c r="A6041" s="0" t="n">
        <v>6040</v>
      </c>
      <c r="B6041" s="18" t="n">
        <v>885208.985505315</v>
      </c>
      <c r="C6041" s="18" t="n">
        <v>0</v>
      </c>
      <c r="D6041" s="0" t="n">
        <v>0</v>
      </c>
      <c r="E6041" s="19" t="n">
        <v>34.75</v>
      </c>
    </row>
    <row r="6042" customFormat="false" ht="15" hidden="false" customHeight="false" outlineLevel="0" collapsed="false">
      <c r="A6042" s="0" t="n">
        <v>6041</v>
      </c>
      <c r="B6042" s="18" t="n">
        <v>713919.792098688</v>
      </c>
      <c r="C6042" s="18" t="n">
        <v>0</v>
      </c>
      <c r="D6042" s="0" t="n">
        <v>0</v>
      </c>
      <c r="E6042" s="19" t="n">
        <v>42.5</v>
      </c>
    </row>
    <row r="6043" customFormat="false" ht="15" hidden="false" customHeight="false" outlineLevel="0" collapsed="false">
      <c r="A6043" s="0" t="n">
        <v>6042</v>
      </c>
      <c r="B6043" s="18" t="n">
        <v>650536.413286623</v>
      </c>
      <c r="C6043" s="18" t="n">
        <v>0</v>
      </c>
      <c r="D6043" s="0" t="n">
        <v>0</v>
      </c>
      <c r="E6043" s="19" t="n">
        <v>36.4166666666667</v>
      </c>
    </row>
    <row r="6044" customFormat="false" ht="15" hidden="false" customHeight="false" outlineLevel="0" collapsed="false">
      <c r="A6044" s="0" t="n">
        <v>6043</v>
      </c>
      <c r="B6044" s="18" t="n">
        <v>449946.109607405</v>
      </c>
      <c r="C6044" s="18" t="n">
        <v>0</v>
      </c>
      <c r="D6044" s="0" t="n">
        <v>0</v>
      </c>
      <c r="E6044" s="19" t="n">
        <v>34.6666666666667</v>
      </c>
    </row>
    <row r="6045" customFormat="false" ht="15" hidden="false" customHeight="false" outlineLevel="0" collapsed="false">
      <c r="A6045" s="0" t="n">
        <v>6044</v>
      </c>
      <c r="B6045" s="18" t="n">
        <v>1326837.08763353</v>
      </c>
      <c r="C6045" s="18" t="n">
        <v>6329002.271013</v>
      </c>
      <c r="D6045" s="0" t="n">
        <v>1</v>
      </c>
    </row>
    <row r="6046" customFormat="false" ht="15" hidden="false" customHeight="false" outlineLevel="0" collapsed="false">
      <c r="A6046" s="0" t="n">
        <v>6045</v>
      </c>
      <c r="B6046" s="18" t="n">
        <v>204852.846034483</v>
      </c>
      <c r="C6046" s="18" t="n">
        <v>0</v>
      </c>
      <c r="D6046" s="0" t="n">
        <v>0</v>
      </c>
      <c r="E6046" s="19" t="n">
        <v>28.5</v>
      </c>
    </row>
    <row r="6047" customFormat="false" ht="15" hidden="false" customHeight="false" outlineLevel="0" collapsed="false">
      <c r="A6047" s="0" t="n">
        <v>6046</v>
      </c>
      <c r="B6047" s="18" t="n">
        <v>909005.113887797</v>
      </c>
      <c r="C6047" s="18" t="n">
        <v>5067240.6273524</v>
      </c>
      <c r="D6047" s="0" t="n">
        <v>1</v>
      </c>
    </row>
    <row r="6048" customFormat="false" ht="15" hidden="false" customHeight="false" outlineLevel="0" collapsed="false">
      <c r="A6048" s="0" t="n">
        <v>6047</v>
      </c>
      <c r="B6048" s="18" t="n">
        <v>1108251.46033126</v>
      </c>
      <c r="C6048" s="18" t="n">
        <v>0</v>
      </c>
      <c r="D6048" s="0" t="n">
        <v>0</v>
      </c>
      <c r="E6048" s="19" t="n">
        <v>48.8333333333333</v>
      </c>
    </row>
    <row r="6049" customFormat="false" ht="15" hidden="false" customHeight="false" outlineLevel="0" collapsed="false">
      <c r="A6049" s="0" t="n">
        <v>6048</v>
      </c>
      <c r="B6049" s="18" t="n">
        <v>991778.922779633</v>
      </c>
      <c r="C6049" s="18" t="n">
        <v>2223346.38164503</v>
      </c>
      <c r="D6049" s="0" t="n">
        <v>1</v>
      </c>
    </row>
    <row r="6050" customFormat="false" ht="15" hidden="false" customHeight="false" outlineLevel="0" collapsed="false">
      <c r="A6050" s="0" t="n">
        <v>6049</v>
      </c>
      <c r="B6050" s="18" t="n">
        <v>1329839.98196448</v>
      </c>
      <c r="C6050" s="18" t="n">
        <v>4480249.03244513</v>
      </c>
      <c r="D6050" s="0" t="n">
        <v>1</v>
      </c>
    </row>
    <row r="6051" customFormat="false" ht="15" hidden="false" customHeight="false" outlineLevel="0" collapsed="false">
      <c r="A6051" s="0" t="n">
        <v>6050</v>
      </c>
      <c r="B6051" s="18" t="n">
        <v>931856.036108302</v>
      </c>
      <c r="C6051" s="18" t="n">
        <v>1447322.9097722</v>
      </c>
      <c r="D6051" s="0" t="n">
        <v>1</v>
      </c>
    </row>
    <row r="6052" customFormat="false" ht="15" hidden="false" customHeight="false" outlineLevel="0" collapsed="false">
      <c r="A6052" s="0" t="n">
        <v>6051</v>
      </c>
      <c r="B6052" s="18" t="n">
        <v>472986.291467563</v>
      </c>
      <c r="C6052" s="18" t="n">
        <v>0</v>
      </c>
      <c r="D6052" s="0" t="n">
        <v>0</v>
      </c>
      <c r="E6052" s="19" t="n">
        <v>37.75</v>
      </c>
    </row>
    <row r="6053" customFormat="false" ht="15" hidden="false" customHeight="false" outlineLevel="0" collapsed="false">
      <c r="A6053" s="0" t="n">
        <v>6052</v>
      </c>
      <c r="B6053" s="18" t="n">
        <v>1468280.65139501</v>
      </c>
      <c r="C6053" s="18" t="n">
        <v>7715157.03114481</v>
      </c>
      <c r="D6053" s="0" t="n">
        <v>1</v>
      </c>
    </row>
    <row r="6054" customFormat="false" ht="15" hidden="false" customHeight="false" outlineLevel="0" collapsed="false">
      <c r="A6054" s="0" t="n">
        <v>6053</v>
      </c>
      <c r="B6054" s="18" t="n">
        <v>841239.989523725</v>
      </c>
      <c r="C6054" s="18" t="n">
        <v>0</v>
      </c>
      <c r="D6054" s="0" t="n">
        <v>0</v>
      </c>
      <c r="E6054" s="19" t="n">
        <v>48</v>
      </c>
    </row>
    <row r="6055" customFormat="false" ht="15" hidden="false" customHeight="false" outlineLevel="0" collapsed="false">
      <c r="A6055" s="0" t="n">
        <v>6054</v>
      </c>
      <c r="B6055" s="18" t="n">
        <v>797572.889813519</v>
      </c>
      <c r="C6055" s="18" t="n">
        <v>2420131.45474822</v>
      </c>
      <c r="D6055" s="0" t="n">
        <v>1</v>
      </c>
    </row>
    <row r="6056" customFormat="false" ht="15" hidden="false" customHeight="false" outlineLevel="0" collapsed="false">
      <c r="A6056" s="0" t="n">
        <v>6055</v>
      </c>
      <c r="B6056" s="18" t="n">
        <v>1361542.57462522</v>
      </c>
      <c r="C6056" s="18" t="n">
        <v>0</v>
      </c>
      <c r="D6056" s="0" t="n">
        <v>0</v>
      </c>
      <c r="E6056" s="19" t="n">
        <v>54.25</v>
      </c>
    </row>
    <row r="6057" customFormat="false" ht="15" hidden="false" customHeight="false" outlineLevel="0" collapsed="false">
      <c r="A6057" s="0" t="n">
        <v>6056</v>
      </c>
      <c r="B6057" s="18" t="n">
        <v>347816.472145561</v>
      </c>
      <c r="C6057" s="18" t="n">
        <v>0</v>
      </c>
      <c r="D6057" s="0" t="n">
        <v>0</v>
      </c>
      <c r="E6057" s="19" t="n">
        <v>31.5</v>
      </c>
    </row>
    <row r="6058" customFormat="false" ht="15" hidden="false" customHeight="false" outlineLevel="0" collapsed="false">
      <c r="A6058" s="0" t="n">
        <v>6057</v>
      </c>
      <c r="B6058" s="18" t="n">
        <v>589629.435504686</v>
      </c>
      <c r="C6058" s="18" t="n">
        <v>0</v>
      </c>
      <c r="D6058" s="0" t="n">
        <v>0</v>
      </c>
      <c r="E6058" s="19" t="n">
        <v>40.1666666666667</v>
      </c>
    </row>
    <row r="6059" customFormat="false" ht="15" hidden="false" customHeight="false" outlineLevel="0" collapsed="false">
      <c r="A6059" s="0" t="n">
        <v>6058</v>
      </c>
      <c r="B6059" s="18" t="n">
        <v>248741.439583997</v>
      </c>
      <c r="C6059" s="18" t="n">
        <v>0</v>
      </c>
      <c r="D6059" s="0" t="n">
        <v>0</v>
      </c>
      <c r="E6059" s="19" t="n">
        <v>31.9166666666667</v>
      </c>
    </row>
    <row r="6060" customFormat="false" ht="15" hidden="false" customHeight="false" outlineLevel="0" collapsed="false">
      <c r="A6060" s="0" t="n">
        <v>6059</v>
      </c>
      <c r="B6060" s="18" t="n">
        <v>1205605.76422783</v>
      </c>
      <c r="C6060" s="18" t="n">
        <v>0</v>
      </c>
      <c r="D6060" s="0" t="n">
        <v>0</v>
      </c>
      <c r="E6060" s="19" t="n">
        <v>37.5833333333333</v>
      </c>
    </row>
    <row r="6061" customFormat="false" ht="15" hidden="false" customHeight="false" outlineLevel="0" collapsed="false">
      <c r="A6061" s="0" t="n">
        <v>6060</v>
      </c>
      <c r="B6061" s="18" t="n">
        <v>1176009.88867996</v>
      </c>
      <c r="C6061" s="18" t="n">
        <v>0</v>
      </c>
      <c r="D6061" s="0" t="n">
        <v>0</v>
      </c>
      <c r="E6061" s="19" t="n">
        <v>54.1666666666667</v>
      </c>
    </row>
    <row r="6062" customFormat="false" ht="15" hidden="false" customHeight="false" outlineLevel="0" collapsed="false">
      <c r="A6062" s="0" t="n">
        <v>6061</v>
      </c>
      <c r="B6062" s="18" t="n">
        <v>1233977.84047226</v>
      </c>
      <c r="C6062" s="18" t="n">
        <v>0</v>
      </c>
      <c r="D6062" s="0" t="n">
        <v>0</v>
      </c>
      <c r="E6062" s="19" t="n">
        <v>45.75</v>
      </c>
    </row>
    <row r="6063" customFormat="false" ht="15" hidden="false" customHeight="false" outlineLevel="0" collapsed="false">
      <c r="A6063" s="0" t="n">
        <v>6062</v>
      </c>
      <c r="B6063" s="18" t="n">
        <v>1480980.95540636</v>
      </c>
      <c r="C6063" s="18" t="n">
        <v>31703208.3924494</v>
      </c>
      <c r="D6063" s="0" t="n">
        <v>1</v>
      </c>
    </row>
    <row r="6064" customFormat="false" ht="15" hidden="false" customHeight="false" outlineLevel="0" collapsed="false">
      <c r="A6064" s="0" t="n">
        <v>6063</v>
      </c>
      <c r="B6064" s="18" t="n">
        <v>864488.05042024</v>
      </c>
      <c r="C6064" s="18" t="n">
        <v>0</v>
      </c>
      <c r="D6064" s="0" t="n">
        <v>0</v>
      </c>
      <c r="E6064" s="19" t="n">
        <v>52.6666666666667</v>
      </c>
    </row>
    <row r="6065" customFormat="false" ht="15" hidden="false" customHeight="false" outlineLevel="0" collapsed="false">
      <c r="A6065" s="0" t="n">
        <v>6064</v>
      </c>
      <c r="B6065" s="18" t="n">
        <v>1358860.05324216</v>
      </c>
      <c r="C6065" s="18" t="n">
        <v>1663587.39247977</v>
      </c>
      <c r="D6065" s="0" t="n">
        <v>1</v>
      </c>
    </row>
    <row r="6066" customFormat="false" ht="15" hidden="false" customHeight="false" outlineLevel="0" collapsed="false">
      <c r="A6066" s="0" t="n">
        <v>6065</v>
      </c>
      <c r="B6066" s="18" t="n">
        <v>2748196.07089049</v>
      </c>
      <c r="C6066" s="18" t="n">
        <v>552303.21770313</v>
      </c>
      <c r="D6066" s="0" t="n">
        <v>1</v>
      </c>
    </row>
    <row r="6067" customFormat="false" ht="15" hidden="false" customHeight="false" outlineLevel="0" collapsed="false">
      <c r="A6067" s="0" t="n">
        <v>6066</v>
      </c>
      <c r="B6067" s="18" t="n">
        <v>3019530.98102809</v>
      </c>
      <c r="C6067" s="18" t="n">
        <v>6453041.45224079</v>
      </c>
      <c r="D6067" s="0" t="n">
        <v>1</v>
      </c>
    </row>
    <row r="6068" customFormat="false" ht="15" hidden="false" customHeight="false" outlineLevel="0" collapsed="false">
      <c r="A6068" s="0" t="n">
        <v>6067</v>
      </c>
      <c r="B6068" s="18" t="n">
        <v>1709311.61558875</v>
      </c>
      <c r="C6068" s="18" t="n">
        <v>0</v>
      </c>
      <c r="D6068" s="0" t="n">
        <v>0</v>
      </c>
      <c r="E6068" s="19" t="n">
        <v>52.75</v>
      </c>
    </row>
    <row r="6069" customFormat="false" ht="15" hidden="false" customHeight="false" outlineLevel="0" collapsed="false">
      <c r="A6069" s="0" t="n">
        <v>6068</v>
      </c>
      <c r="B6069" s="18" t="n">
        <v>678666.325842357</v>
      </c>
      <c r="C6069" s="18" t="n">
        <v>0</v>
      </c>
      <c r="D6069" s="0" t="n">
        <v>0</v>
      </c>
      <c r="E6069" s="19" t="n">
        <v>36.3333333333333</v>
      </c>
    </row>
    <row r="6070" customFormat="false" ht="15" hidden="false" customHeight="false" outlineLevel="0" collapsed="false">
      <c r="A6070" s="0" t="n">
        <v>6069</v>
      </c>
      <c r="B6070" s="18" t="n">
        <v>1141530.01324679</v>
      </c>
      <c r="C6070" s="18" t="n">
        <v>0</v>
      </c>
      <c r="D6070" s="0" t="n">
        <v>0</v>
      </c>
      <c r="E6070" s="19" t="n">
        <v>43.0833333333333</v>
      </c>
    </row>
    <row r="6071" customFormat="false" ht="15" hidden="false" customHeight="false" outlineLevel="0" collapsed="false">
      <c r="A6071" s="0" t="n">
        <v>6070</v>
      </c>
      <c r="B6071" s="18" t="n">
        <v>1800523.32180195</v>
      </c>
      <c r="C6071" s="18" t="n">
        <v>9831305.43362649</v>
      </c>
      <c r="D6071" s="0" t="n">
        <v>1</v>
      </c>
    </row>
    <row r="6072" customFormat="false" ht="15" hidden="false" customHeight="false" outlineLevel="0" collapsed="false">
      <c r="A6072" s="0" t="n">
        <v>6071</v>
      </c>
      <c r="B6072" s="18" t="n">
        <v>667050.334246743</v>
      </c>
      <c r="C6072" s="18" t="n">
        <v>0</v>
      </c>
      <c r="D6072" s="0" t="n">
        <v>0</v>
      </c>
      <c r="E6072" s="19" t="n">
        <v>36.25</v>
      </c>
    </row>
    <row r="6073" customFormat="false" ht="15" hidden="false" customHeight="false" outlineLevel="0" collapsed="false">
      <c r="A6073" s="0" t="n">
        <v>6072</v>
      </c>
      <c r="B6073" s="18" t="n">
        <v>570480.778144992</v>
      </c>
      <c r="C6073" s="18" t="n">
        <v>0</v>
      </c>
      <c r="D6073" s="0" t="n">
        <v>0</v>
      </c>
      <c r="E6073" s="19" t="n">
        <v>39.5833333333333</v>
      </c>
    </row>
    <row r="6074" customFormat="false" ht="15" hidden="false" customHeight="false" outlineLevel="0" collapsed="false">
      <c r="A6074" s="0" t="n">
        <v>6073</v>
      </c>
      <c r="B6074" s="18" t="n">
        <v>747338.43615189</v>
      </c>
      <c r="C6074" s="18" t="n">
        <v>8928744.98131822</v>
      </c>
      <c r="D6074" s="0" t="n">
        <v>1</v>
      </c>
    </row>
    <row r="6075" customFormat="false" ht="15" hidden="false" customHeight="false" outlineLevel="0" collapsed="false">
      <c r="A6075" s="0" t="n">
        <v>6074</v>
      </c>
      <c r="B6075" s="18" t="n">
        <v>734403.250267807</v>
      </c>
      <c r="C6075" s="18" t="n">
        <v>0</v>
      </c>
      <c r="D6075" s="0" t="n">
        <v>0</v>
      </c>
      <c r="E6075" s="19" t="n">
        <v>34.6666666666667</v>
      </c>
    </row>
    <row r="6076" customFormat="false" ht="15" hidden="false" customHeight="false" outlineLevel="0" collapsed="false">
      <c r="A6076" s="0" t="n">
        <v>6075</v>
      </c>
      <c r="B6076" s="18" t="n">
        <v>367536.869697607</v>
      </c>
      <c r="C6076" s="18" t="n">
        <v>0</v>
      </c>
      <c r="D6076" s="0" t="n">
        <v>0</v>
      </c>
      <c r="E6076" s="19" t="n">
        <v>29.4166666666667</v>
      </c>
    </row>
    <row r="6077" customFormat="false" ht="15" hidden="false" customHeight="false" outlineLevel="0" collapsed="false">
      <c r="A6077" s="0" t="n">
        <v>6076</v>
      </c>
      <c r="B6077" s="18" t="n">
        <v>1436301.24508309</v>
      </c>
      <c r="C6077" s="18" t="n">
        <v>9790262.23566994</v>
      </c>
      <c r="D6077" s="0" t="n">
        <v>1</v>
      </c>
    </row>
    <row r="6078" customFormat="false" ht="15" hidden="false" customHeight="false" outlineLevel="0" collapsed="false">
      <c r="A6078" s="0" t="n">
        <v>6077</v>
      </c>
      <c r="B6078" s="18" t="n">
        <v>1413184.19020825</v>
      </c>
      <c r="C6078" s="18" t="n">
        <v>2192854.41728109</v>
      </c>
      <c r="D6078" s="0" t="n">
        <v>1</v>
      </c>
    </row>
    <row r="6079" customFormat="false" ht="15" hidden="false" customHeight="false" outlineLevel="0" collapsed="false">
      <c r="A6079" s="0" t="n">
        <v>6078</v>
      </c>
      <c r="B6079" s="18" t="n">
        <v>624714.521896979</v>
      </c>
      <c r="C6079" s="18" t="n">
        <v>0</v>
      </c>
      <c r="D6079" s="0" t="n">
        <v>0</v>
      </c>
      <c r="E6079" s="19" t="n">
        <v>35.0833333333333</v>
      </c>
    </row>
    <row r="6080" customFormat="false" ht="15" hidden="false" customHeight="false" outlineLevel="0" collapsed="false">
      <c r="A6080" s="0" t="n">
        <v>6079</v>
      </c>
      <c r="B6080" s="18" t="n">
        <v>1029143.29409824</v>
      </c>
      <c r="C6080" s="18" t="n">
        <v>5292257.88673111</v>
      </c>
      <c r="D6080" s="0" t="n">
        <v>1</v>
      </c>
    </row>
    <row r="6081" customFormat="false" ht="15" hidden="false" customHeight="false" outlineLevel="0" collapsed="false">
      <c r="A6081" s="0" t="n">
        <v>6080</v>
      </c>
      <c r="B6081" s="18" t="n">
        <v>655414.224180306</v>
      </c>
      <c r="C6081" s="18" t="n">
        <v>0</v>
      </c>
      <c r="D6081" s="0" t="n">
        <v>0</v>
      </c>
      <c r="E6081" s="19" t="n">
        <v>45.4166666666667</v>
      </c>
    </row>
    <row r="6082" customFormat="false" ht="15" hidden="false" customHeight="false" outlineLevel="0" collapsed="false">
      <c r="A6082" s="0" t="n">
        <v>6081</v>
      </c>
      <c r="B6082" s="18" t="n">
        <v>902769.335785461</v>
      </c>
      <c r="C6082" s="18" t="n">
        <v>0</v>
      </c>
      <c r="D6082" s="0" t="n">
        <v>0</v>
      </c>
      <c r="E6082" s="19" t="n">
        <v>46</v>
      </c>
    </row>
    <row r="6083" customFormat="false" ht="15" hidden="false" customHeight="false" outlineLevel="0" collapsed="false">
      <c r="A6083" s="0" t="n">
        <v>6082</v>
      </c>
      <c r="B6083" s="18" t="n">
        <v>1157563.3632915</v>
      </c>
      <c r="C6083" s="18" t="n">
        <v>355068.433837903</v>
      </c>
      <c r="D6083" s="0" t="n">
        <v>1</v>
      </c>
    </row>
    <row r="6084" customFormat="false" ht="15" hidden="false" customHeight="false" outlineLevel="0" collapsed="false">
      <c r="A6084" s="0" t="n">
        <v>6083</v>
      </c>
      <c r="B6084" s="18" t="n">
        <v>492380.501877071</v>
      </c>
      <c r="C6084" s="18" t="n">
        <v>0</v>
      </c>
      <c r="D6084" s="0" t="n">
        <v>0</v>
      </c>
      <c r="E6084" s="19" t="n">
        <v>34.8333333333333</v>
      </c>
    </row>
    <row r="6085" customFormat="false" ht="15" hidden="false" customHeight="false" outlineLevel="0" collapsed="false">
      <c r="A6085" s="0" t="n">
        <v>6084</v>
      </c>
      <c r="B6085" s="18" t="n">
        <v>807135.013854471</v>
      </c>
      <c r="C6085" s="18" t="n">
        <v>0</v>
      </c>
      <c r="D6085" s="0" t="n">
        <v>0</v>
      </c>
      <c r="E6085" s="19" t="n">
        <v>46.3333333333333</v>
      </c>
    </row>
    <row r="6086" customFormat="false" ht="15" hidden="false" customHeight="false" outlineLevel="0" collapsed="false">
      <c r="A6086" s="0" t="n">
        <v>6085</v>
      </c>
      <c r="B6086" s="18" t="n">
        <v>4639207.91485227</v>
      </c>
      <c r="C6086" s="18" t="n">
        <v>14583907.9114086</v>
      </c>
      <c r="D6086" s="0" t="n">
        <v>1</v>
      </c>
    </row>
    <row r="6087" customFormat="false" ht="15" hidden="false" customHeight="false" outlineLevel="0" collapsed="false">
      <c r="A6087" s="0" t="n">
        <v>6086</v>
      </c>
      <c r="B6087" s="18" t="n">
        <v>823465.408396054</v>
      </c>
      <c r="C6087" s="18" t="n">
        <v>192738.912523853</v>
      </c>
      <c r="D6087" s="0" t="n">
        <v>1</v>
      </c>
    </row>
    <row r="6088" customFormat="false" ht="15" hidden="false" customHeight="false" outlineLevel="0" collapsed="false">
      <c r="A6088" s="0" t="n">
        <v>6087</v>
      </c>
      <c r="B6088" s="18" t="n">
        <v>1475231.1470722</v>
      </c>
      <c r="C6088" s="18" t="n">
        <v>4761863.79695191</v>
      </c>
      <c r="D6088" s="0" t="n">
        <v>1</v>
      </c>
    </row>
    <row r="6089" customFormat="false" ht="15" hidden="false" customHeight="false" outlineLevel="0" collapsed="false">
      <c r="A6089" s="0" t="n">
        <v>6088</v>
      </c>
      <c r="B6089" s="18" t="n">
        <v>242548.676243728</v>
      </c>
      <c r="C6089" s="18" t="n">
        <v>0</v>
      </c>
      <c r="D6089" s="0" t="n">
        <v>0</v>
      </c>
      <c r="E6089" s="19" t="n">
        <v>29.25</v>
      </c>
    </row>
    <row r="6090" customFormat="false" ht="15" hidden="false" customHeight="false" outlineLevel="0" collapsed="false">
      <c r="A6090" s="0" t="n">
        <v>6089</v>
      </c>
      <c r="B6090" s="18" t="n">
        <v>691121.811784743</v>
      </c>
      <c r="C6090" s="18" t="n">
        <v>0</v>
      </c>
      <c r="D6090" s="0" t="n">
        <v>0</v>
      </c>
      <c r="E6090" s="19" t="n">
        <v>35.25</v>
      </c>
    </row>
    <row r="6091" customFormat="false" ht="15" hidden="false" customHeight="false" outlineLevel="0" collapsed="false">
      <c r="A6091" s="0" t="n">
        <v>6090</v>
      </c>
      <c r="B6091" s="18" t="n">
        <v>807952.87575602</v>
      </c>
      <c r="C6091" s="18" t="n">
        <v>0</v>
      </c>
      <c r="D6091" s="0" t="n">
        <v>0</v>
      </c>
      <c r="E6091" s="19" t="n">
        <v>47.5833333333333</v>
      </c>
    </row>
    <row r="6092" customFormat="false" ht="15" hidden="false" customHeight="false" outlineLevel="0" collapsed="false">
      <c r="A6092" s="0" t="n">
        <v>6091</v>
      </c>
      <c r="B6092" s="18" t="n">
        <v>1774416.99738576</v>
      </c>
      <c r="C6092" s="18" t="n">
        <v>211449.501291581</v>
      </c>
      <c r="D6092" s="0" t="n">
        <v>1</v>
      </c>
    </row>
    <row r="6093" customFormat="false" ht="15" hidden="false" customHeight="false" outlineLevel="0" collapsed="false">
      <c r="A6093" s="0" t="n">
        <v>6092</v>
      </c>
      <c r="B6093" s="18" t="n">
        <v>607713.123229677</v>
      </c>
      <c r="C6093" s="18" t="n">
        <v>0</v>
      </c>
      <c r="D6093" s="0" t="n">
        <v>0</v>
      </c>
      <c r="E6093" s="19" t="n">
        <v>35.1666666666667</v>
      </c>
    </row>
    <row r="6094" customFormat="false" ht="15" hidden="false" customHeight="false" outlineLevel="0" collapsed="false">
      <c r="A6094" s="0" t="n">
        <v>6093</v>
      </c>
      <c r="B6094" s="18" t="n">
        <v>466339.432438727</v>
      </c>
      <c r="C6094" s="18" t="n">
        <v>0</v>
      </c>
      <c r="D6094" s="0" t="n">
        <v>0</v>
      </c>
      <c r="E6094" s="19" t="n">
        <v>41.6666666666667</v>
      </c>
    </row>
    <row r="6095" customFormat="false" ht="15" hidden="false" customHeight="false" outlineLevel="0" collapsed="false">
      <c r="A6095" s="0" t="n">
        <v>6094</v>
      </c>
      <c r="B6095" s="18" t="n">
        <v>1283589.82965597</v>
      </c>
      <c r="C6095" s="18" t="n">
        <v>7931793.43497007</v>
      </c>
      <c r="D6095" s="0" t="n">
        <v>1</v>
      </c>
    </row>
    <row r="6096" customFormat="false" ht="15" hidden="false" customHeight="false" outlineLevel="0" collapsed="false">
      <c r="A6096" s="0" t="n">
        <v>6095</v>
      </c>
      <c r="B6096" s="18" t="n">
        <v>797072.405576913</v>
      </c>
      <c r="C6096" s="18" t="n">
        <v>0</v>
      </c>
      <c r="D6096" s="0" t="n">
        <v>0</v>
      </c>
      <c r="E6096" s="19" t="n">
        <v>44.3333333333333</v>
      </c>
    </row>
    <row r="6097" customFormat="false" ht="15" hidden="false" customHeight="false" outlineLevel="0" collapsed="false">
      <c r="A6097" s="0" t="n">
        <v>6096</v>
      </c>
      <c r="B6097" s="18" t="n">
        <v>1001160.86390811</v>
      </c>
      <c r="C6097" s="18" t="n">
        <v>1654366.95645769</v>
      </c>
      <c r="D6097" s="0" t="n">
        <v>1</v>
      </c>
    </row>
    <row r="6098" customFormat="false" ht="15" hidden="false" customHeight="false" outlineLevel="0" collapsed="false">
      <c r="A6098" s="0" t="n">
        <v>6097</v>
      </c>
      <c r="B6098" s="18" t="n">
        <v>1740765.35243961</v>
      </c>
      <c r="C6098" s="18" t="n">
        <v>14022348.1969708</v>
      </c>
      <c r="D6098" s="0" t="n">
        <v>1</v>
      </c>
    </row>
    <row r="6099" customFormat="false" ht="15" hidden="false" customHeight="false" outlineLevel="0" collapsed="false">
      <c r="A6099" s="0" t="n">
        <v>6098</v>
      </c>
      <c r="B6099" s="18" t="n">
        <v>708112.676489464</v>
      </c>
      <c r="C6099" s="18" t="n">
        <v>0</v>
      </c>
      <c r="D6099" s="0" t="n">
        <v>0</v>
      </c>
      <c r="E6099" s="19" t="n">
        <v>37.75</v>
      </c>
    </row>
    <row r="6100" customFormat="false" ht="15" hidden="false" customHeight="false" outlineLevel="0" collapsed="false">
      <c r="A6100" s="0" t="n">
        <v>6099</v>
      </c>
      <c r="B6100" s="18" t="n">
        <v>1649270.7228914</v>
      </c>
      <c r="C6100" s="18" t="n">
        <v>3181880.38932731</v>
      </c>
      <c r="D6100" s="0" t="n">
        <v>1</v>
      </c>
    </row>
    <row r="6101" customFormat="false" ht="15" hidden="false" customHeight="false" outlineLevel="0" collapsed="false">
      <c r="A6101" s="0" t="n">
        <v>6100</v>
      </c>
      <c r="B6101" s="18" t="n">
        <v>966812.130197352</v>
      </c>
      <c r="C6101" s="18" t="n">
        <v>0</v>
      </c>
      <c r="D6101" s="0" t="n">
        <v>0</v>
      </c>
      <c r="E6101" s="19" t="n">
        <v>47.5833333333333</v>
      </c>
    </row>
    <row r="6102" customFormat="false" ht="15" hidden="false" customHeight="false" outlineLevel="0" collapsed="false">
      <c r="A6102" s="0" t="n">
        <v>6101</v>
      </c>
      <c r="B6102" s="18" t="n">
        <v>1930226.65474691</v>
      </c>
      <c r="C6102" s="18" t="n">
        <v>5682879.3624276</v>
      </c>
      <c r="D6102" s="0" t="n">
        <v>1</v>
      </c>
    </row>
    <row r="6103" customFormat="false" ht="15" hidden="false" customHeight="false" outlineLevel="0" collapsed="false">
      <c r="A6103" s="0" t="n">
        <v>6102</v>
      </c>
      <c r="B6103" s="18" t="n">
        <v>1085247.78190611</v>
      </c>
      <c r="C6103" s="18" t="n">
        <v>0</v>
      </c>
      <c r="D6103" s="0" t="n">
        <v>0</v>
      </c>
      <c r="E6103" s="19" t="n">
        <v>41.5</v>
      </c>
    </row>
    <row r="6104" customFormat="false" ht="15" hidden="false" customHeight="false" outlineLevel="0" collapsed="false">
      <c r="A6104" s="0" t="n">
        <v>6103</v>
      </c>
      <c r="B6104" s="18" t="n">
        <v>739649.623377879</v>
      </c>
      <c r="C6104" s="18" t="n">
        <v>0</v>
      </c>
      <c r="D6104" s="0" t="n">
        <v>0</v>
      </c>
      <c r="E6104" s="19" t="n">
        <v>35.3333333333333</v>
      </c>
    </row>
    <row r="6105" customFormat="false" ht="15" hidden="false" customHeight="false" outlineLevel="0" collapsed="false">
      <c r="A6105" s="0" t="n">
        <v>6104</v>
      </c>
      <c r="B6105" s="18" t="n">
        <v>979838.06701163</v>
      </c>
      <c r="C6105" s="18" t="n">
        <v>0</v>
      </c>
      <c r="D6105" s="0" t="n">
        <v>0</v>
      </c>
      <c r="E6105" s="19" t="n">
        <v>51.5</v>
      </c>
    </row>
    <row r="6106" customFormat="false" ht="15" hidden="false" customHeight="false" outlineLevel="0" collapsed="false">
      <c r="A6106" s="0" t="n">
        <v>6105</v>
      </c>
      <c r="B6106" s="18" t="n">
        <v>692210.64874876</v>
      </c>
      <c r="C6106" s="18" t="n">
        <v>0</v>
      </c>
      <c r="D6106" s="0" t="n">
        <v>0</v>
      </c>
      <c r="E6106" s="19" t="n">
        <v>51.5</v>
      </c>
    </row>
    <row r="6107" customFormat="false" ht="15" hidden="false" customHeight="false" outlineLevel="0" collapsed="false">
      <c r="A6107" s="0" t="n">
        <v>6106</v>
      </c>
      <c r="B6107" s="18" t="n">
        <v>1078607.80634919</v>
      </c>
      <c r="C6107" s="18" t="n">
        <v>0</v>
      </c>
      <c r="D6107" s="0" t="n">
        <v>0</v>
      </c>
      <c r="E6107" s="19" t="n">
        <v>48.0833333333333</v>
      </c>
    </row>
    <row r="6108" customFormat="false" ht="15" hidden="false" customHeight="false" outlineLevel="0" collapsed="false">
      <c r="A6108" s="0" t="n">
        <v>6107</v>
      </c>
      <c r="B6108" s="18" t="n">
        <v>329687.985480509</v>
      </c>
      <c r="C6108" s="18" t="n">
        <v>0</v>
      </c>
      <c r="D6108" s="0" t="n">
        <v>0</v>
      </c>
      <c r="E6108" s="19" t="n">
        <v>33.3333333333333</v>
      </c>
    </row>
    <row r="6109" customFormat="false" ht="15" hidden="false" customHeight="false" outlineLevel="0" collapsed="false">
      <c r="A6109" s="0" t="n">
        <v>6108</v>
      </c>
      <c r="B6109" s="18" t="n">
        <v>877686.840660036</v>
      </c>
      <c r="C6109" s="18" t="n">
        <v>0</v>
      </c>
      <c r="D6109" s="0" t="n">
        <v>0</v>
      </c>
      <c r="E6109" s="19" t="n">
        <v>39</v>
      </c>
    </row>
    <row r="6110" customFormat="false" ht="15" hidden="false" customHeight="false" outlineLevel="0" collapsed="false">
      <c r="A6110" s="0" t="n">
        <v>6109</v>
      </c>
      <c r="B6110" s="18" t="n">
        <v>792692.546577504</v>
      </c>
      <c r="C6110" s="18" t="n">
        <v>0</v>
      </c>
      <c r="D6110" s="0" t="n">
        <v>0</v>
      </c>
      <c r="E6110" s="19" t="n">
        <v>38.4166666666667</v>
      </c>
    </row>
    <row r="6111" customFormat="false" ht="15" hidden="false" customHeight="false" outlineLevel="0" collapsed="false">
      <c r="A6111" s="0" t="n">
        <v>6110</v>
      </c>
      <c r="B6111" s="18" t="n">
        <v>308240.397441433</v>
      </c>
      <c r="C6111" s="18" t="n">
        <v>0</v>
      </c>
      <c r="D6111" s="0" t="n">
        <v>0</v>
      </c>
      <c r="E6111" s="19" t="n">
        <v>30.75</v>
      </c>
    </row>
    <row r="6112" customFormat="false" ht="15" hidden="false" customHeight="false" outlineLevel="0" collapsed="false">
      <c r="A6112" s="0" t="n">
        <v>6111</v>
      </c>
      <c r="B6112" s="18" t="n">
        <v>588220.775144813</v>
      </c>
      <c r="C6112" s="18" t="n">
        <v>0</v>
      </c>
      <c r="D6112" s="0" t="n">
        <v>0</v>
      </c>
      <c r="E6112" s="19" t="n">
        <v>43.75</v>
      </c>
    </row>
    <row r="6113" customFormat="false" ht="15" hidden="false" customHeight="false" outlineLevel="0" collapsed="false">
      <c r="A6113" s="0" t="n">
        <v>6112</v>
      </c>
      <c r="B6113" s="18" t="n">
        <v>3959341.35614387</v>
      </c>
      <c r="C6113" s="18" t="n">
        <v>11801548.9285537</v>
      </c>
      <c r="D6113" s="0" t="n">
        <v>1</v>
      </c>
    </row>
    <row r="6114" customFormat="false" ht="15" hidden="false" customHeight="false" outlineLevel="0" collapsed="false">
      <c r="A6114" s="0" t="n">
        <v>6113</v>
      </c>
      <c r="B6114" s="18" t="n">
        <v>391504.459989317</v>
      </c>
      <c r="C6114" s="18" t="n">
        <v>0</v>
      </c>
      <c r="D6114" s="0" t="n">
        <v>0</v>
      </c>
      <c r="E6114" s="19" t="n">
        <v>30.8333333333333</v>
      </c>
    </row>
    <row r="6115" customFormat="false" ht="15" hidden="false" customHeight="false" outlineLevel="0" collapsed="false">
      <c r="A6115" s="0" t="n">
        <v>6114</v>
      </c>
      <c r="B6115" s="18" t="n">
        <v>1085642.4226735</v>
      </c>
      <c r="C6115" s="18" t="n">
        <v>0</v>
      </c>
      <c r="D6115" s="0" t="n">
        <v>0</v>
      </c>
      <c r="E6115" s="19" t="n">
        <v>48.25</v>
      </c>
    </row>
    <row r="6116" customFormat="false" ht="15" hidden="false" customHeight="false" outlineLevel="0" collapsed="false">
      <c r="A6116" s="0" t="n">
        <v>6115</v>
      </c>
      <c r="B6116" s="18" t="n">
        <v>792166.832224087</v>
      </c>
      <c r="C6116" s="18" t="n">
        <v>932788.388530118</v>
      </c>
      <c r="D6116" s="0" t="n">
        <v>1</v>
      </c>
    </row>
    <row r="6117" customFormat="false" ht="15" hidden="false" customHeight="false" outlineLevel="0" collapsed="false">
      <c r="A6117" s="0" t="n">
        <v>6116</v>
      </c>
      <c r="B6117" s="18" t="n">
        <v>1209063.38037582</v>
      </c>
      <c r="C6117" s="18" t="n">
        <v>734186.838473514</v>
      </c>
      <c r="D6117" s="0" t="n">
        <v>1</v>
      </c>
    </row>
    <row r="6118" customFormat="false" ht="15" hidden="false" customHeight="false" outlineLevel="0" collapsed="false">
      <c r="A6118" s="0" t="n">
        <v>6117</v>
      </c>
      <c r="B6118" s="18" t="n">
        <v>745217.617018786</v>
      </c>
      <c r="C6118" s="18" t="n">
        <v>0</v>
      </c>
      <c r="D6118" s="0" t="n">
        <v>0</v>
      </c>
      <c r="E6118" s="19" t="n">
        <v>47.0833333333333</v>
      </c>
    </row>
    <row r="6119" customFormat="false" ht="15" hidden="false" customHeight="false" outlineLevel="0" collapsed="false">
      <c r="A6119" s="0" t="n">
        <v>6118</v>
      </c>
      <c r="B6119" s="18" t="n">
        <v>708632.477186908</v>
      </c>
      <c r="C6119" s="18" t="n">
        <v>0</v>
      </c>
      <c r="D6119" s="0" t="n">
        <v>0</v>
      </c>
      <c r="E6119" s="19" t="n">
        <v>39.9166666666667</v>
      </c>
    </row>
    <row r="6120" customFormat="false" ht="15" hidden="false" customHeight="false" outlineLevel="0" collapsed="false">
      <c r="A6120" s="0" t="n">
        <v>6119</v>
      </c>
      <c r="B6120" s="18" t="n">
        <v>429451.24845062</v>
      </c>
      <c r="C6120" s="18" t="n">
        <v>0</v>
      </c>
      <c r="D6120" s="0" t="n">
        <v>0</v>
      </c>
      <c r="E6120" s="19" t="n">
        <v>34</v>
      </c>
    </row>
    <row r="6121" customFormat="false" ht="15" hidden="false" customHeight="false" outlineLevel="0" collapsed="false">
      <c r="A6121" s="0" t="n">
        <v>6120</v>
      </c>
      <c r="B6121" s="18" t="n">
        <v>1543519.38002371</v>
      </c>
      <c r="C6121" s="18" t="n">
        <v>14806861.0629736</v>
      </c>
      <c r="D6121" s="0" t="n">
        <v>1</v>
      </c>
    </row>
    <row r="6122" customFormat="false" ht="15" hidden="false" customHeight="false" outlineLevel="0" collapsed="false">
      <c r="A6122" s="0" t="n">
        <v>6121</v>
      </c>
      <c r="B6122" s="18" t="n">
        <v>618440.020958533</v>
      </c>
      <c r="C6122" s="18" t="n">
        <v>0</v>
      </c>
      <c r="D6122" s="0" t="n">
        <v>0</v>
      </c>
      <c r="E6122" s="19" t="n">
        <v>37.1666666666667</v>
      </c>
    </row>
    <row r="6123" customFormat="false" ht="15" hidden="false" customHeight="false" outlineLevel="0" collapsed="false">
      <c r="A6123" s="0" t="n">
        <v>6122</v>
      </c>
      <c r="B6123" s="18" t="n">
        <v>1184613.90596638</v>
      </c>
      <c r="C6123" s="18" t="n">
        <v>270455.296759355</v>
      </c>
      <c r="D6123" s="0" t="n">
        <v>1</v>
      </c>
    </row>
    <row r="6124" customFormat="false" ht="15" hidden="false" customHeight="false" outlineLevel="0" collapsed="false">
      <c r="A6124" s="0" t="n">
        <v>6123</v>
      </c>
      <c r="B6124" s="18" t="n">
        <v>201864.236764439</v>
      </c>
      <c r="C6124" s="18" t="n">
        <v>0</v>
      </c>
      <c r="D6124" s="0" t="n">
        <v>0</v>
      </c>
      <c r="E6124" s="19" t="n">
        <v>28.5</v>
      </c>
    </row>
    <row r="6125" customFormat="false" ht="15" hidden="false" customHeight="false" outlineLevel="0" collapsed="false">
      <c r="A6125" s="0" t="n">
        <v>6124</v>
      </c>
      <c r="B6125" s="18" t="n">
        <v>3485942.04913416</v>
      </c>
      <c r="C6125" s="18" t="n">
        <v>9242955.74742233</v>
      </c>
      <c r="D6125" s="0" t="n">
        <v>1</v>
      </c>
    </row>
    <row r="6126" customFormat="false" ht="15" hidden="false" customHeight="false" outlineLevel="0" collapsed="false">
      <c r="A6126" s="0" t="n">
        <v>6125</v>
      </c>
      <c r="B6126" s="18" t="n">
        <v>1525923.25532339</v>
      </c>
      <c r="C6126" s="18" t="n">
        <v>1179495.10157103</v>
      </c>
      <c r="D6126" s="0" t="n">
        <v>1</v>
      </c>
    </row>
    <row r="6127" customFormat="false" ht="15" hidden="false" customHeight="false" outlineLevel="0" collapsed="false">
      <c r="A6127" s="0" t="n">
        <v>6126</v>
      </c>
      <c r="B6127" s="18" t="n">
        <v>562852.332777927</v>
      </c>
      <c r="C6127" s="18" t="n">
        <v>0</v>
      </c>
      <c r="D6127" s="0" t="n">
        <v>0</v>
      </c>
      <c r="E6127" s="19" t="n">
        <v>36.8333333333333</v>
      </c>
    </row>
    <row r="6128" customFormat="false" ht="15" hidden="false" customHeight="false" outlineLevel="0" collapsed="false">
      <c r="A6128" s="0" t="n">
        <v>6127</v>
      </c>
      <c r="B6128" s="18" t="n">
        <v>1092126.62202913</v>
      </c>
      <c r="C6128" s="18" t="n">
        <v>0</v>
      </c>
      <c r="D6128" s="0" t="n">
        <v>0</v>
      </c>
      <c r="E6128" s="19" t="n">
        <v>54.5833333333333</v>
      </c>
    </row>
    <row r="6129" customFormat="false" ht="15" hidden="false" customHeight="false" outlineLevel="0" collapsed="false">
      <c r="A6129" s="0" t="n">
        <v>6128</v>
      </c>
      <c r="B6129" s="18" t="n">
        <v>710961.873118866</v>
      </c>
      <c r="C6129" s="18" t="n">
        <v>5239882.04008765</v>
      </c>
      <c r="D6129" s="0" t="n">
        <v>1</v>
      </c>
    </row>
    <row r="6130" customFormat="false" ht="15" hidden="false" customHeight="false" outlineLevel="0" collapsed="false">
      <c r="A6130" s="0" t="n">
        <v>6129</v>
      </c>
      <c r="B6130" s="18" t="n">
        <v>329121.507701055</v>
      </c>
      <c r="C6130" s="18" t="n">
        <v>0</v>
      </c>
      <c r="D6130" s="0" t="n">
        <v>0</v>
      </c>
      <c r="E6130" s="19" t="n">
        <v>30.3333333333333</v>
      </c>
    </row>
    <row r="6131" customFormat="false" ht="15" hidden="false" customHeight="false" outlineLevel="0" collapsed="false">
      <c r="A6131" s="0" t="n">
        <v>6130</v>
      </c>
      <c r="B6131" s="18" t="n">
        <v>1627133.72123455</v>
      </c>
      <c r="C6131" s="18" t="n">
        <v>4795884.98788968</v>
      </c>
      <c r="D6131" s="0" t="n">
        <v>1</v>
      </c>
    </row>
    <row r="6132" customFormat="false" ht="15" hidden="false" customHeight="false" outlineLevel="0" collapsed="false">
      <c r="A6132" s="0" t="n">
        <v>6131</v>
      </c>
      <c r="B6132" s="18" t="n">
        <v>1668836.86050349</v>
      </c>
      <c r="C6132" s="18" t="n">
        <v>5519510.0183533</v>
      </c>
      <c r="D6132" s="0" t="n">
        <v>1</v>
      </c>
    </row>
    <row r="6133" customFormat="false" ht="15" hidden="false" customHeight="false" outlineLevel="0" collapsed="false">
      <c r="A6133" s="0" t="n">
        <v>6132</v>
      </c>
      <c r="B6133" s="18" t="n">
        <v>523124.277801876</v>
      </c>
      <c r="C6133" s="18" t="n">
        <v>0</v>
      </c>
      <c r="D6133" s="0" t="n">
        <v>0</v>
      </c>
      <c r="E6133" s="19" t="n">
        <v>38.3333333333333</v>
      </c>
    </row>
    <row r="6134" customFormat="false" ht="15" hidden="false" customHeight="false" outlineLevel="0" collapsed="false">
      <c r="A6134" s="0" t="n">
        <v>6133</v>
      </c>
      <c r="B6134" s="18" t="n">
        <v>418130.986248536</v>
      </c>
      <c r="C6134" s="18" t="n">
        <v>0</v>
      </c>
      <c r="D6134" s="0" t="n">
        <v>0</v>
      </c>
      <c r="E6134" s="19" t="n">
        <v>31.0833333333333</v>
      </c>
    </row>
    <row r="6135" customFormat="false" ht="15" hidden="false" customHeight="false" outlineLevel="0" collapsed="false">
      <c r="A6135" s="0" t="n">
        <v>6134</v>
      </c>
      <c r="B6135" s="18" t="n">
        <v>1586822.21002937</v>
      </c>
      <c r="C6135" s="18" t="n">
        <v>7218979.98962297</v>
      </c>
      <c r="D6135" s="0" t="n">
        <v>1</v>
      </c>
    </row>
    <row r="6136" customFormat="false" ht="15" hidden="false" customHeight="false" outlineLevel="0" collapsed="false">
      <c r="A6136" s="0" t="n">
        <v>6135</v>
      </c>
      <c r="B6136" s="18" t="n">
        <v>1093782.52306932</v>
      </c>
      <c r="C6136" s="18" t="n">
        <v>0</v>
      </c>
      <c r="D6136" s="0" t="n">
        <v>0</v>
      </c>
      <c r="E6136" s="19" t="n">
        <v>39</v>
      </c>
    </row>
    <row r="6137" customFormat="false" ht="15" hidden="false" customHeight="false" outlineLevel="0" collapsed="false">
      <c r="A6137" s="0" t="n">
        <v>6136</v>
      </c>
      <c r="B6137" s="18" t="n">
        <v>694093.603563962</v>
      </c>
      <c r="C6137" s="18" t="n">
        <v>0</v>
      </c>
      <c r="D6137" s="0" t="n">
        <v>0</v>
      </c>
      <c r="E6137" s="19" t="n">
        <v>38.3333333333333</v>
      </c>
    </row>
    <row r="6138" customFormat="false" ht="15" hidden="false" customHeight="false" outlineLevel="0" collapsed="false">
      <c r="A6138" s="0" t="n">
        <v>6137</v>
      </c>
      <c r="B6138" s="18" t="n">
        <v>674927.587293172</v>
      </c>
      <c r="C6138" s="18" t="n">
        <v>0</v>
      </c>
      <c r="D6138" s="0" t="n">
        <v>0</v>
      </c>
      <c r="E6138" s="19" t="n">
        <v>42.6666666666667</v>
      </c>
    </row>
    <row r="6139" customFormat="false" ht="15" hidden="false" customHeight="false" outlineLevel="0" collapsed="false">
      <c r="A6139" s="0" t="n">
        <v>6138</v>
      </c>
      <c r="B6139" s="18" t="n">
        <v>473122.34586286</v>
      </c>
      <c r="C6139" s="18" t="n">
        <v>0</v>
      </c>
      <c r="D6139" s="0" t="n">
        <v>0</v>
      </c>
      <c r="E6139" s="19" t="n">
        <v>33.4166666666667</v>
      </c>
    </row>
    <row r="6140" customFormat="false" ht="15" hidden="false" customHeight="false" outlineLevel="0" collapsed="false">
      <c r="A6140" s="0" t="n">
        <v>6139</v>
      </c>
      <c r="B6140" s="18" t="n">
        <v>1126852.52198979</v>
      </c>
      <c r="C6140" s="18" t="n">
        <v>0</v>
      </c>
      <c r="D6140" s="0" t="n">
        <v>0</v>
      </c>
      <c r="E6140" s="19" t="n">
        <v>32.9166666666667</v>
      </c>
    </row>
    <row r="6141" customFormat="false" ht="15" hidden="false" customHeight="false" outlineLevel="0" collapsed="false">
      <c r="A6141" s="0" t="n">
        <v>6140</v>
      </c>
      <c r="B6141" s="18" t="n">
        <v>535049.380299654</v>
      </c>
      <c r="C6141" s="18" t="n">
        <v>0</v>
      </c>
      <c r="D6141" s="0" t="n">
        <v>0</v>
      </c>
      <c r="E6141" s="19" t="n">
        <v>40.9166666666667</v>
      </c>
    </row>
    <row r="6142" customFormat="false" ht="15" hidden="false" customHeight="false" outlineLevel="0" collapsed="false">
      <c r="A6142" s="0" t="n">
        <v>6141</v>
      </c>
      <c r="B6142" s="18" t="n">
        <v>981515.812503879</v>
      </c>
      <c r="C6142" s="18" t="n">
        <v>0</v>
      </c>
      <c r="D6142" s="0" t="n">
        <v>0</v>
      </c>
      <c r="E6142" s="19" t="n">
        <v>48.5</v>
      </c>
    </row>
    <row r="6143" customFormat="false" ht="15" hidden="false" customHeight="false" outlineLevel="0" collapsed="false">
      <c r="A6143" s="0" t="n">
        <v>6142</v>
      </c>
      <c r="B6143" s="18" t="n">
        <v>721525.298161168</v>
      </c>
      <c r="C6143" s="18" t="n">
        <v>0</v>
      </c>
      <c r="D6143" s="0" t="n">
        <v>0</v>
      </c>
      <c r="E6143" s="19" t="n">
        <v>40.25</v>
      </c>
    </row>
    <row r="6144" customFormat="false" ht="15" hidden="false" customHeight="false" outlineLevel="0" collapsed="false">
      <c r="A6144" s="0" t="n">
        <v>6143</v>
      </c>
      <c r="B6144" s="18" t="n">
        <v>458666.80584714</v>
      </c>
      <c r="C6144" s="18" t="n">
        <v>0</v>
      </c>
      <c r="D6144" s="0" t="n">
        <v>0</v>
      </c>
      <c r="E6144" s="19" t="n">
        <v>34.1666666666667</v>
      </c>
    </row>
    <row r="6145" customFormat="false" ht="15" hidden="false" customHeight="false" outlineLevel="0" collapsed="false">
      <c r="A6145" s="0" t="n">
        <v>6144</v>
      </c>
      <c r="B6145" s="18" t="n">
        <v>845903.464882816</v>
      </c>
      <c r="C6145" s="18" t="n">
        <v>0</v>
      </c>
      <c r="D6145" s="0" t="n">
        <v>0</v>
      </c>
      <c r="E6145" s="19" t="n">
        <v>39.5</v>
      </c>
    </row>
    <row r="6146" customFormat="false" ht="15" hidden="false" customHeight="false" outlineLevel="0" collapsed="false">
      <c r="A6146" s="0" t="n">
        <v>6145</v>
      </c>
      <c r="B6146" s="18" t="n">
        <v>1600238.20971259</v>
      </c>
      <c r="C6146" s="18" t="n">
        <v>14958054.0611603</v>
      </c>
      <c r="D6146" s="0" t="n">
        <v>1</v>
      </c>
    </row>
    <row r="6147" customFormat="false" ht="15" hidden="false" customHeight="false" outlineLevel="0" collapsed="false">
      <c r="A6147" s="0" t="n">
        <v>6146</v>
      </c>
      <c r="B6147" s="18" t="n">
        <v>777123.859715759</v>
      </c>
      <c r="C6147" s="18" t="n">
        <v>5121859.48472237</v>
      </c>
      <c r="D6147" s="0" t="n">
        <v>1</v>
      </c>
    </row>
    <row r="6148" customFormat="false" ht="15" hidden="false" customHeight="false" outlineLevel="0" collapsed="false">
      <c r="A6148" s="0" t="n">
        <v>6147</v>
      </c>
      <c r="B6148" s="18" t="n">
        <v>1924780.4609876</v>
      </c>
      <c r="C6148" s="18" t="n">
        <v>2241966.23794785</v>
      </c>
      <c r="D6148" s="0" t="n">
        <v>1</v>
      </c>
    </row>
    <row r="6149" customFormat="false" ht="15" hidden="false" customHeight="false" outlineLevel="0" collapsed="false">
      <c r="A6149" s="0" t="n">
        <v>6148</v>
      </c>
      <c r="B6149" s="18" t="n">
        <v>1871155.61191603</v>
      </c>
      <c r="C6149" s="18" t="n">
        <v>0</v>
      </c>
      <c r="D6149" s="0" t="n">
        <v>0</v>
      </c>
      <c r="E6149" s="19" t="n">
        <v>40.8333333333333</v>
      </c>
    </row>
    <row r="6150" customFormat="false" ht="15" hidden="false" customHeight="false" outlineLevel="0" collapsed="false">
      <c r="A6150" s="0" t="n">
        <v>6149</v>
      </c>
      <c r="B6150" s="18" t="n">
        <v>745935.45224497</v>
      </c>
      <c r="C6150" s="18" t="n">
        <v>0</v>
      </c>
      <c r="D6150" s="0" t="n">
        <v>0</v>
      </c>
      <c r="E6150" s="19" t="n">
        <v>38.75</v>
      </c>
    </row>
    <row r="6151" customFormat="false" ht="15" hidden="false" customHeight="false" outlineLevel="0" collapsed="false">
      <c r="A6151" s="0" t="n">
        <v>6150</v>
      </c>
      <c r="B6151" s="18" t="n">
        <v>1045073.62993213</v>
      </c>
      <c r="C6151" s="18" t="n">
        <v>422709.805561431</v>
      </c>
      <c r="D6151" s="0" t="n">
        <v>1</v>
      </c>
    </row>
    <row r="6152" customFormat="false" ht="15" hidden="false" customHeight="false" outlineLevel="0" collapsed="false">
      <c r="A6152" s="0" t="n">
        <v>6151</v>
      </c>
      <c r="B6152" s="18" t="n">
        <v>874547.239568969</v>
      </c>
      <c r="C6152" s="18" t="n">
        <v>0</v>
      </c>
      <c r="D6152" s="0" t="n">
        <v>0</v>
      </c>
      <c r="E6152" s="19" t="n">
        <v>45.4166666666667</v>
      </c>
    </row>
    <row r="6153" customFormat="false" ht="15" hidden="false" customHeight="false" outlineLevel="0" collapsed="false">
      <c r="A6153" s="0" t="n">
        <v>6152</v>
      </c>
      <c r="B6153" s="18" t="n">
        <v>904791.371016053</v>
      </c>
      <c r="C6153" s="18" t="n">
        <v>4169914.34671687</v>
      </c>
      <c r="D6153" s="0" t="n">
        <v>1</v>
      </c>
    </row>
    <row r="6154" customFormat="false" ht="15" hidden="false" customHeight="false" outlineLevel="0" collapsed="false">
      <c r="A6154" s="0" t="n">
        <v>6153</v>
      </c>
      <c r="B6154" s="18" t="n">
        <v>1038712.67940129</v>
      </c>
      <c r="C6154" s="18" t="n">
        <v>0</v>
      </c>
      <c r="D6154" s="0" t="n">
        <v>0</v>
      </c>
      <c r="E6154" s="19" t="n">
        <v>44.6666666666667</v>
      </c>
    </row>
    <row r="6155" customFormat="false" ht="15" hidden="false" customHeight="false" outlineLevel="0" collapsed="false">
      <c r="A6155" s="0" t="n">
        <v>6154</v>
      </c>
      <c r="B6155" s="18" t="n">
        <v>1417614.67285051</v>
      </c>
      <c r="C6155" s="18" t="n">
        <v>808852.462654304</v>
      </c>
      <c r="D6155" s="0" t="n">
        <v>1</v>
      </c>
    </row>
    <row r="6156" customFormat="false" ht="15" hidden="false" customHeight="false" outlineLevel="0" collapsed="false">
      <c r="A6156" s="0" t="n">
        <v>6155</v>
      </c>
      <c r="B6156" s="18" t="n">
        <v>396917.996448926</v>
      </c>
      <c r="C6156" s="18" t="n">
        <v>0</v>
      </c>
      <c r="D6156" s="0" t="n">
        <v>0</v>
      </c>
      <c r="E6156" s="19" t="n">
        <v>32</v>
      </c>
    </row>
    <row r="6157" customFormat="false" ht="15" hidden="false" customHeight="false" outlineLevel="0" collapsed="false">
      <c r="A6157" s="0" t="n">
        <v>6156</v>
      </c>
      <c r="B6157" s="18" t="n">
        <v>616067.97185317</v>
      </c>
      <c r="C6157" s="18" t="n">
        <v>0</v>
      </c>
      <c r="D6157" s="0" t="n">
        <v>0</v>
      </c>
      <c r="E6157" s="19" t="n">
        <v>34.5</v>
      </c>
    </row>
    <row r="6158" customFormat="false" ht="15" hidden="false" customHeight="false" outlineLevel="0" collapsed="false">
      <c r="A6158" s="0" t="n">
        <v>6157</v>
      </c>
      <c r="B6158" s="18" t="n">
        <v>340742.175695471</v>
      </c>
      <c r="C6158" s="18" t="n">
        <v>0</v>
      </c>
      <c r="D6158" s="0" t="n">
        <v>0</v>
      </c>
      <c r="E6158" s="19" t="n">
        <v>32.8333333333333</v>
      </c>
    </row>
    <row r="6159" customFormat="false" ht="15" hidden="false" customHeight="false" outlineLevel="0" collapsed="false">
      <c r="A6159" s="0" t="n">
        <v>6158</v>
      </c>
      <c r="B6159" s="18" t="n">
        <v>2156182.56024861</v>
      </c>
      <c r="C6159" s="18" t="n">
        <v>3901931.14711607</v>
      </c>
      <c r="D6159" s="0" t="n">
        <v>1</v>
      </c>
    </row>
    <row r="6160" customFormat="false" ht="15" hidden="false" customHeight="false" outlineLevel="0" collapsed="false">
      <c r="A6160" s="0" t="n">
        <v>6159</v>
      </c>
      <c r="B6160" s="18" t="n">
        <v>1816638.94888853</v>
      </c>
      <c r="C6160" s="18" t="n">
        <v>0</v>
      </c>
      <c r="D6160" s="0" t="n">
        <v>0</v>
      </c>
      <c r="E6160" s="19" t="n">
        <v>46.5833333333333</v>
      </c>
    </row>
    <row r="6161" customFormat="false" ht="15" hidden="false" customHeight="false" outlineLevel="0" collapsed="false">
      <c r="A6161" s="0" t="n">
        <v>6160</v>
      </c>
      <c r="B6161" s="18" t="n">
        <v>1313421.48777789</v>
      </c>
      <c r="C6161" s="18" t="n">
        <v>1624603.30719102</v>
      </c>
      <c r="D6161" s="0" t="n">
        <v>1</v>
      </c>
    </row>
    <row r="6162" customFormat="false" ht="15" hidden="false" customHeight="false" outlineLevel="0" collapsed="false">
      <c r="A6162" s="0" t="n">
        <v>6161</v>
      </c>
      <c r="B6162" s="18" t="n">
        <v>1444970.30294611</v>
      </c>
      <c r="C6162" s="18" t="n">
        <v>3543887.63721406</v>
      </c>
      <c r="D6162" s="0" t="n">
        <v>1</v>
      </c>
    </row>
    <row r="6163" customFormat="false" ht="15" hidden="false" customHeight="false" outlineLevel="0" collapsed="false">
      <c r="A6163" s="0" t="n">
        <v>6162</v>
      </c>
      <c r="B6163" s="18" t="n">
        <v>655782.205471477</v>
      </c>
      <c r="C6163" s="18" t="n">
        <v>0</v>
      </c>
      <c r="D6163" s="0" t="n">
        <v>0</v>
      </c>
      <c r="E6163" s="19" t="n">
        <v>42.1666666666667</v>
      </c>
    </row>
    <row r="6164" customFormat="false" ht="15" hidden="false" customHeight="false" outlineLevel="0" collapsed="false">
      <c r="A6164" s="0" t="n">
        <v>6163</v>
      </c>
      <c r="B6164" s="18" t="n">
        <v>776109.660297336</v>
      </c>
      <c r="C6164" s="18" t="n">
        <v>0</v>
      </c>
      <c r="D6164" s="0" t="n">
        <v>0</v>
      </c>
      <c r="E6164" s="19" t="n">
        <v>43.5833333333333</v>
      </c>
    </row>
    <row r="6165" customFormat="false" ht="15" hidden="false" customHeight="false" outlineLevel="0" collapsed="false">
      <c r="A6165" s="0" t="n">
        <v>6164</v>
      </c>
      <c r="B6165" s="18" t="n">
        <v>1274417.64197656</v>
      </c>
      <c r="C6165" s="18" t="n">
        <v>1782563.57856244</v>
      </c>
      <c r="D6165" s="0" t="n">
        <v>1</v>
      </c>
    </row>
    <row r="6166" customFormat="false" ht="15" hidden="false" customHeight="false" outlineLevel="0" collapsed="false">
      <c r="A6166" s="0" t="n">
        <v>6165</v>
      </c>
      <c r="B6166" s="18" t="n">
        <v>789803.949188411</v>
      </c>
      <c r="C6166" s="18" t="n">
        <v>0</v>
      </c>
      <c r="D6166" s="0" t="n">
        <v>0</v>
      </c>
      <c r="E6166" s="19" t="n">
        <v>44.6666666666667</v>
      </c>
    </row>
    <row r="6167" customFormat="false" ht="15" hidden="false" customHeight="false" outlineLevel="0" collapsed="false">
      <c r="A6167" s="0" t="n">
        <v>6166</v>
      </c>
      <c r="B6167" s="18" t="n">
        <v>812642.209062927</v>
      </c>
      <c r="C6167" s="18" t="n">
        <v>0</v>
      </c>
      <c r="D6167" s="0" t="n">
        <v>0</v>
      </c>
      <c r="E6167" s="19" t="n">
        <v>44.6666666666667</v>
      </c>
    </row>
    <row r="6168" customFormat="false" ht="15" hidden="false" customHeight="false" outlineLevel="0" collapsed="false">
      <c r="A6168" s="0" t="n">
        <v>6167</v>
      </c>
      <c r="B6168" s="18" t="n">
        <v>1930800.73893667</v>
      </c>
      <c r="C6168" s="18" t="n">
        <v>4763502.99219958</v>
      </c>
      <c r="D6168" s="0" t="n">
        <v>1</v>
      </c>
    </row>
    <row r="6169" customFormat="false" ht="15" hidden="false" customHeight="false" outlineLevel="0" collapsed="false">
      <c r="A6169" s="0" t="n">
        <v>6168</v>
      </c>
      <c r="B6169" s="18" t="n">
        <v>749035.745325838</v>
      </c>
      <c r="C6169" s="18" t="n">
        <v>0</v>
      </c>
      <c r="D6169" s="0" t="n">
        <v>0</v>
      </c>
      <c r="E6169" s="19" t="n">
        <v>47.9166666666667</v>
      </c>
    </row>
    <row r="6170" customFormat="false" ht="15" hidden="false" customHeight="false" outlineLevel="0" collapsed="false">
      <c r="A6170" s="0" t="n">
        <v>6169</v>
      </c>
      <c r="B6170" s="18" t="n">
        <v>2396390.9268509</v>
      </c>
      <c r="C6170" s="18" t="n">
        <v>9284518.99576824</v>
      </c>
      <c r="D6170" s="0" t="n">
        <v>1</v>
      </c>
    </row>
    <row r="6171" customFormat="false" ht="15" hidden="false" customHeight="false" outlineLevel="0" collapsed="false">
      <c r="A6171" s="0" t="n">
        <v>6170</v>
      </c>
      <c r="B6171" s="18" t="n">
        <v>1042116.09874741</v>
      </c>
      <c r="C6171" s="18" t="n">
        <v>0</v>
      </c>
      <c r="D6171" s="0" t="n">
        <v>0</v>
      </c>
      <c r="E6171" s="19" t="n">
        <v>46.9166666666667</v>
      </c>
    </row>
    <row r="6172" customFormat="false" ht="15" hidden="false" customHeight="false" outlineLevel="0" collapsed="false">
      <c r="A6172" s="0" t="n">
        <v>6171</v>
      </c>
      <c r="B6172" s="18" t="n">
        <v>379117.383421388</v>
      </c>
      <c r="C6172" s="18" t="n">
        <v>0</v>
      </c>
      <c r="D6172" s="0" t="n">
        <v>0</v>
      </c>
      <c r="E6172" s="19" t="n">
        <v>31.9166666666667</v>
      </c>
    </row>
    <row r="6173" customFormat="false" ht="15" hidden="false" customHeight="false" outlineLevel="0" collapsed="false">
      <c r="A6173" s="0" t="n">
        <v>6172</v>
      </c>
      <c r="B6173" s="18" t="n">
        <v>533585.288251801</v>
      </c>
      <c r="C6173" s="18" t="n">
        <v>0</v>
      </c>
      <c r="D6173" s="0" t="n">
        <v>0</v>
      </c>
      <c r="E6173" s="19" t="n">
        <v>36.6666666666667</v>
      </c>
    </row>
    <row r="6174" customFormat="false" ht="15" hidden="false" customHeight="false" outlineLevel="0" collapsed="false">
      <c r="A6174" s="0" t="n">
        <v>6173</v>
      </c>
      <c r="B6174" s="18" t="n">
        <v>1345139.30999651</v>
      </c>
      <c r="C6174" s="18" t="n">
        <v>5826989.56553743</v>
      </c>
      <c r="D6174" s="0" t="n">
        <v>1</v>
      </c>
    </row>
    <row r="6175" customFormat="false" ht="15" hidden="false" customHeight="false" outlineLevel="0" collapsed="false">
      <c r="A6175" s="0" t="n">
        <v>6174</v>
      </c>
      <c r="B6175" s="18" t="n">
        <v>925847.021013009</v>
      </c>
      <c r="C6175" s="18" t="n">
        <v>0</v>
      </c>
      <c r="D6175" s="0" t="n">
        <v>0</v>
      </c>
      <c r="E6175" s="19" t="n">
        <v>47.0833333333333</v>
      </c>
    </row>
    <row r="6176" customFormat="false" ht="15" hidden="false" customHeight="false" outlineLevel="0" collapsed="false">
      <c r="A6176" s="0" t="n">
        <v>6175</v>
      </c>
      <c r="B6176" s="18" t="n">
        <v>1460166.47482762</v>
      </c>
      <c r="C6176" s="18" t="n">
        <v>0</v>
      </c>
      <c r="D6176" s="0" t="n">
        <v>0</v>
      </c>
      <c r="E6176" s="19" t="n">
        <v>46.6666666666667</v>
      </c>
    </row>
    <row r="6177" customFormat="false" ht="15" hidden="false" customHeight="false" outlineLevel="0" collapsed="false">
      <c r="A6177" s="0" t="n">
        <v>6176</v>
      </c>
      <c r="B6177" s="18" t="n">
        <v>689164.9771557</v>
      </c>
      <c r="C6177" s="18" t="n">
        <v>2962294.19737779</v>
      </c>
      <c r="D6177" s="0" t="n">
        <v>1</v>
      </c>
    </row>
    <row r="6178" customFormat="false" ht="15" hidden="false" customHeight="false" outlineLevel="0" collapsed="false">
      <c r="A6178" s="0" t="n">
        <v>6177</v>
      </c>
      <c r="B6178" s="18" t="n">
        <v>1421640.59951121</v>
      </c>
      <c r="C6178" s="18" t="n">
        <v>0</v>
      </c>
      <c r="D6178" s="0" t="n">
        <v>0</v>
      </c>
      <c r="E6178" s="19" t="n">
        <v>37.1666666666667</v>
      </c>
    </row>
    <row r="6179" customFormat="false" ht="15" hidden="false" customHeight="false" outlineLevel="0" collapsed="false">
      <c r="A6179" s="0" t="n">
        <v>6178</v>
      </c>
      <c r="B6179" s="18" t="n">
        <v>674981.09083509</v>
      </c>
      <c r="C6179" s="18" t="n">
        <v>0</v>
      </c>
      <c r="D6179" s="0" t="n">
        <v>0</v>
      </c>
      <c r="E6179" s="19" t="n">
        <v>39.3333333333333</v>
      </c>
    </row>
    <row r="6180" customFormat="false" ht="15" hidden="false" customHeight="false" outlineLevel="0" collapsed="false">
      <c r="A6180" s="0" t="n">
        <v>6179</v>
      </c>
      <c r="B6180" s="18" t="n">
        <v>520528.610031318</v>
      </c>
      <c r="C6180" s="18" t="n">
        <v>0</v>
      </c>
      <c r="D6180" s="0" t="n">
        <v>0</v>
      </c>
      <c r="E6180" s="19" t="n">
        <v>33.8333333333333</v>
      </c>
    </row>
    <row r="6181" customFormat="false" ht="15" hidden="false" customHeight="false" outlineLevel="0" collapsed="false">
      <c r="A6181" s="0" t="n">
        <v>6180</v>
      </c>
      <c r="B6181" s="18" t="n">
        <v>315570.114267835</v>
      </c>
      <c r="C6181" s="18" t="n">
        <v>0</v>
      </c>
      <c r="D6181" s="0" t="n">
        <v>0</v>
      </c>
      <c r="E6181" s="19" t="n">
        <v>30.75</v>
      </c>
    </row>
    <row r="6182" customFormat="false" ht="15" hidden="false" customHeight="false" outlineLevel="0" collapsed="false">
      <c r="A6182" s="0" t="n">
        <v>6181</v>
      </c>
      <c r="B6182" s="18" t="n">
        <v>1382572.43874657</v>
      </c>
      <c r="C6182" s="18" t="n">
        <v>0</v>
      </c>
      <c r="D6182" s="0" t="n">
        <v>0</v>
      </c>
      <c r="E6182" s="19" t="n">
        <v>36.5</v>
      </c>
    </row>
    <row r="6183" customFormat="false" ht="15" hidden="false" customHeight="false" outlineLevel="0" collapsed="false">
      <c r="A6183" s="0" t="n">
        <v>6182</v>
      </c>
      <c r="B6183" s="18" t="n">
        <v>668822.376841835</v>
      </c>
      <c r="C6183" s="18" t="n">
        <v>0</v>
      </c>
      <c r="D6183" s="0" t="n">
        <v>0</v>
      </c>
      <c r="E6183" s="19" t="n">
        <v>31.25</v>
      </c>
    </row>
    <row r="6184" customFormat="false" ht="15" hidden="false" customHeight="false" outlineLevel="0" collapsed="false">
      <c r="A6184" s="0" t="n">
        <v>6183</v>
      </c>
      <c r="B6184" s="18" t="n">
        <v>312818.010823547</v>
      </c>
      <c r="C6184" s="18" t="n">
        <v>0</v>
      </c>
      <c r="D6184" s="0" t="n">
        <v>0</v>
      </c>
      <c r="E6184" s="19" t="n">
        <v>29.8333333333333</v>
      </c>
    </row>
    <row r="6185" customFormat="false" ht="15" hidden="false" customHeight="false" outlineLevel="0" collapsed="false">
      <c r="A6185" s="0" t="n">
        <v>6184</v>
      </c>
      <c r="B6185" s="18" t="n">
        <v>5790440.00599107</v>
      </c>
      <c r="C6185" s="18" t="n">
        <v>52977397.6857331</v>
      </c>
      <c r="D6185" s="0" t="n">
        <v>1</v>
      </c>
    </row>
    <row r="6186" customFormat="false" ht="15" hidden="false" customHeight="false" outlineLevel="0" collapsed="false">
      <c r="A6186" s="0" t="n">
        <v>6185</v>
      </c>
      <c r="B6186" s="18" t="n">
        <v>329744.69270179</v>
      </c>
      <c r="C6186" s="18" t="n">
        <v>0</v>
      </c>
      <c r="D6186" s="0" t="n">
        <v>0</v>
      </c>
      <c r="E6186" s="19" t="n">
        <v>30.6666666666667</v>
      </c>
    </row>
    <row r="6187" customFormat="false" ht="15" hidden="false" customHeight="false" outlineLevel="0" collapsed="false">
      <c r="A6187" s="0" t="n">
        <v>6186</v>
      </c>
      <c r="B6187" s="18" t="n">
        <v>655871.108146503</v>
      </c>
      <c r="C6187" s="18" t="n">
        <v>1725959.21949398</v>
      </c>
      <c r="D6187" s="0" t="n">
        <v>1</v>
      </c>
    </row>
    <row r="6188" customFormat="false" ht="15" hidden="false" customHeight="false" outlineLevel="0" collapsed="false">
      <c r="A6188" s="0" t="n">
        <v>6187</v>
      </c>
      <c r="B6188" s="18" t="n">
        <v>1031356.26572484</v>
      </c>
      <c r="C6188" s="18" t="n">
        <v>0</v>
      </c>
      <c r="D6188" s="0" t="n">
        <v>0</v>
      </c>
      <c r="E6188" s="19" t="n">
        <v>35.0833333333333</v>
      </c>
    </row>
    <row r="6189" customFormat="false" ht="15" hidden="false" customHeight="false" outlineLevel="0" collapsed="false">
      <c r="A6189" s="0" t="n">
        <v>6188</v>
      </c>
      <c r="B6189" s="18" t="n">
        <v>1473507.63250952</v>
      </c>
      <c r="C6189" s="18" t="n">
        <v>3521222.44507966</v>
      </c>
      <c r="D6189" s="0" t="n">
        <v>1</v>
      </c>
    </row>
    <row r="6190" customFormat="false" ht="15" hidden="false" customHeight="false" outlineLevel="0" collapsed="false">
      <c r="A6190" s="0" t="n">
        <v>6189</v>
      </c>
      <c r="B6190" s="18" t="n">
        <v>2154143.58989872</v>
      </c>
      <c r="C6190" s="18" t="n">
        <v>16134287.7258358</v>
      </c>
      <c r="D6190" s="0" t="n">
        <v>1</v>
      </c>
    </row>
    <row r="6191" customFormat="false" ht="15" hidden="false" customHeight="false" outlineLevel="0" collapsed="false">
      <c r="A6191" s="0" t="n">
        <v>6190</v>
      </c>
      <c r="B6191" s="18" t="n">
        <v>1040727.61018104</v>
      </c>
      <c r="C6191" s="18" t="n">
        <v>1105580.28239617</v>
      </c>
      <c r="D6191" s="0" t="n">
        <v>1</v>
      </c>
    </row>
    <row r="6192" customFormat="false" ht="15" hidden="false" customHeight="false" outlineLevel="0" collapsed="false">
      <c r="A6192" s="0" t="n">
        <v>6191</v>
      </c>
      <c r="B6192" s="18" t="n">
        <v>1053622.66702885</v>
      </c>
      <c r="C6192" s="18" t="n">
        <v>163335.911196861</v>
      </c>
      <c r="D6192" s="0" t="n">
        <v>1</v>
      </c>
    </row>
    <row r="6193" customFormat="false" ht="15" hidden="false" customHeight="false" outlineLevel="0" collapsed="false">
      <c r="A6193" s="0" t="n">
        <v>6192</v>
      </c>
      <c r="B6193" s="18" t="n">
        <v>386864.050954519</v>
      </c>
      <c r="C6193" s="18" t="n">
        <v>0</v>
      </c>
      <c r="D6193" s="0" t="n">
        <v>0</v>
      </c>
      <c r="E6193" s="19" t="n">
        <v>31.0833333333333</v>
      </c>
    </row>
    <row r="6194" customFormat="false" ht="15" hidden="false" customHeight="false" outlineLevel="0" collapsed="false">
      <c r="A6194" s="0" t="n">
        <v>6193</v>
      </c>
      <c r="B6194" s="18" t="n">
        <v>687416.486925557</v>
      </c>
      <c r="C6194" s="18" t="n">
        <v>0</v>
      </c>
      <c r="D6194" s="0" t="n">
        <v>0</v>
      </c>
      <c r="E6194" s="19" t="n">
        <v>54.5</v>
      </c>
    </row>
    <row r="6195" customFormat="false" ht="15" hidden="false" customHeight="false" outlineLevel="0" collapsed="false">
      <c r="A6195" s="0" t="n">
        <v>6194</v>
      </c>
      <c r="B6195" s="18" t="n">
        <v>1933399.20131357</v>
      </c>
      <c r="C6195" s="18" t="n">
        <v>20655058.6957067</v>
      </c>
      <c r="D6195" s="0" t="n">
        <v>1</v>
      </c>
    </row>
    <row r="6196" customFormat="false" ht="15" hidden="false" customHeight="false" outlineLevel="0" collapsed="false">
      <c r="A6196" s="0" t="n">
        <v>6195</v>
      </c>
      <c r="B6196" s="18" t="n">
        <v>1681222.86784025</v>
      </c>
      <c r="C6196" s="18" t="n">
        <v>9759435.69128981</v>
      </c>
      <c r="D6196" s="0" t="n">
        <v>1</v>
      </c>
    </row>
    <row r="6197" customFormat="false" ht="15" hidden="false" customHeight="false" outlineLevel="0" collapsed="false">
      <c r="A6197" s="0" t="n">
        <v>6196</v>
      </c>
      <c r="B6197" s="18" t="n">
        <v>596014.283331472</v>
      </c>
      <c r="C6197" s="18" t="n">
        <v>0</v>
      </c>
      <c r="D6197" s="0" t="n">
        <v>0</v>
      </c>
      <c r="E6197" s="19" t="n">
        <v>35.75</v>
      </c>
    </row>
    <row r="6198" customFormat="false" ht="15" hidden="false" customHeight="false" outlineLevel="0" collapsed="false">
      <c r="A6198" s="0" t="n">
        <v>6197</v>
      </c>
      <c r="B6198" s="18" t="n">
        <v>778275.84917078</v>
      </c>
      <c r="C6198" s="18" t="n">
        <v>0</v>
      </c>
      <c r="D6198" s="0" t="n">
        <v>0</v>
      </c>
      <c r="E6198" s="19" t="n">
        <v>33.6666666666667</v>
      </c>
    </row>
    <row r="6199" customFormat="false" ht="15" hidden="false" customHeight="false" outlineLevel="0" collapsed="false">
      <c r="A6199" s="0" t="n">
        <v>6198</v>
      </c>
      <c r="B6199" s="18" t="n">
        <v>854272.853656261</v>
      </c>
      <c r="C6199" s="18" t="n">
        <v>0</v>
      </c>
      <c r="D6199" s="0" t="n">
        <v>0</v>
      </c>
      <c r="E6199" s="19" t="n">
        <v>43.9166666666667</v>
      </c>
    </row>
    <row r="6200" customFormat="false" ht="15" hidden="false" customHeight="false" outlineLevel="0" collapsed="false">
      <c r="A6200" s="0" t="n">
        <v>6199</v>
      </c>
      <c r="B6200" s="18" t="n">
        <v>900362.81528221</v>
      </c>
      <c r="C6200" s="18" t="n">
        <v>1189845.1963523</v>
      </c>
      <c r="D6200" s="0" t="n">
        <v>1</v>
      </c>
    </row>
    <row r="6201" customFormat="false" ht="15" hidden="false" customHeight="false" outlineLevel="0" collapsed="false">
      <c r="A6201" s="0" t="n">
        <v>6200</v>
      </c>
      <c r="B6201" s="18" t="n">
        <v>2272279.73849308</v>
      </c>
      <c r="C6201" s="18" t="n">
        <v>10677816.5306977</v>
      </c>
      <c r="D6201" s="0" t="n">
        <v>1</v>
      </c>
    </row>
    <row r="6202" customFormat="false" ht="15" hidden="false" customHeight="false" outlineLevel="0" collapsed="false">
      <c r="A6202" s="0" t="n">
        <v>6201</v>
      </c>
      <c r="B6202" s="18" t="n">
        <v>704478.433574102</v>
      </c>
      <c r="C6202" s="18" t="n">
        <v>0</v>
      </c>
      <c r="D6202" s="0" t="n">
        <v>0</v>
      </c>
      <c r="E6202" s="19" t="n">
        <v>38.6666666666667</v>
      </c>
    </row>
    <row r="6203" customFormat="false" ht="15" hidden="false" customHeight="false" outlineLevel="0" collapsed="false">
      <c r="A6203" s="0" t="n">
        <v>6202</v>
      </c>
      <c r="B6203" s="18" t="n">
        <v>569653.872697815</v>
      </c>
      <c r="C6203" s="18" t="n">
        <v>0</v>
      </c>
      <c r="D6203" s="0" t="n">
        <v>0</v>
      </c>
      <c r="E6203" s="19" t="n">
        <v>33.5833333333333</v>
      </c>
    </row>
    <row r="6204" customFormat="false" ht="15" hidden="false" customHeight="false" outlineLevel="0" collapsed="false">
      <c r="A6204" s="0" t="n">
        <v>6203</v>
      </c>
      <c r="B6204" s="18" t="n">
        <v>443051.39960231</v>
      </c>
      <c r="C6204" s="18" t="n">
        <v>0</v>
      </c>
      <c r="D6204" s="0" t="n">
        <v>0</v>
      </c>
      <c r="E6204" s="19" t="n">
        <v>32.5</v>
      </c>
    </row>
    <row r="6205" customFormat="false" ht="15" hidden="false" customHeight="false" outlineLevel="0" collapsed="false">
      <c r="A6205" s="0" t="n">
        <v>6204</v>
      </c>
      <c r="B6205" s="18" t="n">
        <v>1317700.17389066</v>
      </c>
      <c r="C6205" s="18" t="n">
        <v>3692041.26482926</v>
      </c>
      <c r="D6205" s="0" t="n">
        <v>1</v>
      </c>
    </row>
    <row r="6206" customFormat="false" ht="15" hidden="false" customHeight="false" outlineLevel="0" collapsed="false">
      <c r="A6206" s="0" t="n">
        <v>6205</v>
      </c>
      <c r="B6206" s="18" t="n">
        <v>1500672.88934041</v>
      </c>
      <c r="C6206" s="18" t="n">
        <v>449393.029645093</v>
      </c>
      <c r="D6206" s="0" t="n">
        <v>1</v>
      </c>
    </row>
    <row r="6207" customFormat="false" ht="15" hidden="false" customHeight="false" outlineLevel="0" collapsed="false">
      <c r="A6207" s="0" t="n">
        <v>6206</v>
      </c>
      <c r="B6207" s="18" t="n">
        <v>615187.783255018</v>
      </c>
      <c r="C6207" s="18" t="n">
        <v>0</v>
      </c>
      <c r="D6207" s="0" t="n">
        <v>0</v>
      </c>
      <c r="E6207" s="19" t="n">
        <v>36</v>
      </c>
    </row>
    <row r="6208" customFormat="false" ht="15" hidden="false" customHeight="false" outlineLevel="0" collapsed="false">
      <c r="A6208" s="0" t="n">
        <v>6207</v>
      </c>
      <c r="B6208" s="18" t="n">
        <v>1101885.968092</v>
      </c>
      <c r="C6208" s="18" t="n">
        <v>0</v>
      </c>
      <c r="D6208" s="0" t="n">
        <v>0</v>
      </c>
      <c r="E6208" s="19" t="n">
        <v>37.25</v>
      </c>
    </row>
    <row r="6209" customFormat="false" ht="15" hidden="false" customHeight="false" outlineLevel="0" collapsed="false">
      <c r="A6209" s="0" t="n">
        <v>6208</v>
      </c>
      <c r="B6209" s="18" t="n">
        <v>1119875.90797057</v>
      </c>
      <c r="C6209" s="18" t="n">
        <v>0</v>
      </c>
      <c r="D6209" s="0" t="n">
        <v>0</v>
      </c>
      <c r="E6209" s="19" t="n">
        <v>40.1666666666667</v>
      </c>
    </row>
    <row r="6210" customFormat="false" ht="15" hidden="false" customHeight="false" outlineLevel="0" collapsed="false">
      <c r="A6210" s="0" t="n">
        <v>6209</v>
      </c>
      <c r="B6210" s="18" t="n">
        <v>549587.136389381</v>
      </c>
      <c r="C6210" s="18" t="n">
        <v>0</v>
      </c>
      <c r="D6210" s="0" t="n">
        <v>0</v>
      </c>
      <c r="E6210" s="19" t="n">
        <v>38.25</v>
      </c>
    </row>
    <row r="6211" customFormat="false" ht="15" hidden="false" customHeight="false" outlineLevel="0" collapsed="false">
      <c r="A6211" s="0" t="n">
        <v>6210</v>
      </c>
      <c r="B6211" s="18" t="n">
        <v>1360322.20296663</v>
      </c>
      <c r="C6211" s="18" t="n">
        <v>4895686.6803291</v>
      </c>
      <c r="D6211" s="0" t="n">
        <v>1</v>
      </c>
    </row>
    <row r="6212" customFormat="false" ht="15" hidden="false" customHeight="false" outlineLevel="0" collapsed="false">
      <c r="A6212" s="0" t="n">
        <v>6211</v>
      </c>
      <c r="B6212" s="18" t="n">
        <v>866504.70888018</v>
      </c>
      <c r="C6212" s="18" t="n">
        <v>86799.554456945</v>
      </c>
      <c r="D6212" s="0" t="n">
        <v>1</v>
      </c>
    </row>
    <row r="6213" customFormat="false" ht="15" hidden="false" customHeight="false" outlineLevel="0" collapsed="false">
      <c r="A6213" s="0" t="n">
        <v>6212</v>
      </c>
      <c r="B6213" s="18" t="n">
        <v>813046.175283301</v>
      </c>
      <c r="C6213" s="18" t="n">
        <v>0</v>
      </c>
      <c r="D6213" s="0" t="n">
        <v>0</v>
      </c>
      <c r="E6213" s="19" t="n">
        <v>41.75</v>
      </c>
    </row>
    <row r="6214" customFormat="false" ht="15" hidden="false" customHeight="false" outlineLevel="0" collapsed="false">
      <c r="A6214" s="0" t="n">
        <v>6213</v>
      </c>
      <c r="B6214" s="18" t="n">
        <v>945117.275498673</v>
      </c>
      <c r="C6214" s="18" t="n">
        <v>0</v>
      </c>
      <c r="D6214" s="0" t="n">
        <v>0</v>
      </c>
      <c r="E6214" s="19" t="n">
        <v>39.3333333333333</v>
      </c>
    </row>
    <row r="6215" customFormat="false" ht="15" hidden="false" customHeight="false" outlineLevel="0" collapsed="false">
      <c r="A6215" s="0" t="n">
        <v>6214</v>
      </c>
      <c r="B6215" s="18" t="n">
        <v>607937.404672316</v>
      </c>
      <c r="C6215" s="18" t="n">
        <v>0</v>
      </c>
      <c r="D6215" s="0" t="n">
        <v>0</v>
      </c>
      <c r="E6215" s="19" t="n">
        <v>33.6666666666667</v>
      </c>
    </row>
    <row r="6216" customFormat="false" ht="15" hidden="false" customHeight="false" outlineLevel="0" collapsed="false">
      <c r="A6216" s="0" t="n">
        <v>6215</v>
      </c>
      <c r="B6216" s="18" t="n">
        <v>1215867.90020442</v>
      </c>
      <c r="C6216" s="18" t="n">
        <v>4774707.10181175</v>
      </c>
      <c r="D6216" s="0" t="n">
        <v>1</v>
      </c>
    </row>
    <row r="6217" customFormat="false" ht="15" hidden="false" customHeight="false" outlineLevel="0" collapsed="false">
      <c r="A6217" s="0" t="n">
        <v>6216</v>
      </c>
      <c r="B6217" s="18" t="n">
        <v>2674521.19470701</v>
      </c>
      <c r="C6217" s="18" t="n">
        <v>1961031.48974615</v>
      </c>
      <c r="D6217" s="0" t="n">
        <v>1</v>
      </c>
    </row>
    <row r="6218" customFormat="false" ht="15" hidden="false" customHeight="false" outlineLevel="0" collapsed="false">
      <c r="A6218" s="0" t="n">
        <v>6217</v>
      </c>
      <c r="B6218" s="18" t="n">
        <v>654099.139158891</v>
      </c>
      <c r="C6218" s="18" t="n">
        <v>0</v>
      </c>
      <c r="D6218" s="0" t="n">
        <v>0</v>
      </c>
      <c r="E6218" s="19" t="n">
        <v>35.4166666666667</v>
      </c>
    </row>
    <row r="6219" customFormat="false" ht="15" hidden="false" customHeight="false" outlineLevel="0" collapsed="false">
      <c r="A6219" s="0" t="n">
        <v>6218</v>
      </c>
      <c r="B6219" s="18" t="n">
        <v>680586.706313917</v>
      </c>
      <c r="C6219" s="18" t="n">
        <v>0</v>
      </c>
      <c r="D6219" s="0" t="n">
        <v>0</v>
      </c>
      <c r="E6219" s="19" t="n">
        <v>39.0833333333333</v>
      </c>
    </row>
    <row r="6220" customFormat="false" ht="15" hidden="false" customHeight="false" outlineLevel="0" collapsed="false">
      <c r="A6220" s="0" t="n">
        <v>6219</v>
      </c>
      <c r="B6220" s="18" t="n">
        <v>1081871.76137749</v>
      </c>
      <c r="C6220" s="18" t="n">
        <v>2080646.52264254</v>
      </c>
      <c r="D6220" s="0" t="n">
        <v>1</v>
      </c>
    </row>
    <row r="6221" customFormat="false" ht="15" hidden="false" customHeight="false" outlineLevel="0" collapsed="false">
      <c r="A6221" s="0" t="n">
        <v>6220</v>
      </c>
      <c r="B6221" s="18" t="n">
        <v>296036.397726146</v>
      </c>
      <c r="C6221" s="18" t="n">
        <v>0</v>
      </c>
      <c r="D6221" s="0" t="n">
        <v>0</v>
      </c>
      <c r="E6221" s="19" t="n">
        <v>30.3333333333333</v>
      </c>
    </row>
    <row r="6222" customFormat="false" ht="15" hidden="false" customHeight="false" outlineLevel="0" collapsed="false">
      <c r="A6222" s="0" t="n">
        <v>6221</v>
      </c>
      <c r="B6222" s="18" t="n">
        <v>440340.373625735</v>
      </c>
      <c r="C6222" s="18" t="n">
        <v>0</v>
      </c>
      <c r="D6222" s="0" t="n">
        <v>0</v>
      </c>
      <c r="E6222" s="19" t="n">
        <v>33</v>
      </c>
    </row>
    <row r="6223" customFormat="false" ht="15" hidden="false" customHeight="false" outlineLevel="0" collapsed="false">
      <c r="A6223" s="0" t="n">
        <v>6222</v>
      </c>
      <c r="B6223" s="18" t="n">
        <v>985504.62174028</v>
      </c>
      <c r="C6223" s="18" t="n">
        <v>0</v>
      </c>
      <c r="D6223" s="0" t="n">
        <v>0</v>
      </c>
      <c r="E6223" s="19" t="n">
        <v>37.5</v>
      </c>
    </row>
    <row r="6224" customFormat="false" ht="15" hidden="false" customHeight="false" outlineLevel="0" collapsed="false">
      <c r="A6224" s="0" t="n">
        <v>6223</v>
      </c>
      <c r="B6224" s="18" t="n">
        <v>2663198.53028976</v>
      </c>
      <c r="C6224" s="18" t="n">
        <v>9926165.48238984</v>
      </c>
      <c r="D6224" s="0" t="n">
        <v>1</v>
      </c>
    </row>
    <row r="6225" customFormat="false" ht="15" hidden="false" customHeight="false" outlineLevel="0" collapsed="false">
      <c r="A6225" s="0" t="n">
        <v>6224</v>
      </c>
      <c r="B6225" s="18" t="n">
        <v>1279941.64341167</v>
      </c>
      <c r="C6225" s="18" t="n">
        <v>0</v>
      </c>
      <c r="D6225" s="0" t="n">
        <v>0</v>
      </c>
      <c r="E6225" s="19" t="n">
        <v>41.3333333333333</v>
      </c>
    </row>
    <row r="6226" customFormat="false" ht="15" hidden="false" customHeight="false" outlineLevel="0" collapsed="false">
      <c r="A6226" s="0" t="n">
        <v>6225</v>
      </c>
      <c r="B6226" s="18" t="n">
        <v>878237.516003587</v>
      </c>
      <c r="C6226" s="18" t="n">
        <v>2359250.22670997</v>
      </c>
      <c r="D6226" s="0" t="n">
        <v>1</v>
      </c>
    </row>
    <row r="6227" customFormat="false" ht="15" hidden="false" customHeight="false" outlineLevel="0" collapsed="false">
      <c r="A6227" s="0" t="n">
        <v>6226</v>
      </c>
      <c r="B6227" s="18" t="n">
        <v>990669.352007401</v>
      </c>
      <c r="C6227" s="18" t="n">
        <v>0</v>
      </c>
      <c r="D6227" s="0" t="n">
        <v>0</v>
      </c>
      <c r="E6227" s="19" t="n">
        <v>45.75</v>
      </c>
    </row>
    <row r="6228" customFormat="false" ht="15" hidden="false" customHeight="false" outlineLevel="0" collapsed="false">
      <c r="A6228" s="0" t="n">
        <v>6227</v>
      </c>
      <c r="B6228" s="18" t="n">
        <v>1255685.1370982</v>
      </c>
      <c r="C6228" s="18" t="n">
        <v>11020380.9713164</v>
      </c>
      <c r="D6228" s="0" t="n">
        <v>1</v>
      </c>
    </row>
    <row r="6229" customFormat="false" ht="15" hidden="false" customHeight="false" outlineLevel="0" collapsed="false">
      <c r="A6229" s="0" t="n">
        <v>6228</v>
      </c>
      <c r="B6229" s="18" t="n">
        <v>2020133.71841797</v>
      </c>
      <c r="C6229" s="18" t="n">
        <v>1213741.43919258</v>
      </c>
      <c r="D6229" s="0" t="n">
        <v>1</v>
      </c>
    </row>
    <row r="6230" customFormat="false" ht="15" hidden="false" customHeight="false" outlineLevel="0" collapsed="false">
      <c r="A6230" s="0" t="n">
        <v>6229</v>
      </c>
      <c r="B6230" s="18" t="n">
        <v>562165.450456339</v>
      </c>
      <c r="C6230" s="18" t="n">
        <v>0</v>
      </c>
      <c r="D6230" s="0" t="n">
        <v>0</v>
      </c>
      <c r="E6230" s="19" t="n">
        <v>43.75</v>
      </c>
    </row>
    <row r="6231" customFormat="false" ht="15" hidden="false" customHeight="false" outlineLevel="0" collapsed="false">
      <c r="A6231" s="0" t="n">
        <v>6230</v>
      </c>
      <c r="B6231" s="18" t="n">
        <v>1216162.01560141</v>
      </c>
      <c r="C6231" s="18" t="n">
        <v>0</v>
      </c>
      <c r="D6231" s="0" t="n">
        <v>0</v>
      </c>
      <c r="E6231" s="19" t="n">
        <v>35.8333333333333</v>
      </c>
    </row>
    <row r="6232" customFormat="false" ht="15" hidden="false" customHeight="false" outlineLevel="0" collapsed="false">
      <c r="A6232" s="0" t="n">
        <v>6231</v>
      </c>
      <c r="B6232" s="18" t="n">
        <v>762861.831866638</v>
      </c>
      <c r="C6232" s="18" t="n">
        <v>627921.516530018</v>
      </c>
      <c r="D6232" s="0" t="n">
        <v>1</v>
      </c>
    </row>
    <row r="6233" customFormat="false" ht="15" hidden="false" customHeight="false" outlineLevel="0" collapsed="false">
      <c r="A6233" s="0" t="n">
        <v>6232</v>
      </c>
      <c r="B6233" s="18" t="n">
        <v>398049.234276886</v>
      </c>
      <c r="C6233" s="18" t="n">
        <v>0</v>
      </c>
      <c r="D6233" s="0" t="n">
        <v>0</v>
      </c>
      <c r="E6233" s="19" t="n">
        <v>31.6666666666667</v>
      </c>
    </row>
    <row r="6234" customFormat="false" ht="15" hidden="false" customHeight="false" outlineLevel="0" collapsed="false">
      <c r="A6234" s="0" t="n">
        <v>6233</v>
      </c>
      <c r="B6234" s="18" t="n">
        <v>1363755.76105025</v>
      </c>
      <c r="C6234" s="18" t="n">
        <v>0</v>
      </c>
      <c r="D6234" s="0" t="n">
        <v>0</v>
      </c>
      <c r="E6234" s="19" t="n">
        <v>37.1666666666667</v>
      </c>
    </row>
    <row r="6235" customFormat="false" ht="15" hidden="false" customHeight="false" outlineLevel="0" collapsed="false">
      <c r="A6235" s="0" t="n">
        <v>6234</v>
      </c>
      <c r="B6235" s="18" t="n">
        <v>616899.079684871</v>
      </c>
      <c r="C6235" s="18" t="n">
        <v>0</v>
      </c>
      <c r="D6235" s="0" t="n">
        <v>0</v>
      </c>
      <c r="E6235" s="19" t="n">
        <v>36.3333333333333</v>
      </c>
    </row>
    <row r="6236" customFormat="false" ht="15" hidden="false" customHeight="false" outlineLevel="0" collapsed="false">
      <c r="A6236" s="0" t="n">
        <v>6235</v>
      </c>
      <c r="B6236" s="18" t="n">
        <v>760130.372514</v>
      </c>
      <c r="C6236" s="18" t="n">
        <v>662066.459949466</v>
      </c>
      <c r="D6236" s="0" t="n">
        <v>1</v>
      </c>
    </row>
    <row r="6237" customFormat="false" ht="15" hidden="false" customHeight="false" outlineLevel="0" collapsed="false">
      <c r="A6237" s="0" t="n">
        <v>6236</v>
      </c>
      <c r="B6237" s="18" t="n">
        <v>2131306.88264356</v>
      </c>
      <c r="C6237" s="18" t="n">
        <v>11439200.1482232</v>
      </c>
      <c r="D6237" s="0" t="n">
        <v>1</v>
      </c>
    </row>
    <row r="6238" customFormat="false" ht="15" hidden="false" customHeight="false" outlineLevel="0" collapsed="false">
      <c r="A6238" s="0" t="n">
        <v>6237</v>
      </c>
      <c r="B6238" s="18" t="n">
        <v>665145.250765154</v>
      </c>
      <c r="C6238" s="18" t="n">
        <v>0</v>
      </c>
      <c r="D6238" s="0" t="n">
        <v>0</v>
      </c>
      <c r="E6238" s="19" t="n">
        <v>36.25</v>
      </c>
    </row>
    <row r="6239" customFormat="false" ht="15" hidden="false" customHeight="false" outlineLevel="0" collapsed="false">
      <c r="A6239" s="0" t="n">
        <v>6238</v>
      </c>
      <c r="B6239" s="18" t="n">
        <v>1239143.81247673</v>
      </c>
      <c r="C6239" s="18" t="n">
        <v>0</v>
      </c>
      <c r="D6239" s="0" t="n">
        <v>0</v>
      </c>
      <c r="E6239" s="19" t="n">
        <v>45.9166666666667</v>
      </c>
    </row>
    <row r="6240" customFormat="false" ht="15" hidden="false" customHeight="false" outlineLevel="0" collapsed="false">
      <c r="A6240" s="0" t="n">
        <v>6239</v>
      </c>
      <c r="B6240" s="18" t="n">
        <v>719906.703660828</v>
      </c>
      <c r="C6240" s="18" t="n">
        <v>273624.438285474</v>
      </c>
      <c r="D6240" s="0" t="n">
        <v>1</v>
      </c>
    </row>
    <row r="6241" customFormat="false" ht="15" hidden="false" customHeight="false" outlineLevel="0" collapsed="false">
      <c r="A6241" s="0" t="n">
        <v>6240</v>
      </c>
      <c r="B6241" s="18" t="n">
        <v>370049.020156697</v>
      </c>
      <c r="C6241" s="18" t="n">
        <v>0</v>
      </c>
      <c r="D6241" s="0" t="n">
        <v>0</v>
      </c>
      <c r="E6241" s="19" t="n">
        <v>30.4166666666667</v>
      </c>
    </row>
    <row r="6242" customFormat="false" ht="15" hidden="false" customHeight="false" outlineLevel="0" collapsed="false">
      <c r="A6242" s="0" t="n">
        <v>6241</v>
      </c>
      <c r="B6242" s="18" t="n">
        <v>1619456.63271086</v>
      </c>
      <c r="C6242" s="18" t="n">
        <v>14817853.5906379</v>
      </c>
      <c r="D6242" s="0" t="n">
        <v>1</v>
      </c>
    </row>
    <row r="6243" customFormat="false" ht="15" hidden="false" customHeight="false" outlineLevel="0" collapsed="false">
      <c r="A6243" s="0" t="n">
        <v>6242</v>
      </c>
      <c r="B6243" s="18" t="n">
        <v>609635.763751254</v>
      </c>
      <c r="C6243" s="18" t="n">
        <v>0</v>
      </c>
      <c r="D6243" s="0" t="n">
        <v>0</v>
      </c>
      <c r="E6243" s="19" t="n">
        <v>35.25</v>
      </c>
    </row>
    <row r="6244" customFormat="false" ht="15" hidden="false" customHeight="false" outlineLevel="0" collapsed="false">
      <c r="A6244" s="0" t="n">
        <v>6243</v>
      </c>
      <c r="B6244" s="18" t="n">
        <v>1464165.59024012</v>
      </c>
      <c r="C6244" s="18" t="n">
        <v>1744387.91303953</v>
      </c>
      <c r="D6244" s="0" t="n">
        <v>1</v>
      </c>
    </row>
    <row r="6245" customFormat="false" ht="15" hidden="false" customHeight="false" outlineLevel="0" collapsed="false">
      <c r="A6245" s="0" t="n">
        <v>6244</v>
      </c>
      <c r="B6245" s="18" t="n">
        <v>407959.084369435</v>
      </c>
      <c r="C6245" s="18" t="n">
        <v>0</v>
      </c>
      <c r="D6245" s="0" t="n">
        <v>0</v>
      </c>
      <c r="E6245" s="19" t="n">
        <v>36.1666666666667</v>
      </c>
    </row>
    <row r="6246" customFormat="false" ht="15" hidden="false" customHeight="false" outlineLevel="0" collapsed="false">
      <c r="A6246" s="0" t="n">
        <v>6245</v>
      </c>
      <c r="B6246" s="18" t="n">
        <v>593709.543569688</v>
      </c>
      <c r="C6246" s="18" t="n">
        <v>0</v>
      </c>
      <c r="D6246" s="0" t="n">
        <v>0</v>
      </c>
      <c r="E6246" s="19" t="n">
        <v>37.5833333333333</v>
      </c>
    </row>
    <row r="6247" customFormat="false" ht="15" hidden="false" customHeight="false" outlineLevel="0" collapsed="false">
      <c r="A6247" s="0" t="n">
        <v>6246</v>
      </c>
      <c r="B6247" s="18" t="n">
        <v>1525131.03428343</v>
      </c>
      <c r="C6247" s="18" t="n">
        <v>0</v>
      </c>
      <c r="D6247" s="0" t="n">
        <v>0</v>
      </c>
      <c r="E6247" s="19" t="n">
        <v>48.1666666666667</v>
      </c>
    </row>
    <row r="6248" customFormat="false" ht="15" hidden="false" customHeight="false" outlineLevel="0" collapsed="false">
      <c r="A6248" s="0" t="n">
        <v>6247</v>
      </c>
      <c r="B6248" s="18" t="n">
        <v>1506370.00864499</v>
      </c>
      <c r="C6248" s="18" t="n">
        <v>2737906.62056909</v>
      </c>
      <c r="D6248" s="0" t="n">
        <v>1</v>
      </c>
    </row>
    <row r="6249" customFormat="false" ht="15" hidden="false" customHeight="false" outlineLevel="0" collapsed="false">
      <c r="A6249" s="0" t="n">
        <v>6248</v>
      </c>
      <c r="B6249" s="18" t="n">
        <v>816613.436453596</v>
      </c>
      <c r="C6249" s="18" t="n">
        <v>0</v>
      </c>
      <c r="D6249" s="0" t="n">
        <v>0</v>
      </c>
      <c r="E6249" s="19" t="n">
        <v>42.1666666666667</v>
      </c>
    </row>
    <row r="6250" customFormat="false" ht="15" hidden="false" customHeight="false" outlineLevel="0" collapsed="false">
      <c r="A6250" s="0" t="n">
        <v>6249</v>
      </c>
      <c r="B6250" s="18" t="n">
        <v>1877635.73100208</v>
      </c>
      <c r="C6250" s="18" t="n">
        <v>0</v>
      </c>
      <c r="D6250" s="0" t="n">
        <v>0</v>
      </c>
      <c r="E6250" s="19" t="n">
        <v>52.75</v>
      </c>
    </row>
    <row r="6251" customFormat="false" ht="15" hidden="false" customHeight="false" outlineLevel="0" collapsed="false">
      <c r="A6251" s="0" t="n">
        <v>6250</v>
      </c>
      <c r="B6251" s="18" t="n">
        <v>2349538.13329371</v>
      </c>
      <c r="C6251" s="18" t="n">
        <v>5304916.25643998</v>
      </c>
      <c r="D6251" s="0" t="n">
        <v>1</v>
      </c>
    </row>
    <row r="6252" customFormat="false" ht="15" hidden="false" customHeight="false" outlineLevel="0" collapsed="false">
      <c r="A6252" s="0" t="n">
        <v>6251</v>
      </c>
      <c r="B6252" s="18" t="n">
        <v>335407.876611012</v>
      </c>
      <c r="C6252" s="18" t="n">
        <v>0</v>
      </c>
      <c r="D6252" s="0" t="n">
        <v>0</v>
      </c>
      <c r="E6252" s="19" t="n">
        <v>30.3333333333333</v>
      </c>
    </row>
    <row r="6253" customFormat="false" ht="15" hidden="false" customHeight="false" outlineLevel="0" collapsed="false">
      <c r="A6253" s="0" t="n">
        <v>6252</v>
      </c>
      <c r="B6253" s="18" t="n">
        <v>1035798.79859476</v>
      </c>
      <c r="C6253" s="18" t="n">
        <v>0</v>
      </c>
      <c r="D6253" s="0" t="n">
        <v>0</v>
      </c>
      <c r="E6253" s="19" t="n">
        <v>43.3333333333333</v>
      </c>
    </row>
    <row r="6254" customFormat="false" ht="15" hidden="false" customHeight="false" outlineLevel="0" collapsed="false">
      <c r="A6254" s="0" t="n">
        <v>6253</v>
      </c>
      <c r="B6254" s="18" t="n">
        <v>1066042.07603523</v>
      </c>
      <c r="C6254" s="18" t="n">
        <v>2668636.92840617</v>
      </c>
      <c r="D6254" s="0" t="n">
        <v>1</v>
      </c>
    </row>
    <row r="6255" customFormat="false" ht="15" hidden="false" customHeight="false" outlineLevel="0" collapsed="false">
      <c r="A6255" s="0" t="n">
        <v>6254</v>
      </c>
      <c r="B6255" s="18" t="n">
        <v>794169.882105899</v>
      </c>
      <c r="C6255" s="18" t="n">
        <v>0</v>
      </c>
      <c r="D6255" s="0" t="n">
        <v>0</v>
      </c>
      <c r="E6255" s="19" t="n">
        <v>35.9166666666667</v>
      </c>
    </row>
    <row r="6256" customFormat="false" ht="15" hidden="false" customHeight="false" outlineLevel="0" collapsed="false">
      <c r="A6256" s="0" t="n">
        <v>6255</v>
      </c>
      <c r="B6256" s="18" t="n">
        <v>1444406.16382349</v>
      </c>
      <c r="C6256" s="18" t="n">
        <v>0</v>
      </c>
      <c r="D6256" s="0" t="n">
        <v>0</v>
      </c>
      <c r="E6256" s="19" t="n">
        <v>49.25</v>
      </c>
    </row>
    <row r="6257" customFormat="false" ht="15" hidden="false" customHeight="false" outlineLevel="0" collapsed="false">
      <c r="A6257" s="0" t="n">
        <v>6256</v>
      </c>
      <c r="B6257" s="18" t="n">
        <v>739202.117233326</v>
      </c>
      <c r="C6257" s="18" t="n">
        <v>0</v>
      </c>
      <c r="D6257" s="0" t="n">
        <v>0</v>
      </c>
      <c r="E6257" s="19" t="n">
        <v>40.5833333333333</v>
      </c>
    </row>
    <row r="6258" customFormat="false" ht="15" hidden="false" customHeight="false" outlineLevel="0" collapsed="false">
      <c r="A6258" s="0" t="n">
        <v>6257</v>
      </c>
      <c r="B6258" s="18" t="n">
        <v>2655382.83198512</v>
      </c>
      <c r="C6258" s="18" t="n">
        <v>50197514.1707523</v>
      </c>
      <c r="D6258" s="0" t="n">
        <v>1</v>
      </c>
    </row>
    <row r="6259" customFormat="false" ht="15" hidden="false" customHeight="false" outlineLevel="0" collapsed="false">
      <c r="A6259" s="0" t="n">
        <v>6258</v>
      </c>
      <c r="B6259" s="18" t="n">
        <v>866497.23965646</v>
      </c>
      <c r="C6259" s="18" t="n">
        <v>0</v>
      </c>
      <c r="D6259" s="0" t="n">
        <v>0</v>
      </c>
      <c r="E6259" s="19" t="n">
        <v>48.5</v>
      </c>
    </row>
    <row r="6260" customFormat="false" ht="15" hidden="false" customHeight="false" outlineLevel="0" collapsed="false">
      <c r="A6260" s="0" t="n">
        <v>6259</v>
      </c>
      <c r="B6260" s="18" t="n">
        <v>393509.924928878</v>
      </c>
      <c r="C6260" s="18" t="n">
        <v>0</v>
      </c>
      <c r="D6260" s="0" t="n">
        <v>0</v>
      </c>
      <c r="E6260" s="19" t="n">
        <v>32.8333333333333</v>
      </c>
    </row>
    <row r="6261" customFormat="false" ht="15" hidden="false" customHeight="false" outlineLevel="0" collapsed="false">
      <c r="A6261" s="0" t="n">
        <v>6260</v>
      </c>
      <c r="B6261" s="18" t="n">
        <v>752971.05493012</v>
      </c>
      <c r="C6261" s="18" t="n">
        <v>0</v>
      </c>
      <c r="D6261" s="0" t="n">
        <v>0</v>
      </c>
      <c r="E6261" s="19" t="n">
        <v>40</v>
      </c>
    </row>
    <row r="6262" customFormat="false" ht="15" hidden="false" customHeight="false" outlineLevel="0" collapsed="false">
      <c r="A6262" s="0" t="n">
        <v>6261</v>
      </c>
      <c r="B6262" s="18" t="n">
        <v>2620459.03076611</v>
      </c>
      <c r="C6262" s="18" t="n">
        <v>13392161.4418064</v>
      </c>
      <c r="D6262" s="0" t="n">
        <v>1</v>
      </c>
    </row>
    <row r="6263" customFormat="false" ht="15" hidden="false" customHeight="false" outlineLevel="0" collapsed="false">
      <c r="A6263" s="0" t="n">
        <v>6262</v>
      </c>
      <c r="B6263" s="18" t="n">
        <v>804700.114483021</v>
      </c>
      <c r="C6263" s="18" t="n">
        <v>0</v>
      </c>
      <c r="D6263" s="0" t="n">
        <v>0</v>
      </c>
      <c r="E6263" s="19" t="n">
        <v>54.3333333333333</v>
      </c>
    </row>
    <row r="6264" customFormat="false" ht="15" hidden="false" customHeight="false" outlineLevel="0" collapsed="false">
      <c r="A6264" s="0" t="n">
        <v>6263</v>
      </c>
      <c r="B6264" s="18" t="n">
        <v>1223483.85930741</v>
      </c>
      <c r="C6264" s="18" t="n">
        <v>0</v>
      </c>
      <c r="D6264" s="0" t="n">
        <v>0</v>
      </c>
      <c r="E6264" s="19" t="n">
        <v>46.25</v>
      </c>
    </row>
    <row r="6265" customFormat="false" ht="15" hidden="false" customHeight="false" outlineLevel="0" collapsed="false">
      <c r="A6265" s="0" t="n">
        <v>6264</v>
      </c>
      <c r="B6265" s="18" t="n">
        <v>1626783.79478704</v>
      </c>
      <c r="C6265" s="18" t="n">
        <v>0</v>
      </c>
      <c r="D6265" s="0" t="n">
        <v>0</v>
      </c>
      <c r="E6265" s="19" t="n">
        <v>44.25</v>
      </c>
    </row>
    <row r="6266" customFormat="false" ht="15" hidden="false" customHeight="false" outlineLevel="0" collapsed="false">
      <c r="A6266" s="0" t="n">
        <v>6265</v>
      </c>
      <c r="B6266" s="18" t="n">
        <v>1047107.20085283</v>
      </c>
      <c r="C6266" s="18" t="n">
        <v>0</v>
      </c>
      <c r="D6266" s="0" t="n">
        <v>0</v>
      </c>
      <c r="E6266" s="19" t="n">
        <v>44</v>
      </c>
    </row>
    <row r="6267" customFormat="false" ht="15" hidden="false" customHeight="false" outlineLevel="0" collapsed="false">
      <c r="A6267" s="0" t="n">
        <v>6266</v>
      </c>
      <c r="B6267" s="18" t="n">
        <v>2175307.12998056</v>
      </c>
      <c r="C6267" s="18" t="n">
        <v>3126765.57753273</v>
      </c>
      <c r="D6267" s="0" t="n">
        <v>1</v>
      </c>
    </row>
    <row r="6268" customFormat="false" ht="15" hidden="false" customHeight="false" outlineLevel="0" collapsed="false">
      <c r="A6268" s="0" t="n">
        <v>6267</v>
      </c>
      <c r="B6268" s="18" t="n">
        <v>560280.974192148</v>
      </c>
      <c r="C6268" s="18" t="n">
        <v>0</v>
      </c>
      <c r="D6268" s="0" t="n">
        <v>0</v>
      </c>
      <c r="E6268" s="19" t="n">
        <v>33.25</v>
      </c>
    </row>
    <row r="6269" customFormat="false" ht="15" hidden="false" customHeight="false" outlineLevel="0" collapsed="false">
      <c r="A6269" s="0" t="n">
        <v>6268</v>
      </c>
      <c r="B6269" s="18" t="n">
        <v>1206588.25456244</v>
      </c>
      <c r="C6269" s="18" t="n">
        <v>0</v>
      </c>
      <c r="D6269" s="0" t="n">
        <v>0</v>
      </c>
      <c r="E6269" s="19" t="n">
        <v>46.6666666666667</v>
      </c>
    </row>
    <row r="6270" customFormat="false" ht="15" hidden="false" customHeight="false" outlineLevel="0" collapsed="false">
      <c r="A6270" s="0" t="n">
        <v>6269</v>
      </c>
      <c r="B6270" s="18" t="n">
        <v>617192.19916676</v>
      </c>
      <c r="C6270" s="18" t="n">
        <v>0</v>
      </c>
      <c r="D6270" s="0" t="n">
        <v>0</v>
      </c>
      <c r="E6270" s="19" t="n">
        <v>33.6666666666667</v>
      </c>
    </row>
    <row r="6271" customFormat="false" ht="15" hidden="false" customHeight="false" outlineLevel="0" collapsed="false">
      <c r="A6271" s="0" t="n">
        <v>6270</v>
      </c>
      <c r="B6271" s="18" t="n">
        <v>1556287.59878702</v>
      </c>
      <c r="C6271" s="18" t="n">
        <v>3173035.67083419</v>
      </c>
      <c r="D6271" s="0" t="n">
        <v>1</v>
      </c>
    </row>
    <row r="6272" customFormat="false" ht="15" hidden="false" customHeight="false" outlineLevel="0" collapsed="false">
      <c r="A6272" s="0" t="n">
        <v>6271</v>
      </c>
      <c r="B6272" s="18" t="n">
        <v>2128586.52413135</v>
      </c>
      <c r="C6272" s="18" t="n">
        <v>1563241.12169872</v>
      </c>
      <c r="D6272" s="0" t="n">
        <v>1</v>
      </c>
    </row>
    <row r="6273" customFormat="false" ht="15" hidden="false" customHeight="false" outlineLevel="0" collapsed="false">
      <c r="A6273" s="0" t="n">
        <v>6272</v>
      </c>
      <c r="B6273" s="18" t="n">
        <v>721122.783163272</v>
      </c>
      <c r="C6273" s="18" t="n">
        <v>0</v>
      </c>
      <c r="D6273" s="0" t="n">
        <v>0</v>
      </c>
      <c r="E6273" s="19" t="n">
        <v>47.6666666666667</v>
      </c>
    </row>
    <row r="6274" customFormat="false" ht="15" hidden="false" customHeight="false" outlineLevel="0" collapsed="false">
      <c r="A6274" s="0" t="n">
        <v>6273</v>
      </c>
      <c r="B6274" s="18" t="n">
        <v>1069359.94160171</v>
      </c>
      <c r="C6274" s="18" t="n">
        <v>1346821.28452045</v>
      </c>
      <c r="D6274" s="0" t="n">
        <v>1</v>
      </c>
    </row>
    <row r="6275" customFormat="false" ht="15" hidden="false" customHeight="false" outlineLevel="0" collapsed="false">
      <c r="A6275" s="0" t="n">
        <v>6274</v>
      </c>
      <c r="B6275" s="18" t="n">
        <v>1849122.58410936</v>
      </c>
      <c r="C6275" s="18" t="n">
        <v>5216695.2126913</v>
      </c>
      <c r="D6275" s="0" t="n">
        <v>1</v>
      </c>
    </row>
    <row r="6276" customFormat="false" ht="15" hidden="false" customHeight="false" outlineLevel="0" collapsed="false">
      <c r="A6276" s="0" t="n">
        <v>6275</v>
      </c>
      <c r="B6276" s="18" t="n">
        <v>626406.600733409</v>
      </c>
      <c r="C6276" s="18" t="n">
        <v>0</v>
      </c>
      <c r="D6276" s="0" t="n">
        <v>0</v>
      </c>
      <c r="E6276" s="19" t="n">
        <v>38.5</v>
      </c>
    </row>
    <row r="6277" customFormat="false" ht="15" hidden="false" customHeight="false" outlineLevel="0" collapsed="false">
      <c r="A6277" s="0" t="n">
        <v>6276</v>
      </c>
      <c r="B6277" s="18" t="n">
        <v>842535.469453237</v>
      </c>
      <c r="C6277" s="18" t="n">
        <v>0</v>
      </c>
      <c r="D6277" s="0" t="n">
        <v>0</v>
      </c>
      <c r="E6277" s="19" t="n">
        <v>38.75</v>
      </c>
    </row>
    <row r="6278" customFormat="false" ht="15" hidden="false" customHeight="false" outlineLevel="0" collapsed="false">
      <c r="A6278" s="0" t="n">
        <v>6277</v>
      </c>
      <c r="B6278" s="18" t="n">
        <v>1613832.05276105</v>
      </c>
      <c r="C6278" s="18" t="n">
        <v>11961142.5207341</v>
      </c>
      <c r="D6278" s="0" t="n">
        <v>1</v>
      </c>
    </row>
    <row r="6279" customFormat="false" ht="15" hidden="false" customHeight="false" outlineLevel="0" collapsed="false">
      <c r="A6279" s="0" t="n">
        <v>6278</v>
      </c>
      <c r="B6279" s="18" t="n">
        <v>1440495.5019316</v>
      </c>
      <c r="C6279" s="18" t="n">
        <v>9598015.11788252</v>
      </c>
      <c r="D6279" s="0" t="n">
        <v>1</v>
      </c>
    </row>
    <row r="6280" customFormat="false" ht="15" hidden="false" customHeight="false" outlineLevel="0" collapsed="false">
      <c r="A6280" s="0" t="n">
        <v>6279</v>
      </c>
      <c r="B6280" s="18" t="n">
        <v>669202.161123652</v>
      </c>
      <c r="C6280" s="18" t="n">
        <v>0</v>
      </c>
      <c r="D6280" s="0" t="n">
        <v>0</v>
      </c>
      <c r="E6280" s="19" t="n">
        <v>36.5</v>
      </c>
    </row>
    <row r="6281" customFormat="false" ht="15" hidden="false" customHeight="false" outlineLevel="0" collapsed="false">
      <c r="A6281" s="0" t="n">
        <v>6280</v>
      </c>
      <c r="B6281" s="18" t="n">
        <v>868954.504074308</v>
      </c>
      <c r="C6281" s="18" t="n">
        <v>0</v>
      </c>
      <c r="D6281" s="0" t="n">
        <v>0</v>
      </c>
      <c r="E6281" s="19" t="n">
        <v>45.4166666666667</v>
      </c>
    </row>
    <row r="6282" customFormat="false" ht="15" hidden="false" customHeight="false" outlineLevel="0" collapsed="false">
      <c r="A6282" s="0" t="n">
        <v>6281</v>
      </c>
      <c r="B6282" s="18" t="n">
        <v>827577.032700075</v>
      </c>
      <c r="C6282" s="18" t="n">
        <v>0</v>
      </c>
      <c r="D6282" s="0" t="n">
        <v>0</v>
      </c>
      <c r="E6282" s="19" t="n">
        <v>38.1666666666667</v>
      </c>
    </row>
    <row r="6283" customFormat="false" ht="15" hidden="false" customHeight="false" outlineLevel="0" collapsed="false">
      <c r="A6283" s="0" t="n">
        <v>6282</v>
      </c>
      <c r="B6283" s="18" t="n">
        <v>889794.574276475</v>
      </c>
      <c r="C6283" s="18" t="n">
        <v>0</v>
      </c>
      <c r="D6283" s="0" t="n">
        <v>0</v>
      </c>
      <c r="E6283" s="19" t="n">
        <v>36.5833333333333</v>
      </c>
    </row>
    <row r="6284" customFormat="false" ht="15" hidden="false" customHeight="false" outlineLevel="0" collapsed="false">
      <c r="A6284" s="0" t="n">
        <v>6283</v>
      </c>
      <c r="B6284" s="18" t="n">
        <v>807247.479524573</v>
      </c>
      <c r="C6284" s="18" t="n">
        <v>0</v>
      </c>
      <c r="D6284" s="0" t="n">
        <v>0</v>
      </c>
      <c r="E6284" s="19" t="n">
        <v>45.9166666666667</v>
      </c>
    </row>
    <row r="6285" customFormat="false" ht="15" hidden="false" customHeight="false" outlineLevel="0" collapsed="false">
      <c r="A6285" s="0" t="n">
        <v>6284</v>
      </c>
      <c r="B6285" s="18" t="n">
        <v>564445.972511132</v>
      </c>
      <c r="C6285" s="18" t="n">
        <v>0</v>
      </c>
      <c r="D6285" s="0" t="n">
        <v>0</v>
      </c>
      <c r="E6285" s="19" t="n">
        <v>38.75</v>
      </c>
    </row>
    <row r="6286" customFormat="false" ht="15" hidden="false" customHeight="false" outlineLevel="0" collapsed="false">
      <c r="A6286" s="0" t="n">
        <v>6285</v>
      </c>
      <c r="B6286" s="18" t="n">
        <v>935516.536761267</v>
      </c>
      <c r="C6286" s="18" t="n">
        <v>1450756.7555647</v>
      </c>
      <c r="D6286" s="0" t="n">
        <v>1</v>
      </c>
    </row>
    <row r="6287" customFormat="false" ht="15" hidden="false" customHeight="false" outlineLevel="0" collapsed="false">
      <c r="A6287" s="0" t="n">
        <v>6286</v>
      </c>
      <c r="B6287" s="18" t="n">
        <v>1140967.236693</v>
      </c>
      <c r="C6287" s="18" t="n">
        <v>3956196.1268433</v>
      </c>
      <c r="D6287" s="0" t="n">
        <v>1</v>
      </c>
    </row>
    <row r="6288" customFormat="false" ht="15" hidden="false" customHeight="false" outlineLevel="0" collapsed="false">
      <c r="A6288" s="0" t="n">
        <v>6287</v>
      </c>
      <c r="B6288" s="18" t="n">
        <v>941533.242281517</v>
      </c>
      <c r="C6288" s="18" t="n">
        <v>3898977.69454659</v>
      </c>
      <c r="D6288" s="0" t="n">
        <v>1</v>
      </c>
    </row>
    <row r="6289" customFormat="false" ht="15" hidden="false" customHeight="false" outlineLevel="0" collapsed="false">
      <c r="A6289" s="0" t="n">
        <v>6288</v>
      </c>
      <c r="B6289" s="18" t="n">
        <v>2236340.91623419</v>
      </c>
      <c r="C6289" s="18" t="n">
        <v>0</v>
      </c>
      <c r="D6289" s="0" t="n">
        <v>0</v>
      </c>
      <c r="E6289" s="19" t="n">
        <v>47.25</v>
      </c>
    </row>
    <row r="6290" customFormat="false" ht="15" hidden="false" customHeight="false" outlineLevel="0" collapsed="false">
      <c r="A6290" s="0" t="n">
        <v>6289</v>
      </c>
      <c r="B6290" s="18" t="n">
        <v>834054.183886083</v>
      </c>
      <c r="C6290" s="18" t="n">
        <v>0</v>
      </c>
      <c r="D6290" s="0" t="n">
        <v>0</v>
      </c>
      <c r="E6290" s="19" t="n">
        <v>44.4166666666667</v>
      </c>
    </row>
    <row r="6291" customFormat="false" ht="15" hidden="false" customHeight="false" outlineLevel="0" collapsed="false">
      <c r="A6291" s="0" t="n">
        <v>6290</v>
      </c>
      <c r="B6291" s="18" t="n">
        <v>435362.483420607</v>
      </c>
      <c r="C6291" s="18" t="n">
        <v>0</v>
      </c>
      <c r="D6291" s="0" t="n">
        <v>0</v>
      </c>
      <c r="E6291" s="19" t="n">
        <v>35.6666666666667</v>
      </c>
    </row>
    <row r="6292" customFormat="false" ht="15" hidden="false" customHeight="false" outlineLevel="0" collapsed="false">
      <c r="A6292" s="0" t="n">
        <v>6291</v>
      </c>
      <c r="B6292" s="18" t="n">
        <v>962227.26584359</v>
      </c>
      <c r="C6292" s="18" t="n">
        <v>0</v>
      </c>
      <c r="D6292" s="0" t="n">
        <v>0</v>
      </c>
      <c r="E6292" s="19" t="n">
        <v>52.8333333333333</v>
      </c>
    </row>
    <row r="6293" customFormat="false" ht="15" hidden="false" customHeight="false" outlineLevel="0" collapsed="false">
      <c r="A6293" s="0" t="n">
        <v>6292</v>
      </c>
      <c r="B6293" s="18" t="n">
        <v>1056148.93126808</v>
      </c>
      <c r="C6293" s="18" t="n">
        <v>0</v>
      </c>
      <c r="D6293" s="0" t="n">
        <v>0</v>
      </c>
      <c r="E6293" s="19" t="n">
        <v>46.9166666666667</v>
      </c>
    </row>
    <row r="6294" customFormat="false" ht="15" hidden="false" customHeight="false" outlineLevel="0" collapsed="false">
      <c r="A6294" s="0" t="n">
        <v>6293</v>
      </c>
      <c r="B6294" s="18" t="n">
        <v>445035.6166746</v>
      </c>
      <c r="C6294" s="18" t="n">
        <v>0</v>
      </c>
      <c r="D6294" s="0" t="n">
        <v>0</v>
      </c>
      <c r="E6294" s="19" t="n">
        <v>32.6666666666667</v>
      </c>
    </row>
    <row r="6295" customFormat="false" ht="15" hidden="false" customHeight="false" outlineLevel="0" collapsed="false">
      <c r="A6295" s="0" t="n">
        <v>6294</v>
      </c>
      <c r="B6295" s="18" t="n">
        <v>404965.166007618</v>
      </c>
      <c r="C6295" s="18" t="n">
        <v>0</v>
      </c>
      <c r="D6295" s="0" t="n">
        <v>0</v>
      </c>
      <c r="E6295" s="19" t="n">
        <v>31.5</v>
      </c>
    </row>
    <row r="6296" customFormat="false" ht="15" hidden="false" customHeight="false" outlineLevel="0" collapsed="false">
      <c r="A6296" s="0" t="n">
        <v>6295</v>
      </c>
      <c r="B6296" s="18" t="n">
        <v>718384.435313853</v>
      </c>
      <c r="C6296" s="18" t="n">
        <v>0</v>
      </c>
      <c r="D6296" s="0" t="n">
        <v>0</v>
      </c>
      <c r="E6296" s="19" t="n">
        <v>38.8333333333333</v>
      </c>
    </row>
    <row r="6297" customFormat="false" ht="15" hidden="false" customHeight="false" outlineLevel="0" collapsed="false">
      <c r="A6297" s="0" t="n">
        <v>6296</v>
      </c>
      <c r="B6297" s="18" t="n">
        <v>1618625.8818721</v>
      </c>
      <c r="C6297" s="18" t="n">
        <v>3241357.51076243</v>
      </c>
      <c r="D6297" s="0" t="n">
        <v>1</v>
      </c>
    </row>
    <row r="6298" customFormat="false" ht="15" hidden="false" customHeight="false" outlineLevel="0" collapsed="false">
      <c r="A6298" s="0" t="n">
        <v>6297</v>
      </c>
      <c r="B6298" s="18" t="n">
        <v>1204514.16699551</v>
      </c>
      <c r="C6298" s="18" t="n">
        <v>4880239.44201099</v>
      </c>
      <c r="D6298" s="0" t="n">
        <v>1</v>
      </c>
    </row>
    <row r="6299" customFormat="false" ht="15" hidden="false" customHeight="false" outlineLevel="0" collapsed="false">
      <c r="A6299" s="0" t="n">
        <v>6298</v>
      </c>
      <c r="B6299" s="18" t="n">
        <v>612324.516819435</v>
      </c>
      <c r="C6299" s="18" t="n">
        <v>0</v>
      </c>
      <c r="D6299" s="0" t="n">
        <v>0</v>
      </c>
      <c r="E6299" s="19" t="n">
        <v>41.0833333333333</v>
      </c>
    </row>
    <row r="6300" customFormat="false" ht="15" hidden="false" customHeight="false" outlineLevel="0" collapsed="false">
      <c r="A6300" s="0" t="n">
        <v>6299</v>
      </c>
      <c r="B6300" s="18" t="n">
        <v>875519.919736633</v>
      </c>
      <c r="C6300" s="18" t="n">
        <v>2133717.70782629</v>
      </c>
      <c r="D6300" s="0" t="n">
        <v>1</v>
      </c>
    </row>
    <row r="6301" customFormat="false" ht="15" hidden="false" customHeight="false" outlineLevel="0" collapsed="false">
      <c r="A6301" s="0" t="n">
        <v>6300</v>
      </c>
      <c r="B6301" s="18" t="n">
        <v>1308342.57760419</v>
      </c>
      <c r="C6301" s="18" t="n">
        <v>0</v>
      </c>
      <c r="D6301" s="0" t="n">
        <v>0</v>
      </c>
      <c r="E6301" s="19" t="n">
        <v>51.4166666666667</v>
      </c>
    </row>
    <row r="6302" customFormat="false" ht="15" hidden="false" customHeight="false" outlineLevel="0" collapsed="false">
      <c r="A6302" s="0" t="n">
        <v>6301</v>
      </c>
      <c r="B6302" s="18" t="n">
        <v>466036.568627602</v>
      </c>
      <c r="C6302" s="18" t="n">
        <v>0</v>
      </c>
      <c r="D6302" s="0" t="n">
        <v>0</v>
      </c>
      <c r="E6302" s="19" t="n">
        <v>39.9166666666667</v>
      </c>
    </row>
    <row r="6303" customFormat="false" ht="15" hidden="false" customHeight="false" outlineLevel="0" collapsed="false">
      <c r="A6303" s="0" t="n">
        <v>6302</v>
      </c>
      <c r="B6303" s="18" t="n">
        <v>1442978.69890785</v>
      </c>
      <c r="C6303" s="18" t="n">
        <v>1400849.23988468</v>
      </c>
      <c r="D6303" s="0" t="n">
        <v>1</v>
      </c>
    </row>
    <row r="6304" customFormat="false" ht="15" hidden="false" customHeight="false" outlineLevel="0" collapsed="false">
      <c r="A6304" s="0" t="n">
        <v>6303</v>
      </c>
      <c r="B6304" s="18" t="n">
        <v>512055.568338513</v>
      </c>
      <c r="C6304" s="18" t="n">
        <v>0</v>
      </c>
      <c r="D6304" s="0" t="n">
        <v>0</v>
      </c>
      <c r="E6304" s="19" t="n">
        <v>35.6666666666667</v>
      </c>
    </row>
    <row r="6305" customFormat="false" ht="15" hidden="false" customHeight="false" outlineLevel="0" collapsed="false">
      <c r="A6305" s="0" t="n">
        <v>6304</v>
      </c>
      <c r="B6305" s="18" t="n">
        <v>863193.158687427</v>
      </c>
      <c r="C6305" s="18" t="n">
        <v>0</v>
      </c>
      <c r="D6305" s="0" t="n">
        <v>0</v>
      </c>
      <c r="E6305" s="19" t="n">
        <v>40.8333333333333</v>
      </c>
    </row>
    <row r="6306" customFormat="false" ht="15" hidden="false" customHeight="false" outlineLevel="0" collapsed="false">
      <c r="A6306" s="0" t="n">
        <v>6305</v>
      </c>
      <c r="B6306" s="18" t="n">
        <v>432637.880529498</v>
      </c>
      <c r="C6306" s="18" t="n">
        <v>0</v>
      </c>
      <c r="D6306" s="0" t="n">
        <v>0</v>
      </c>
      <c r="E6306" s="19" t="n">
        <v>32.75</v>
      </c>
    </row>
    <row r="6307" customFormat="false" ht="15" hidden="false" customHeight="false" outlineLevel="0" collapsed="false">
      <c r="A6307" s="0" t="n">
        <v>6306</v>
      </c>
      <c r="B6307" s="18" t="n">
        <v>352470.391636718</v>
      </c>
      <c r="C6307" s="18" t="n">
        <v>0</v>
      </c>
      <c r="D6307" s="0" t="n">
        <v>0</v>
      </c>
      <c r="E6307" s="19" t="n">
        <v>32.1666666666667</v>
      </c>
    </row>
    <row r="6308" customFormat="false" ht="15" hidden="false" customHeight="false" outlineLevel="0" collapsed="false">
      <c r="A6308" s="0" t="n">
        <v>6307</v>
      </c>
      <c r="B6308" s="18" t="n">
        <v>2604298.53276234</v>
      </c>
      <c r="C6308" s="18" t="n">
        <v>53479378.5226527</v>
      </c>
      <c r="D6308" s="0" t="n">
        <v>1</v>
      </c>
    </row>
    <row r="6309" customFormat="false" ht="15" hidden="false" customHeight="false" outlineLevel="0" collapsed="false">
      <c r="A6309" s="0" t="n">
        <v>6308</v>
      </c>
      <c r="B6309" s="18" t="n">
        <v>788752.601400661</v>
      </c>
      <c r="C6309" s="18" t="n">
        <v>4996821.70289189</v>
      </c>
      <c r="D6309" s="0" t="n">
        <v>1</v>
      </c>
    </row>
    <row r="6310" customFormat="false" ht="15" hidden="false" customHeight="false" outlineLevel="0" collapsed="false">
      <c r="A6310" s="0" t="n">
        <v>6309</v>
      </c>
      <c r="B6310" s="18" t="n">
        <v>606067.201437722</v>
      </c>
      <c r="C6310" s="18" t="n">
        <v>0</v>
      </c>
      <c r="D6310" s="0" t="n">
        <v>0</v>
      </c>
      <c r="E6310" s="19" t="n">
        <v>34.75</v>
      </c>
    </row>
    <row r="6311" customFormat="false" ht="15" hidden="false" customHeight="false" outlineLevel="0" collapsed="false">
      <c r="A6311" s="0" t="n">
        <v>6310</v>
      </c>
      <c r="B6311" s="18" t="n">
        <v>255279.772455095</v>
      </c>
      <c r="C6311" s="18" t="n">
        <v>0</v>
      </c>
      <c r="D6311" s="0" t="n">
        <v>0</v>
      </c>
      <c r="E6311" s="19" t="n">
        <v>29.5833333333333</v>
      </c>
    </row>
    <row r="6312" customFormat="false" ht="15" hidden="false" customHeight="false" outlineLevel="0" collapsed="false">
      <c r="A6312" s="0" t="n">
        <v>6311</v>
      </c>
      <c r="B6312" s="18" t="n">
        <v>643534.308794033</v>
      </c>
      <c r="C6312" s="18" t="n">
        <v>6315.48425567405</v>
      </c>
      <c r="D6312" s="0" t="n">
        <v>1</v>
      </c>
    </row>
    <row r="6313" customFormat="false" ht="15" hidden="false" customHeight="false" outlineLevel="0" collapsed="false">
      <c r="A6313" s="0" t="n">
        <v>6312</v>
      </c>
      <c r="B6313" s="18" t="n">
        <v>1081826.64208135</v>
      </c>
      <c r="C6313" s="18" t="n">
        <v>0</v>
      </c>
      <c r="D6313" s="0" t="n">
        <v>0</v>
      </c>
      <c r="E6313" s="19" t="n">
        <v>51.75</v>
      </c>
    </row>
    <row r="6314" customFormat="false" ht="15" hidden="false" customHeight="false" outlineLevel="0" collapsed="false">
      <c r="A6314" s="0" t="n">
        <v>6313</v>
      </c>
      <c r="B6314" s="18" t="n">
        <v>1132759.80296</v>
      </c>
      <c r="C6314" s="18" t="n">
        <v>2802129.87472848</v>
      </c>
      <c r="D6314" s="0" t="n">
        <v>1</v>
      </c>
    </row>
    <row r="6315" customFormat="false" ht="15" hidden="false" customHeight="false" outlineLevel="0" collapsed="false">
      <c r="A6315" s="0" t="n">
        <v>6314</v>
      </c>
      <c r="B6315" s="18" t="n">
        <v>1168674.71495016</v>
      </c>
      <c r="C6315" s="18" t="n">
        <v>0</v>
      </c>
      <c r="D6315" s="0" t="n">
        <v>0</v>
      </c>
      <c r="E6315" s="19" t="n">
        <v>38.0833333333333</v>
      </c>
    </row>
    <row r="6316" customFormat="false" ht="15" hidden="false" customHeight="false" outlineLevel="0" collapsed="false">
      <c r="A6316" s="0" t="n">
        <v>6315</v>
      </c>
      <c r="B6316" s="18" t="n">
        <v>1289546.76789355</v>
      </c>
      <c r="C6316" s="18" t="n">
        <v>0</v>
      </c>
      <c r="D6316" s="0" t="n">
        <v>0</v>
      </c>
      <c r="E6316" s="19" t="n">
        <v>42.0833333333333</v>
      </c>
    </row>
    <row r="6317" customFormat="false" ht="15" hidden="false" customHeight="false" outlineLevel="0" collapsed="false">
      <c r="A6317" s="0" t="n">
        <v>6316</v>
      </c>
      <c r="B6317" s="18" t="n">
        <v>518557.637695546</v>
      </c>
      <c r="C6317" s="18" t="n">
        <v>0</v>
      </c>
      <c r="D6317" s="0" t="n">
        <v>0</v>
      </c>
      <c r="E6317" s="19" t="n">
        <v>36.0833333333333</v>
      </c>
    </row>
    <row r="6318" customFormat="false" ht="15" hidden="false" customHeight="false" outlineLevel="0" collapsed="false">
      <c r="A6318" s="0" t="n">
        <v>6317</v>
      </c>
      <c r="B6318" s="18" t="n">
        <v>2508232.04597308</v>
      </c>
      <c r="C6318" s="18" t="n">
        <v>21200447.4329231</v>
      </c>
      <c r="D6318" s="0" t="n">
        <v>1</v>
      </c>
    </row>
    <row r="6319" customFormat="false" ht="15" hidden="false" customHeight="false" outlineLevel="0" collapsed="false">
      <c r="A6319" s="0" t="n">
        <v>6318</v>
      </c>
      <c r="B6319" s="18" t="n">
        <v>516885.358456784</v>
      </c>
      <c r="C6319" s="18" t="n">
        <v>0</v>
      </c>
      <c r="D6319" s="0" t="n">
        <v>0</v>
      </c>
      <c r="E6319" s="19" t="n">
        <v>35.25</v>
      </c>
    </row>
    <row r="6320" customFormat="false" ht="15" hidden="false" customHeight="false" outlineLevel="0" collapsed="false">
      <c r="A6320" s="0" t="n">
        <v>6319</v>
      </c>
      <c r="B6320" s="18" t="n">
        <v>1152182.84809489</v>
      </c>
      <c r="C6320" s="18" t="n">
        <v>0</v>
      </c>
      <c r="D6320" s="0" t="n">
        <v>0</v>
      </c>
      <c r="E6320" s="19" t="n">
        <v>53.0833333333333</v>
      </c>
    </row>
    <row r="6321" customFormat="false" ht="15" hidden="false" customHeight="false" outlineLevel="0" collapsed="false">
      <c r="A6321" s="0" t="n">
        <v>6320</v>
      </c>
      <c r="B6321" s="18" t="n">
        <v>541905.278104671</v>
      </c>
      <c r="C6321" s="18" t="n">
        <v>0</v>
      </c>
      <c r="D6321" s="0" t="n">
        <v>0</v>
      </c>
      <c r="E6321" s="19" t="n">
        <v>33.8333333333333</v>
      </c>
    </row>
    <row r="6322" customFormat="false" ht="15" hidden="false" customHeight="false" outlineLevel="0" collapsed="false">
      <c r="A6322" s="0" t="n">
        <v>6321</v>
      </c>
      <c r="B6322" s="18" t="n">
        <v>800967.6592286</v>
      </c>
      <c r="C6322" s="18" t="n">
        <v>0</v>
      </c>
      <c r="D6322" s="0" t="n">
        <v>0</v>
      </c>
      <c r="E6322" s="19" t="n">
        <v>43.9166666666667</v>
      </c>
    </row>
    <row r="6323" customFormat="false" ht="15" hidden="false" customHeight="false" outlineLevel="0" collapsed="false">
      <c r="A6323" s="0" t="n">
        <v>6322</v>
      </c>
      <c r="B6323" s="18" t="n">
        <v>957202.813144492</v>
      </c>
      <c r="C6323" s="18" t="n">
        <v>0</v>
      </c>
      <c r="D6323" s="0" t="n">
        <v>0</v>
      </c>
      <c r="E6323" s="19" t="n">
        <v>41.25</v>
      </c>
    </row>
    <row r="6324" customFormat="false" ht="15" hidden="false" customHeight="false" outlineLevel="0" collapsed="false">
      <c r="A6324" s="0" t="n">
        <v>6323</v>
      </c>
      <c r="B6324" s="18" t="n">
        <v>978545.856783872</v>
      </c>
      <c r="C6324" s="18" t="n">
        <v>0</v>
      </c>
      <c r="D6324" s="0" t="n">
        <v>0</v>
      </c>
      <c r="E6324" s="19" t="n">
        <v>43.25</v>
      </c>
    </row>
    <row r="6325" customFormat="false" ht="15" hidden="false" customHeight="false" outlineLevel="0" collapsed="false">
      <c r="A6325" s="0" t="n">
        <v>6324</v>
      </c>
      <c r="B6325" s="18" t="n">
        <v>1841569.9297337</v>
      </c>
      <c r="C6325" s="18" t="n">
        <v>0</v>
      </c>
      <c r="D6325" s="0" t="n">
        <v>0</v>
      </c>
      <c r="E6325" s="19" t="n">
        <v>50.9166666666667</v>
      </c>
    </row>
    <row r="6326" customFormat="false" ht="15" hidden="false" customHeight="false" outlineLevel="0" collapsed="false">
      <c r="A6326" s="0" t="n">
        <v>6325</v>
      </c>
      <c r="B6326" s="18" t="n">
        <v>808600.564907786</v>
      </c>
      <c r="C6326" s="18" t="n">
        <v>0</v>
      </c>
      <c r="D6326" s="0" t="n">
        <v>0</v>
      </c>
      <c r="E6326" s="19" t="n">
        <v>37</v>
      </c>
    </row>
    <row r="6327" customFormat="false" ht="15" hidden="false" customHeight="false" outlineLevel="0" collapsed="false">
      <c r="A6327" s="0" t="n">
        <v>6326</v>
      </c>
      <c r="B6327" s="18" t="n">
        <v>514486.407218509</v>
      </c>
      <c r="C6327" s="18" t="n">
        <v>0</v>
      </c>
      <c r="D6327" s="0" t="n">
        <v>0</v>
      </c>
      <c r="E6327" s="19" t="n">
        <v>33.4166666666667</v>
      </c>
    </row>
    <row r="6328" customFormat="false" ht="15" hidden="false" customHeight="false" outlineLevel="0" collapsed="false">
      <c r="A6328" s="0" t="n">
        <v>6327</v>
      </c>
      <c r="B6328" s="18" t="n">
        <v>596787.773692902</v>
      </c>
      <c r="C6328" s="18" t="n">
        <v>0</v>
      </c>
      <c r="D6328" s="0" t="n">
        <v>0</v>
      </c>
      <c r="E6328" s="19" t="n">
        <v>33.6666666666667</v>
      </c>
    </row>
    <row r="6329" customFormat="false" ht="15" hidden="false" customHeight="false" outlineLevel="0" collapsed="false">
      <c r="A6329" s="0" t="n">
        <v>6328</v>
      </c>
      <c r="B6329" s="18" t="n">
        <v>1268064.00769721</v>
      </c>
      <c r="C6329" s="18" t="n">
        <v>0</v>
      </c>
      <c r="D6329" s="0" t="n">
        <v>0</v>
      </c>
      <c r="E6329" s="19" t="n">
        <v>41.3333333333333</v>
      </c>
    </row>
    <row r="6330" customFormat="false" ht="15" hidden="false" customHeight="false" outlineLevel="0" collapsed="false">
      <c r="A6330" s="0" t="n">
        <v>6329</v>
      </c>
      <c r="B6330" s="18" t="n">
        <v>1098242.40299552</v>
      </c>
      <c r="C6330" s="18" t="n">
        <v>118468.164832459</v>
      </c>
      <c r="D6330" s="0" t="n">
        <v>1</v>
      </c>
    </row>
    <row r="6331" customFormat="false" ht="15" hidden="false" customHeight="false" outlineLevel="0" collapsed="false">
      <c r="A6331" s="0" t="n">
        <v>6330</v>
      </c>
      <c r="B6331" s="18" t="n">
        <v>917899.678097171</v>
      </c>
      <c r="C6331" s="18" t="n">
        <v>0</v>
      </c>
      <c r="D6331" s="0" t="n">
        <v>0</v>
      </c>
      <c r="E6331" s="19" t="n">
        <v>38.6666666666667</v>
      </c>
    </row>
    <row r="6332" customFormat="false" ht="15" hidden="false" customHeight="false" outlineLevel="0" collapsed="false">
      <c r="A6332" s="0" t="n">
        <v>6331</v>
      </c>
      <c r="B6332" s="18" t="n">
        <v>3035534.24295544</v>
      </c>
      <c r="C6332" s="18" t="n">
        <v>6077787.31863038</v>
      </c>
      <c r="D6332" s="0" t="n">
        <v>1</v>
      </c>
    </row>
    <row r="6333" customFormat="false" ht="15" hidden="false" customHeight="false" outlineLevel="0" collapsed="false">
      <c r="A6333" s="0" t="n">
        <v>6332</v>
      </c>
      <c r="B6333" s="18" t="n">
        <v>841772.792700163</v>
      </c>
      <c r="C6333" s="18" t="n">
        <v>0</v>
      </c>
      <c r="D6333" s="0" t="n">
        <v>0</v>
      </c>
      <c r="E6333" s="19" t="n">
        <v>45.6666666666667</v>
      </c>
    </row>
    <row r="6334" customFormat="false" ht="15" hidden="false" customHeight="false" outlineLevel="0" collapsed="false">
      <c r="A6334" s="0" t="n">
        <v>6333</v>
      </c>
      <c r="B6334" s="18" t="n">
        <v>2373223.29900964</v>
      </c>
      <c r="C6334" s="18" t="n">
        <v>39243978.7745068</v>
      </c>
      <c r="D6334" s="0" t="n">
        <v>1</v>
      </c>
    </row>
    <row r="6335" customFormat="false" ht="15" hidden="false" customHeight="false" outlineLevel="0" collapsed="false">
      <c r="A6335" s="0" t="n">
        <v>6334</v>
      </c>
      <c r="B6335" s="18" t="n">
        <v>911919.454784079</v>
      </c>
      <c r="C6335" s="18" t="n">
        <v>1992795.2460277</v>
      </c>
      <c r="D6335" s="0" t="n">
        <v>1</v>
      </c>
    </row>
    <row r="6336" customFormat="false" ht="15" hidden="false" customHeight="false" outlineLevel="0" collapsed="false">
      <c r="A6336" s="0" t="n">
        <v>6335</v>
      </c>
      <c r="B6336" s="18" t="n">
        <v>1114550.85068611</v>
      </c>
      <c r="C6336" s="18" t="n">
        <v>0</v>
      </c>
      <c r="D6336" s="0" t="n">
        <v>0</v>
      </c>
      <c r="E6336" s="19" t="n">
        <v>46.9166666666667</v>
      </c>
    </row>
    <row r="6337" customFormat="false" ht="15" hidden="false" customHeight="false" outlineLevel="0" collapsed="false">
      <c r="A6337" s="0" t="n">
        <v>6336</v>
      </c>
      <c r="B6337" s="18" t="n">
        <v>986293.668350618</v>
      </c>
      <c r="C6337" s="18" t="n">
        <v>0</v>
      </c>
      <c r="D6337" s="0" t="n">
        <v>0</v>
      </c>
      <c r="E6337" s="19" t="n">
        <v>37.9166666666667</v>
      </c>
    </row>
    <row r="6338" customFormat="false" ht="15" hidden="false" customHeight="false" outlineLevel="0" collapsed="false">
      <c r="A6338" s="0" t="n">
        <v>6337</v>
      </c>
      <c r="B6338" s="18" t="n">
        <v>557863.17851578</v>
      </c>
      <c r="C6338" s="18" t="n">
        <v>0</v>
      </c>
      <c r="D6338" s="0" t="n">
        <v>0</v>
      </c>
      <c r="E6338" s="19" t="n">
        <v>34.5</v>
      </c>
    </row>
    <row r="6339" customFormat="false" ht="15" hidden="false" customHeight="false" outlineLevel="0" collapsed="false">
      <c r="A6339" s="0" t="n">
        <v>6338</v>
      </c>
      <c r="B6339" s="18" t="n">
        <v>680648.133134686</v>
      </c>
      <c r="C6339" s="18" t="n">
        <v>0</v>
      </c>
      <c r="D6339" s="0" t="n">
        <v>0</v>
      </c>
      <c r="E6339" s="19" t="n">
        <v>48.8333333333333</v>
      </c>
    </row>
    <row r="6340" customFormat="false" ht="15" hidden="false" customHeight="false" outlineLevel="0" collapsed="false">
      <c r="A6340" s="0" t="n">
        <v>6339</v>
      </c>
      <c r="B6340" s="18" t="n">
        <v>1248321.9917909</v>
      </c>
      <c r="C6340" s="18" t="n">
        <v>316636.995878711</v>
      </c>
      <c r="D6340" s="0" t="n">
        <v>1</v>
      </c>
    </row>
    <row r="6341" customFormat="false" ht="15" hidden="false" customHeight="false" outlineLevel="0" collapsed="false">
      <c r="A6341" s="0" t="n">
        <v>6340</v>
      </c>
      <c r="B6341" s="18" t="n">
        <v>1416111.22979737</v>
      </c>
      <c r="C6341" s="18" t="n">
        <v>309991.014442744</v>
      </c>
      <c r="D6341" s="0" t="n">
        <v>1</v>
      </c>
    </row>
    <row r="6342" customFormat="false" ht="15" hidden="false" customHeight="false" outlineLevel="0" collapsed="false">
      <c r="A6342" s="0" t="n">
        <v>6341</v>
      </c>
      <c r="B6342" s="18" t="n">
        <v>2125190.85856266</v>
      </c>
      <c r="C6342" s="18" t="n">
        <v>22008645.5349317</v>
      </c>
      <c r="D6342" s="0" t="n">
        <v>1</v>
      </c>
    </row>
    <row r="6343" customFormat="false" ht="15" hidden="false" customHeight="false" outlineLevel="0" collapsed="false">
      <c r="A6343" s="0" t="n">
        <v>6342</v>
      </c>
      <c r="B6343" s="18" t="n">
        <v>522273.481450871</v>
      </c>
      <c r="C6343" s="18" t="n">
        <v>0</v>
      </c>
      <c r="D6343" s="0" t="n">
        <v>0</v>
      </c>
      <c r="E6343" s="19" t="n">
        <v>33.5</v>
      </c>
    </row>
    <row r="6344" customFormat="false" ht="15" hidden="false" customHeight="false" outlineLevel="0" collapsed="false">
      <c r="A6344" s="0" t="n">
        <v>6343</v>
      </c>
      <c r="B6344" s="18" t="n">
        <v>1139869.43074233</v>
      </c>
      <c r="C6344" s="18" t="n">
        <v>6129466.24137901</v>
      </c>
      <c r="D6344" s="0" t="n">
        <v>1</v>
      </c>
    </row>
    <row r="6345" customFormat="false" ht="15" hidden="false" customHeight="false" outlineLevel="0" collapsed="false">
      <c r="A6345" s="0" t="n">
        <v>6344</v>
      </c>
      <c r="B6345" s="18" t="n">
        <v>524195.931797125</v>
      </c>
      <c r="C6345" s="18" t="n">
        <v>0</v>
      </c>
      <c r="D6345" s="0" t="n">
        <v>0</v>
      </c>
      <c r="E6345" s="19" t="n">
        <v>39.6666666666667</v>
      </c>
    </row>
    <row r="6346" customFormat="false" ht="15" hidden="false" customHeight="false" outlineLevel="0" collapsed="false">
      <c r="A6346" s="0" t="n">
        <v>6345</v>
      </c>
      <c r="B6346" s="18" t="n">
        <v>423037.531606098</v>
      </c>
      <c r="C6346" s="18" t="n">
        <v>0</v>
      </c>
      <c r="D6346" s="0" t="n">
        <v>0</v>
      </c>
      <c r="E6346" s="19" t="n">
        <v>33.1666666666667</v>
      </c>
    </row>
    <row r="6347" customFormat="false" ht="15" hidden="false" customHeight="false" outlineLevel="0" collapsed="false">
      <c r="A6347" s="0" t="n">
        <v>6346</v>
      </c>
      <c r="B6347" s="18" t="n">
        <v>662747.116329763</v>
      </c>
      <c r="C6347" s="18" t="n">
        <v>0</v>
      </c>
      <c r="D6347" s="0" t="n">
        <v>0</v>
      </c>
      <c r="E6347" s="19" t="n">
        <v>36.9166666666667</v>
      </c>
    </row>
    <row r="6348" customFormat="false" ht="15" hidden="false" customHeight="false" outlineLevel="0" collapsed="false">
      <c r="A6348" s="0" t="n">
        <v>6347</v>
      </c>
      <c r="B6348" s="18" t="n">
        <v>996876.975461752</v>
      </c>
      <c r="C6348" s="18" t="n">
        <v>0</v>
      </c>
      <c r="D6348" s="0" t="n">
        <v>0</v>
      </c>
      <c r="E6348" s="19" t="n">
        <v>42.1666666666667</v>
      </c>
    </row>
    <row r="6349" customFormat="false" ht="15" hidden="false" customHeight="false" outlineLevel="0" collapsed="false">
      <c r="A6349" s="0" t="n">
        <v>6348</v>
      </c>
      <c r="B6349" s="18" t="n">
        <v>1701713.57901707</v>
      </c>
      <c r="C6349" s="18" t="n">
        <v>4252135.64645494</v>
      </c>
      <c r="D6349" s="0" t="n">
        <v>1</v>
      </c>
    </row>
    <row r="6350" customFormat="false" ht="15" hidden="false" customHeight="false" outlineLevel="0" collapsed="false">
      <c r="A6350" s="0" t="n">
        <v>6349</v>
      </c>
      <c r="B6350" s="18" t="n">
        <v>529730.285761908</v>
      </c>
      <c r="C6350" s="18" t="n">
        <v>0</v>
      </c>
      <c r="D6350" s="0" t="n">
        <v>0</v>
      </c>
      <c r="E6350" s="19" t="n">
        <v>35.5</v>
      </c>
    </row>
    <row r="6351" customFormat="false" ht="15" hidden="false" customHeight="false" outlineLevel="0" collapsed="false">
      <c r="A6351" s="0" t="n">
        <v>6350</v>
      </c>
      <c r="B6351" s="18" t="n">
        <v>567979.767788629</v>
      </c>
      <c r="C6351" s="18" t="n">
        <v>0</v>
      </c>
      <c r="D6351" s="0" t="n">
        <v>0</v>
      </c>
      <c r="E6351" s="19" t="n">
        <v>34.75</v>
      </c>
    </row>
    <row r="6352" customFormat="false" ht="15" hidden="false" customHeight="false" outlineLevel="0" collapsed="false">
      <c r="A6352" s="0" t="n">
        <v>6351</v>
      </c>
      <c r="B6352" s="18" t="n">
        <v>559226.81570228</v>
      </c>
      <c r="C6352" s="18" t="n">
        <v>0</v>
      </c>
      <c r="D6352" s="0" t="n">
        <v>0</v>
      </c>
      <c r="E6352" s="19" t="n">
        <v>33.6666666666667</v>
      </c>
    </row>
    <row r="6353" customFormat="false" ht="15" hidden="false" customHeight="false" outlineLevel="0" collapsed="false">
      <c r="A6353" s="0" t="n">
        <v>6352</v>
      </c>
      <c r="B6353" s="18" t="n">
        <v>450334.99320474</v>
      </c>
      <c r="C6353" s="18" t="n">
        <v>0</v>
      </c>
      <c r="D6353" s="0" t="n">
        <v>0</v>
      </c>
      <c r="E6353" s="19" t="n">
        <v>38.5833333333333</v>
      </c>
    </row>
    <row r="6354" customFormat="false" ht="15" hidden="false" customHeight="false" outlineLevel="0" collapsed="false">
      <c r="A6354" s="0" t="n">
        <v>6353</v>
      </c>
      <c r="B6354" s="18" t="n">
        <v>1875916.13294892</v>
      </c>
      <c r="C6354" s="18" t="n">
        <v>2392726.96101282</v>
      </c>
      <c r="D6354" s="0" t="n">
        <v>1</v>
      </c>
    </row>
    <row r="6355" customFormat="false" ht="15" hidden="false" customHeight="false" outlineLevel="0" collapsed="false">
      <c r="A6355" s="0" t="n">
        <v>6354</v>
      </c>
      <c r="B6355" s="18" t="n">
        <v>863879.345905581</v>
      </c>
      <c r="C6355" s="18" t="n">
        <v>0</v>
      </c>
      <c r="D6355" s="0" t="n">
        <v>0</v>
      </c>
      <c r="E6355" s="19" t="n">
        <v>41.5</v>
      </c>
    </row>
    <row r="6356" customFormat="false" ht="15" hidden="false" customHeight="false" outlineLevel="0" collapsed="false">
      <c r="A6356" s="0" t="n">
        <v>6355</v>
      </c>
      <c r="B6356" s="18" t="n">
        <v>715139.607779745</v>
      </c>
      <c r="C6356" s="18" t="n">
        <v>0</v>
      </c>
      <c r="D6356" s="0" t="n">
        <v>0</v>
      </c>
      <c r="E6356" s="19" t="n">
        <v>45.1666666666667</v>
      </c>
    </row>
    <row r="6357" customFormat="false" ht="15" hidden="false" customHeight="false" outlineLevel="0" collapsed="false">
      <c r="A6357" s="0" t="n">
        <v>6356</v>
      </c>
      <c r="B6357" s="18" t="n">
        <v>370473.949677506</v>
      </c>
      <c r="C6357" s="18" t="n">
        <v>0</v>
      </c>
      <c r="D6357" s="0" t="n">
        <v>0</v>
      </c>
      <c r="E6357" s="19" t="n">
        <v>30.1666666666667</v>
      </c>
    </row>
    <row r="6358" customFormat="false" ht="15" hidden="false" customHeight="false" outlineLevel="0" collapsed="false">
      <c r="A6358" s="0" t="n">
        <v>6357</v>
      </c>
      <c r="B6358" s="18" t="n">
        <v>2364344.47025898</v>
      </c>
      <c r="C6358" s="18" t="n">
        <v>6249250.52423379</v>
      </c>
      <c r="D6358" s="0" t="n">
        <v>1</v>
      </c>
    </row>
    <row r="6359" customFormat="false" ht="15" hidden="false" customHeight="false" outlineLevel="0" collapsed="false">
      <c r="A6359" s="0" t="n">
        <v>6358</v>
      </c>
      <c r="B6359" s="18" t="n">
        <v>628694.226536186</v>
      </c>
      <c r="C6359" s="18" t="n">
        <v>0</v>
      </c>
      <c r="D6359" s="0" t="n">
        <v>0</v>
      </c>
      <c r="E6359" s="19" t="n">
        <v>49.1666666666667</v>
      </c>
    </row>
    <row r="6360" customFormat="false" ht="15" hidden="false" customHeight="false" outlineLevel="0" collapsed="false">
      <c r="A6360" s="0" t="n">
        <v>6359</v>
      </c>
      <c r="B6360" s="18" t="n">
        <v>471671.434501724</v>
      </c>
      <c r="C6360" s="18" t="n">
        <v>0</v>
      </c>
      <c r="D6360" s="0" t="n">
        <v>0</v>
      </c>
      <c r="E6360" s="19" t="n">
        <v>33.4166666666667</v>
      </c>
    </row>
    <row r="6361" customFormat="false" ht="15" hidden="false" customHeight="false" outlineLevel="0" collapsed="false">
      <c r="A6361" s="0" t="n">
        <v>6360</v>
      </c>
      <c r="B6361" s="18" t="n">
        <v>521683.57223673</v>
      </c>
      <c r="C6361" s="18" t="n">
        <v>0</v>
      </c>
      <c r="D6361" s="0" t="n">
        <v>0</v>
      </c>
      <c r="E6361" s="19" t="n">
        <v>37</v>
      </c>
    </row>
    <row r="6362" customFormat="false" ht="15" hidden="false" customHeight="false" outlineLevel="0" collapsed="false">
      <c r="A6362" s="0" t="n">
        <v>6361</v>
      </c>
      <c r="B6362" s="18" t="n">
        <v>807334.566678156</v>
      </c>
      <c r="C6362" s="18" t="n">
        <v>0</v>
      </c>
      <c r="D6362" s="0" t="n">
        <v>0</v>
      </c>
      <c r="E6362" s="19" t="n">
        <v>39.1666666666667</v>
      </c>
    </row>
    <row r="6363" customFormat="false" ht="15" hidden="false" customHeight="false" outlineLevel="0" collapsed="false">
      <c r="A6363" s="0" t="n">
        <v>6362</v>
      </c>
      <c r="B6363" s="18" t="n">
        <v>877591.95632791</v>
      </c>
      <c r="C6363" s="18" t="n">
        <v>0</v>
      </c>
      <c r="D6363" s="0" t="n">
        <v>0</v>
      </c>
      <c r="E6363" s="19" t="n">
        <v>40.5</v>
      </c>
    </row>
    <row r="6364" customFormat="false" ht="15" hidden="false" customHeight="false" outlineLevel="0" collapsed="false">
      <c r="A6364" s="0" t="n">
        <v>6363</v>
      </c>
      <c r="B6364" s="18" t="n">
        <v>1705027.56177067</v>
      </c>
      <c r="C6364" s="18" t="n">
        <v>8961649.25918459</v>
      </c>
      <c r="D6364" s="0" t="n">
        <v>1</v>
      </c>
    </row>
    <row r="6365" customFormat="false" ht="15" hidden="false" customHeight="false" outlineLevel="0" collapsed="false">
      <c r="A6365" s="0" t="n">
        <v>6364</v>
      </c>
      <c r="B6365" s="18" t="n">
        <v>836961.035104493</v>
      </c>
      <c r="C6365" s="18" t="n">
        <v>2766237.85911113</v>
      </c>
      <c r="D6365" s="0" t="n">
        <v>1</v>
      </c>
    </row>
    <row r="6366" customFormat="false" ht="15" hidden="false" customHeight="false" outlineLevel="0" collapsed="false">
      <c r="A6366" s="0" t="n">
        <v>6365</v>
      </c>
      <c r="B6366" s="18" t="n">
        <v>381391.414030511</v>
      </c>
      <c r="C6366" s="18" t="n">
        <v>0</v>
      </c>
      <c r="D6366" s="0" t="n">
        <v>0</v>
      </c>
      <c r="E6366" s="19" t="n">
        <v>32.25</v>
      </c>
    </row>
    <row r="6367" customFormat="false" ht="15" hidden="false" customHeight="false" outlineLevel="0" collapsed="false">
      <c r="A6367" s="0" t="n">
        <v>6366</v>
      </c>
      <c r="B6367" s="18" t="n">
        <v>662285.808249744</v>
      </c>
      <c r="C6367" s="18" t="n">
        <v>0</v>
      </c>
      <c r="D6367" s="0" t="n">
        <v>0</v>
      </c>
      <c r="E6367" s="19" t="n">
        <v>38.0833333333333</v>
      </c>
    </row>
    <row r="6368" customFormat="false" ht="15" hidden="false" customHeight="false" outlineLevel="0" collapsed="false">
      <c r="A6368" s="0" t="n">
        <v>6367</v>
      </c>
      <c r="B6368" s="18" t="n">
        <v>499746.118817557</v>
      </c>
      <c r="C6368" s="18" t="n">
        <v>0</v>
      </c>
      <c r="D6368" s="0" t="n">
        <v>0</v>
      </c>
      <c r="E6368" s="19" t="n">
        <v>32.8333333333333</v>
      </c>
    </row>
    <row r="6369" customFormat="false" ht="15" hidden="false" customHeight="false" outlineLevel="0" collapsed="false">
      <c r="A6369" s="0" t="n">
        <v>6368</v>
      </c>
      <c r="B6369" s="18" t="n">
        <v>362848.679256076</v>
      </c>
      <c r="C6369" s="18" t="n">
        <v>0</v>
      </c>
      <c r="D6369" s="0" t="n">
        <v>0</v>
      </c>
      <c r="E6369" s="19" t="n">
        <v>33.3333333333333</v>
      </c>
    </row>
    <row r="6370" customFormat="false" ht="15" hidden="false" customHeight="false" outlineLevel="0" collapsed="false">
      <c r="A6370" s="0" t="n">
        <v>6369</v>
      </c>
      <c r="B6370" s="18" t="n">
        <v>982506.927950432</v>
      </c>
      <c r="C6370" s="18" t="n">
        <v>0</v>
      </c>
      <c r="D6370" s="0" t="n">
        <v>0</v>
      </c>
      <c r="E6370" s="19" t="n">
        <v>46.5</v>
      </c>
    </row>
    <row r="6371" customFormat="false" ht="15" hidden="false" customHeight="false" outlineLevel="0" collapsed="false">
      <c r="A6371" s="0" t="n">
        <v>6370</v>
      </c>
      <c r="B6371" s="18" t="n">
        <v>1068972.12152591</v>
      </c>
      <c r="C6371" s="18" t="n">
        <v>0</v>
      </c>
      <c r="D6371" s="0" t="n">
        <v>0</v>
      </c>
      <c r="E6371" s="19" t="n">
        <v>38.8333333333333</v>
      </c>
    </row>
    <row r="6372" customFormat="false" ht="15" hidden="false" customHeight="false" outlineLevel="0" collapsed="false">
      <c r="A6372" s="0" t="n">
        <v>6371</v>
      </c>
      <c r="B6372" s="18" t="n">
        <v>2256933.45431234</v>
      </c>
      <c r="C6372" s="18" t="n">
        <v>3156495.45177125</v>
      </c>
      <c r="D6372" s="0" t="n">
        <v>1</v>
      </c>
    </row>
    <row r="6373" customFormat="false" ht="15" hidden="false" customHeight="false" outlineLevel="0" collapsed="false">
      <c r="A6373" s="0" t="n">
        <v>6372</v>
      </c>
      <c r="B6373" s="18" t="n">
        <v>1280182.76810157</v>
      </c>
      <c r="C6373" s="18" t="n">
        <v>449323.245209579</v>
      </c>
      <c r="D6373" s="0" t="n">
        <v>1</v>
      </c>
    </row>
    <row r="6374" customFormat="false" ht="15" hidden="false" customHeight="false" outlineLevel="0" collapsed="false">
      <c r="A6374" s="0" t="n">
        <v>6373</v>
      </c>
      <c r="B6374" s="18" t="n">
        <v>1000846.32231819</v>
      </c>
      <c r="C6374" s="18" t="n">
        <v>0</v>
      </c>
      <c r="D6374" s="0" t="n">
        <v>0</v>
      </c>
      <c r="E6374" s="19" t="n">
        <v>53.1666666666667</v>
      </c>
    </row>
    <row r="6375" customFormat="false" ht="15" hidden="false" customHeight="false" outlineLevel="0" collapsed="false">
      <c r="A6375" s="0" t="n">
        <v>6374</v>
      </c>
      <c r="B6375" s="18" t="n">
        <v>1326190.79985223</v>
      </c>
      <c r="C6375" s="18" t="n">
        <v>8515714.10892551</v>
      </c>
      <c r="D6375" s="0" t="n">
        <v>1</v>
      </c>
    </row>
    <row r="6376" customFormat="false" ht="15" hidden="false" customHeight="false" outlineLevel="0" collapsed="false">
      <c r="A6376" s="0" t="n">
        <v>6375</v>
      </c>
      <c r="B6376" s="18" t="n">
        <v>1032292.68805733</v>
      </c>
      <c r="C6376" s="18" t="n">
        <v>1000075.8279023</v>
      </c>
      <c r="D6376" s="0" t="n">
        <v>1</v>
      </c>
    </row>
    <row r="6377" customFormat="false" ht="15" hidden="false" customHeight="false" outlineLevel="0" collapsed="false">
      <c r="A6377" s="0" t="n">
        <v>6376</v>
      </c>
      <c r="B6377" s="18" t="n">
        <v>573658.429039592</v>
      </c>
      <c r="C6377" s="18" t="n">
        <v>0</v>
      </c>
      <c r="D6377" s="0" t="n">
        <v>0</v>
      </c>
      <c r="E6377" s="19" t="n">
        <v>38.4166666666667</v>
      </c>
    </row>
    <row r="6378" customFormat="false" ht="15" hidden="false" customHeight="false" outlineLevel="0" collapsed="false">
      <c r="A6378" s="0" t="n">
        <v>6377</v>
      </c>
      <c r="B6378" s="18" t="n">
        <v>657206.138982042</v>
      </c>
      <c r="C6378" s="18" t="n">
        <v>0</v>
      </c>
      <c r="D6378" s="0" t="n">
        <v>0</v>
      </c>
      <c r="E6378" s="19" t="n">
        <v>37.5833333333333</v>
      </c>
    </row>
    <row r="6379" customFormat="false" ht="15" hidden="false" customHeight="false" outlineLevel="0" collapsed="false">
      <c r="A6379" s="0" t="n">
        <v>6378</v>
      </c>
      <c r="B6379" s="18" t="n">
        <v>814486.337684451</v>
      </c>
      <c r="C6379" s="18" t="n">
        <v>0</v>
      </c>
      <c r="D6379" s="0" t="n">
        <v>0</v>
      </c>
      <c r="E6379" s="19" t="n">
        <v>37.75</v>
      </c>
    </row>
    <row r="6380" customFormat="false" ht="15" hidden="false" customHeight="false" outlineLevel="0" collapsed="false">
      <c r="A6380" s="0" t="n">
        <v>6379</v>
      </c>
      <c r="B6380" s="18" t="n">
        <v>656037.138349375</v>
      </c>
      <c r="C6380" s="18" t="n">
        <v>0</v>
      </c>
      <c r="D6380" s="0" t="n">
        <v>0</v>
      </c>
      <c r="E6380" s="19" t="n">
        <v>53.1666666666667</v>
      </c>
    </row>
    <row r="6381" customFormat="false" ht="15" hidden="false" customHeight="false" outlineLevel="0" collapsed="false">
      <c r="A6381" s="0" t="n">
        <v>6380</v>
      </c>
      <c r="B6381" s="18" t="n">
        <v>858261.233542444</v>
      </c>
      <c r="C6381" s="18" t="n">
        <v>0</v>
      </c>
      <c r="D6381" s="0" t="n">
        <v>0</v>
      </c>
      <c r="E6381" s="19" t="n">
        <v>54.0833333333333</v>
      </c>
    </row>
    <row r="6382" customFormat="false" ht="15" hidden="false" customHeight="false" outlineLevel="0" collapsed="false">
      <c r="A6382" s="0" t="n">
        <v>6381</v>
      </c>
      <c r="B6382" s="18" t="n">
        <v>655928.679062118</v>
      </c>
      <c r="C6382" s="18" t="n">
        <v>0</v>
      </c>
      <c r="D6382" s="0" t="n">
        <v>0</v>
      </c>
      <c r="E6382" s="19" t="n">
        <v>37.0833333333333</v>
      </c>
    </row>
    <row r="6383" customFormat="false" ht="15" hidden="false" customHeight="false" outlineLevel="0" collapsed="false">
      <c r="A6383" s="0" t="n">
        <v>6382</v>
      </c>
      <c r="B6383" s="18" t="n">
        <v>1459762.55029603</v>
      </c>
      <c r="C6383" s="18" t="n">
        <v>1784244.0794696</v>
      </c>
      <c r="D6383" s="0" t="n">
        <v>1</v>
      </c>
    </row>
    <row r="6384" customFormat="false" ht="15" hidden="false" customHeight="false" outlineLevel="0" collapsed="false">
      <c r="A6384" s="0" t="n">
        <v>6383</v>
      </c>
      <c r="B6384" s="18" t="n">
        <v>2239478.14851856</v>
      </c>
      <c r="C6384" s="18" t="n">
        <v>15014736.2685124</v>
      </c>
      <c r="D6384" s="0" t="n">
        <v>1</v>
      </c>
    </row>
    <row r="6385" customFormat="false" ht="15" hidden="false" customHeight="false" outlineLevel="0" collapsed="false">
      <c r="A6385" s="0" t="n">
        <v>6384</v>
      </c>
      <c r="B6385" s="18" t="n">
        <v>925335.340243837</v>
      </c>
      <c r="C6385" s="18" t="n">
        <v>0</v>
      </c>
      <c r="D6385" s="0" t="n">
        <v>0</v>
      </c>
      <c r="E6385" s="19" t="n">
        <v>39</v>
      </c>
    </row>
    <row r="6386" customFormat="false" ht="15" hidden="false" customHeight="false" outlineLevel="0" collapsed="false">
      <c r="A6386" s="0" t="n">
        <v>6385</v>
      </c>
      <c r="B6386" s="18" t="n">
        <v>326467.257309297</v>
      </c>
      <c r="C6386" s="18" t="n">
        <v>0</v>
      </c>
      <c r="D6386" s="0" t="n">
        <v>0</v>
      </c>
      <c r="E6386" s="19" t="n">
        <v>33.5833333333333</v>
      </c>
    </row>
    <row r="6387" customFormat="false" ht="15" hidden="false" customHeight="false" outlineLevel="0" collapsed="false">
      <c r="A6387" s="0" t="n">
        <v>6386</v>
      </c>
      <c r="B6387" s="18" t="n">
        <v>1707715.53795265</v>
      </c>
      <c r="C6387" s="18" t="n">
        <v>795290.646291488</v>
      </c>
      <c r="D6387" s="0" t="n">
        <v>1</v>
      </c>
    </row>
    <row r="6388" customFormat="false" ht="15" hidden="false" customHeight="false" outlineLevel="0" collapsed="false">
      <c r="A6388" s="0" t="n">
        <v>6387</v>
      </c>
      <c r="B6388" s="18" t="n">
        <v>926652.442210211</v>
      </c>
      <c r="C6388" s="18" t="n">
        <v>1441189.76831019</v>
      </c>
      <c r="D6388" s="0" t="n">
        <v>1</v>
      </c>
    </row>
    <row r="6389" customFormat="false" ht="15" hidden="false" customHeight="false" outlineLevel="0" collapsed="false">
      <c r="A6389" s="0" t="n">
        <v>6388</v>
      </c>
      <c r="B6389" s="18" t="n">
        <v>501895.719191829</v>
      </c>
      <c r="C6389" s="18" t="n">
        <v>0</v>
      </c>
      <c r="D6389" s="0" t="n">
        <v>0</v>
      </c>
      <c r="E6389" s="19" t="n">
        <v>32.25</v>
      </c>
    </row>
    <row r="6390" customFormat="false" ht="15" hidden="false" customHeight="false" outlineLevel="0" collapsed="false">
      <c r="A6390" s="0" t="n">
        <v>6389</v>
      </c>
      <c r="B6390" s="18" t="n">
        <v>1012927.51888388</v>
      </c>
      <c r="C6390" s="18" t="n">
        <v>2957133.79867791</v>
      </c>
      <c r="D6390" s="0" t="n">
        <v>1</v>
      </c>
    </row>
    <row r="6391" customFormat="false" ht="15" hidden="false" customHeight="false" outlineLevel="0" collapsed="false">
      <c r="A6391" s="0" t="n">
        <v>6390</v>
      </c>
      <c r="B6391" s="18" t="n">
        <v>1251884.19556123</v>
      </c>
      <c r="C6391" s="18" t="n">
        <v>948032.122944857</v>
      </c>
      <c r="D6391" s="0" t="n">
        <v>1</v>
      </c>
    </row>
    <row r="6392" customFormat="false" ht="15" hidden="false" customHeight="false" outlineLevel="0" collapsed="false">
      <c r="A6392" s="0" t="n">
        <v>6391</v>
      </c>
      <c r="B6392" s="18" t="n">
        <v>1665858.70213016</v>
      </c>
      <c r="C6392" s="18" t="n">
        <v>988624.050244114</v>
      </c>
      <c r="D6392" s="0" t="n">
        <v>1</v>
      </c>
    </row>
    <row r="6393" customFormat="false" ht="15" hidden="false" customHeight="false" outlineLevel="0" collapsed="false">
      <c r="A6393" s="0" t="n">
        <v>6392</v>
      </c>
      <c r="B6393" s="18" t="n">
        <v>1569849.60523395</v>
      </c>
      <c r="C6393" s="18" t="n">
        <v>1483772.2333878</v>
      </c>
      <c r="D6393" s="0" t="n">
        <v>1</v>
      </c>
    </row>
    <row r="6394" customFormat="false" ht="15" hidden="false" customHeight="false" outlineLevel="0" collapsed="false">
      <c r="A6394" s="0" t="n">
        <v>6393</v>
      </c>
      <c r="B6394" s="18" t="n">
        <v>758419.689743623</v>
      </c>
      <c r="C6394" s="18" t="n">
        <v>0</v>
      </c>
      <c r="D6394" s="0" t="n">
        <v>0</v>
      </c>
      <c r="E6394" s="19" t="n">
        <v>36.5</v>
      </c>
    </row>
    <row r="6395" customFormat="false" ht="15" hidden="false" customHeight="false" outlineLevel="0" collapsed="false">
      <c r="A6395" s="0" t="n">
        <v>6394</v>
      </c>
      <c r="B6395" s="18" t="n">
        <v>267294.65187161</v>
      </c>
      <c r="C6395" s="18" t="n">
        <v>0</v>
      </c>
      <c r="D6395" s="0" t="n">
        <v>0</v>
      </c>
      <c r="E6395" s="19" t="n">
        <v>29.8333333333333</v>
      </c>
    </row>
    <row r="6396" customFormat="false" ht="15" hidden="false" customHeight="false" outlineLevel="0" collapsed="false">
      <c r="A6396" s="0" t="n">
        <v>6395</v>
      </c>
      <c r="B6396" s="18" t="n">
        <v>765629.596951254</v>
      </c>
      <c r="C6396" s="18" t="n">
        <v>0</v>
      </c>
      <c r="D6396" s="0" t="n">
        <v>0</v>
      </c>
      <c r="E6396" s="19" t="n">
        <v>49</v>
      </c>
    </row>
    <row r="6397" customFormat="false" ht="15" hidden="false" customHeight="false" outlineLevel="0" collapsed="false">
      <c r="A6397" s="0" t="n">
        <v>6396</v>
      </c>
      <c r="B6397" s="18" t="n">
        <v>742765.462989957</v>
      </c>
      <c r="C6397" s="18" t="n">
        <v>0</v>
      </c>
      <c r="D6397" s="0" t="n">
        <v>0</v>
      </c>
      <c r="E6397" s="19" t="n">
        <v>35.4166666666667</v>
      </c>
    </row>
    <row r="6398" customFormat="false" ht="15" hidden="false" customHeight="false" outlineLevel="0" collapsed="false">
      <c r="A6398" s="0" t="n">
        <v>6397</v>
      </c>
      <c r="B6398" s="18" t="n">
        <v>423279.158538142</v>
      </c>
      <c r="C6398" s="18" t="n">
        <v>0</v>
      </c>
      <c r="D6398" s="0" t="n">
        <v>0</v>
      </c>
      <c r="E6398" s="19" t="n">
        <v>32.8333333333333</v>
      </c>
    </row>
    <row r="6399" customFormat="false" ht="15" hidden="false" customHeight="false" outlineLevel="0" collapsed="false">
      <c r="A6399" s="0" t="n">
        <v>6398</v>
      </c>
      <c r="B6399" s="18" t="n">
        <v>464467.189075309</v>
      </c>
      <c r="C6399" s="18" t="n">
        <v>0</v>
      </c>
      <c r="D6399" s="0" t="n">
        <v>0</v>
      </c>
      <c r="E6399" s="19" t="n">
        <v>33</v>
      </c>
    </row>
    <row r="6400" customFormat="false" ht="15" hidden="false" customHeight="false" outlineLevel="0" collapsed="false">
      <c r="A6400" s="0" t="n">
        <v>6399</v>
      </c>
      <c r="B6400" s="18" t="n">
        <v>2558731.79734142</v>
      </c>
      <c r="C6400" s="18" t="n">
        <v>2564162.63034337</v>
      </c>
      <c r="D6400" s="0" t="n">
        <v>1</v>
      </c>
    </row>
    <row r="6401" customFormat="false" ht="15" hidden="false" customHeight="false" outlineLevel="0" collapsed="false">
      <c r="A6401" s="0" t="n">
        <v>6400</v>
      </c>
      <c r="B6401" s="18" t="n">
        <v>900420.03959954</v>
      </c>
      <c r="C6401" s="18" t="n">
        <v>1457805.79985057</v>
      </c>
      <c r="D6401" s="0" t="n">
        <v>1</v>
      </c>
    </row>
    <row r="6402" customFormat="false" ht="15" hidden="false" customHeight="false" outlineLevel="0" collapsed="false">
      <c r="A6402" s="0" t="n">
        <v>6401</v>
      </c>
      <c r="B6402" s="18" t="n">
        <v>718780.046667051</v>
      </c>
      <c r="C6402" s="18" t="n">
        <v>0</v>
      </c>
      <c r="D6402" s="0" t="n">
        <v>0</v>
      </c>
      <c r="E6402" s="19" t="n">
        <v>47.4166666666667</v>
      </c>
    </row>
    <row r="6403" customFormat="false" ht="15" hidden="false" customHeight="false" outlineLevel="0" collapsed="false">
      <c r="A6403" s="0" t="n">
        <v>6402</v>
      </c>
      <c r="B6403" s="18" t="n">
        <v>607203.950510513</v>
      </c>
      <c r="C6403" s="18" t="n">
        <v>0</v>
      </c>
      <c r="D6403" s="0" t="n">
        <v>0</v>
      </c>
      <c r="E6403" s="19" t="n">
        <v>40.1666666666667</v>
      </c>
    </row>
    <row r="6404" customFormat="false" ht="15" hidden="false" customHeight="false" outlineLevel="0" collapsed="false">
      <c r="A6404" s="0" t="n">
        <v>6403</v>
      </c>
      <c r="B6404" s="18" t="n">
        <v>576337.513993018</v>
      </c>
      <c r="C6404" s="18" t="n">
        <v>0</v>
      </c>
      <c r="D6404" s="0" t="n">
        <v>0</v>
      </c>
      <c r="E6404" s="19" t="n">
        <v>38</v>
      </c>
    </row>
    <row r="6405" customFormat="false" ht="15" hidden="false" customHeight="false" outlineLevel="0" collapsed="false">
      <c r="A6405" s="0" t="n">
        <v>6404</v>
      </c>
      <c r="B6405" s="18" t="n">
        <v>488003.348385288</v>
      </c>
      <c r="C6405" s="18" t="n">
        <v>0</v>
      </c>
      <c r="D6405" s="0" t="n">
        <v>0</v>
      </c>
      <c r="E6405" s="19" t="n">
        <v>36.6666666666667</v>
      </c>
    </row>
    <row r="6406" customFormat="false" ht="15" hidden="false" customHeight="false" outlineLevel="0" collapsed="false">
      <c r="A6406" s="0" t="n">
        <v>6405</v>
      </c>
      <c r="B6406" s="18" t="n">
        <v>639051.95156106</v>
      </c>
      <c r="C6406" s="18" t="n">
        <v>0</v>
      </c>
      <c r="D6406" s="0" t="n">
        <v>0</v>
      </c>
      <c r="E6406" s="19" t="n">
        <v>39</v>
      </c>
    </row>
    <row r="6407" customFormat="false" ht="15" hidden="false" customHeight="false" outlineLevel="0" collapsed="false">
      <c r="A6407" s="0" t="n">
        <v>6406</v>
      </c>
      <c r="B6407" s="18" t="n">
        <v>1230293.9069173</v>
      </c>
      <c r="C6407" s="18" t="n">
        <v>0</v>
      </c>
      <c r="D6407" s="0" t="n">
        <v>0</v>
      </c>
      <c r="E6407" s="19" t="n">
        <v>39.4166666666667</v>
      </c>
    </row>
    <row r="6408" customFormat="false" ht="15" hidden="false" customHeight="false" outlineLevel="0" collapsed="false">
      <c r="A6408" s="0" t="n">
        <v>6407</v>
      </c>
      <c r="B6408" s="18" t="n">
        <v>570698.263551061</v>
      </c>
      <c r="C6408" s="18" t="n">
        <v>0</v>
      </c>
      <c r="D6408" s="0" t="n">
        <v>0</v>
      </c>
      <c r="E6408" s="19" t="n">
        <v>40.8333333333333</v>
      </c>
    </row>
    <row r="6409" customFormat="false" ht="15" hidden="false" customHeight="false" outlineLevel="0" collapsed="false">
      <c r="A6409" s="0" t="n">
        <v>6408</v>
      </c>
      <c r="B6409" s="18" t="n">
        <v>970919.10023523</v>
      </c>
      <c r="C6409" s="18" t="n">
        <v>2747855.61327312</v>
      </c>
      <c r="D6409" s="0" t="n">
        <v>1</v>
      </c>
    </row>
    <row r="6410" customFormat="false" ht="15" hidden="false" customHeight="false" outlineLevel="0" collapsed="false">
      <c r="A6410" s="0" t="n">
        <v>6409</v>
      </c>
      <c r="B6410" s="18" t="n">
        <v>2280580.22828604</v>
      </c>
      <c r="C6410" s="18" t="n">
        <v>2307081.85974421</v>
      </c>
      <c r="D6410" s="0" t="n">
        <v>1</v>
      </c>
    </row>
    <row r="6411" customFormat="false" ht="15" hidden="false" customHeight="false" outlineLevel="0" collapsed="false">
      <c r="A6411" s="0" t="n">
        <v>6410</v>
      </c>
      <c r="B6411" s="18" t="n">
        <v>1046951.20850855</v>
      </c>
      <c r="C6411" s="18" t="n">
        <v>147982.613012217</v>
      </c>
      <c r="D6411" s="0" t="n">
        <v>1</v>
      </c>
    </row>
    <row r="6412" customFormat="false" ht="15" hidden="false" customHeight="false" outlineLevel="0" collapsed="false">
      <c r="A6412" s="0" t="n">
        <v>6411</v>
      </c>
      <c r="B6412" s="18" t="n">
        <v>904127.5259115</v>
      </c>
      <c r="C6412" s="18" t="n">
        <v>0</v>
      </c>
      <c r="D6412" s="0" t="n">
        <v>0</v>
      </c>
      <c r="E6412" s="19" t="n">
        <v>37.8333333333333</v>
      </c>
    </row>
    <row r="6413" customFormat="false" ht="15" hidden="false" customHeight="false" outlineLevel="0" collapsed="false">
      <c r="A6413" s="0" t="n">
        <v>6412</v>
      </c>
      <c r="B6413" s="18" t="n">
        <v>501219.439127297</v>
      </c>
      <c r="C6413" s="18" t="n">
        <v>0</v>
      </c>
      <c r="D6413" s="0" t="n">
        <v>0</v>
      </c>
      <c r="E6413" s="19" t="n">
        <v>33.9166666666667</v>
      </c>
    </row>
    <row r="6414" customFormat="false" ht="15" hidden="false" customHeight="false" outlineLevel="0" collapsed="false">
      <c r="A6414" s="0" t="n">
        <v>6413</v>
      </c>
      <c r="B6414" s="18" t="n">
        <v>732812.770382194</v>
      </c>
      <c r="C6414" s="18" t="n">
        <v>0</v>
      </c>
      <c r="D6414" s="0" t="n">
        <v>0</v>
      </c>
      <c r="E6414" s="19" t="n">
        <v>43.0833333333333</v>
      </c>
    </row>
    <row r="6415" customFormat="false" ht="15" hidden="false" customHeight="false" outlineLevel="0" collapsed="false">
      <c r="A6415" s="0" t="n">
        <v>6414</v>
      </c>
      <c r="B6415" s="18" t="n">
        <v>337290.861410755</v>
      </c>
      <c r="C6415" s="18" t="n">
        <v>0</v>
      </c>
      <c r="D6415" s="0" t="n">
        <v>0</v>
      </c>
      <c r="E6415" s="19" t="n">
        <v>29.9166666666667</v>
      </c>
    </row>
    <row r="6416" customFormat="false" ht="15" hidden="false" customHeight="false" outlineLevel="0" collapsed="false">
      <c r="A6416" s="0" t="n">
        <v>6415</v>
      </c>
      <c r="B6416" s="18" t="n">
        <v>295691.242414933</v>
      </c>
      <c r="C6416" s="18" t="n">
        <v>0</v>
      </c>
      <c r="D6416" s="0" t="n">
        <v>0</v>
      </c>
      <c r="E6416" s="19" t="n">
        <v>30.4166666666667</v>
      </c>
    </row>
    <row r="6417" customFormat="false" ht="15" hidden="false" customHeight="false" outlineLevel="0" collapsed="false">
      <c r="A6417" s="0" t="n">
        <v>6416</v>
      </c>
      <c r="B6417" s="18" t="n">
        <v>1962656.93367899</v>
      </c>
      <c r="C6417" s="18" t="n">
        <v>11180545.5963565</v>
      </c>
      <c r="D6417" s="0" t="n">
        <v>1</v>
      </c>
    </row>
    <row r="6418" customFormat="false" ht="15" hidden="false" customHeight="false" outlineLevel="0" collapsed="false">
      <c r="A6418" s="0" t="n">
        <v>6417</v>
      </c>
      <c r="B6418" s="18" t="n">
        <v>658102.050459465</v>
      </c>
      <c r="C6418" s="18" t="n">
        <v>0</v>
      </c>
      <c r="D6418" s="0" t="n">
        <v>0</v>
      </c>
      <c r="E6418" s="19" t="n">
        <v>40.0833333333333</v>
      </c>
    </row>
    <row r="6419" customFormat="false" ht="15" hidden="false" customHeight="false" outlineLevel="0" collapsed="false">
      <c r="A6419" s="0" t="n">
        <v>6418</v>
      </c>
      <c r="B6419" s="18" t="n">
        <v>1487716.59505339</v>
      </c>
      <c r="C6419" s="18" t="n">
        <v>0</v>
      </c>
      <c r="D6419" s="0" t="n">
        <v>0</v>
      </c>
      <c r="E6419" s="19" t="n">
        <v>41.25</v>
      </c>
    </row>
    <row r="6420" customFormat="false" ht="15" hidden="false" customHeight="false" outlineLevel="0" collapsed="false">
      <c r="A6420" s="0" t="n">
        <v>6419</v>
      </c>
      <c r="B6420" s="18" t="n">
        <v>2015318.25998434</v>
      </c>
      <c r="C6420" s="18" t="n">
        <v>15454529.7153771</v>
      </c>
      <c r="D6420" s="0" t="n">
        <v>1</v>
      </c>
    </row>
    <row r="6421" customFormat="false" ht="15" hidden="false" customHeight="false" outlineLevel="0" collapsed="false">
      <c r="A6421" s="0" t="n">
        <v>6420</v>
      </c>
      <c r="B6421" s="18" t="n">
        <v>555725.104685141</v>
      </c>
      <c r="C6421" s="18" t="n">
        <v>0</v>
      </c>
      <c r="D6421" s="0" t="n">
        <v>0</v>
      </c>
      <c r="E6421" s="19" t="n">
        <v>35.3333333333333</v>
      </c>
    </row>
    <row r="6422" customFormat="false" ht="15" hidden="false" customHeight="false" outlineLevel="0" collapsed="false">
      <c r="A6422" s="0" t="n">
        <v>6421</v>
      </c>
      <c r="B6422" s="18" t="n">
        <v>753772.840846254</v>
      </c>
      <c r="C6422" s="18" t="n">
        <v>0</v>
      </c>
      <c r="D6422" s="0" t="n">
        <v>0</v>
      </c>
      <c r="E6422" s="19" t="n">
        <v>34.4166666666667</v>
      </c>
    </row>
    <row r="6423" customFormat="false" ht="15" hidden="false" customHeight="false" outlineLevel="0" collapsed="false">
      <c r="A6423" s="0" t="n">
        <v>6422</v>
      </c>
      <c r="B6423" s="18" t="n">
        <v>692711.84013901</v>
      </c>
      <c r="C6423" s="18" t="n">
        <v>0</v>
      </c>
      <c r="D6423" s="0" t="n">
        <v>0</v>
      </c>
      <c r="E6423" s="19" t="n">
        <v>34.6666666666667</v>
      </c>
    </row>
    <row r="6424" customFormat="false" ht="15" hidden="false" customHeight="false" outlineLevel="0" collapsed="false">
      <c r="A6424" s="0" t="n">
        <v>6423</v>
      </c>
      <c r="B6424" s="18" t="n">
        <v>502342.047380189</v>
      </c>
      <c r="C6424" s="18" t="n">
        <v>0</v>
      </c>
      <c r="D6424" s="0" t="n">
        <v>0</v>
      </c>
      <c r="E6424" s="19" t="n">
        <v>31.9166666666667</v>
      </c>
    </row>
    <row r="6425" customFormat="false" ht="15" hidden="false" customHeight="false" outlineLevel="0" collapsed="false">
      <c r="A6425" s="0" t="n">
        <v>6424</v>
      </c>
      <c r="B6425" s="18" t="n">
        <v>520964.901139722</v>
      </c>
      <c r="C6425" s="18" t="n">
        <v>0</v>
      </c>
      <c r="D6425" s="0" t="n">
        <v>0</v>
      </c>
      <c r="E6425" s="19" t="n">
        <v>34.8333333333333</v>
      </c>
    </row>
    <row r="6426" customFormat="false" ht="15" hidden="false" customHeight="false" outlineLevel="0" collapsed="false">
      <c r="A6426" s="0" t="n">
        <v>6425</v>
      </c>
      <c r="B6426" s="18" t="n">
        <v>1324738.69280616</v>
      </c>
      <c r="C6426" s="18" t="n">
        <v>712923.634567358</v>
      </c>
      <c r="D6426" s="0" t="n">
        <v>1</v>
      </c>
    </row>
    <row r="6427" customFormat="false" ht="15" hidden="false" customHeight="false" outlineLevel="0" collapsed="false">
      <c r="A6427" s="0" t="n">
        <v>6426</v>
      </c>
      <c r="B6427" s="18" t="n">
        <v>1620719.81525688</v>
      </c>
      <c r="C6427" s="18" t="n">
        <v>10229912.2033342</v>
      </c>
      <c r="D6427" s="0" t="n">
        <v>1</v>
      </c>
    </row>
    <row r="6428" customFormat="false" ht="15" hidden="false" customHeight="false" outlineLevel="0" collapsed="false">
      <c r="A6428" s="0" t="n">
        <v>6427</v>
      </c>
      <c r="B6428" s="18" t="n">
        <v>1080149.37434779</v>
      </c>
      <c r="C6428" s="18" t="n">
        <v>0</v>
      </c>
      <c r="D6428" s="0" t="n">
        <v>0</v>
      </c>
      <c r="E6428" s="19" t="n">
        <v>40.5833333333333</v>
      </c>
    </row>
    <row r="6429" customFormat="false" ht="15" hidden="false" customHeight="false" outlineLevel="0" collapsed="false">
      <c r="A6429" s="0" t="n">
        <v>6428</v>
      </c>
      <c r="B6429" s="18" t="n">
        <v>1680917.31692785</v>
      </c>
      <c r="C6429" s="18" t="n">
        <v>11023738.3841449</v>
      </c>
      <c r="D6429" s="0" t="n">
        <v>1</v>
      </c>
    </row>
    <row r="6430" customFormat="false" ht="15" hidden="false" customHeight="false" outlineLevel="0" collapsed="false">
      <c r="A6430" s="0" t="n">
        <v>6429</v>
      </c>
      <c r="B6430" s="18" t="n">
        <v>2058074.82059105</v>
      </c>
      <c r="C6430" s="18" t="n">
        <v>1602052.72376584</v>
      </c>
      <c r="D6430" s="0" t="n">
        <v>1</v>
      </c>
    </row>
    <row r="6431" customFormat="false" ht="15" hidden="false" customHeight="false" outlineLevel="0" collapsed="false">
      <c r="A6431" s="0" t="n">
        <v>6430</v>
      </c>
      <c r="B6431" s="18" t="n">
        <v>1776880.89264449</v>
      </c>
      <c r="C6431" s="18" t="n">
        <v>11504516.3170522</v>
      </c>
      <c r="D6431" s="0" t="n">
        <v>1</v>
      </c>
    </row>
    <row r="6432" customFormat="false" ht="15" hidden="false" customHeight="false" outlineLevel="0" collapsed="false">
      <c r="A6432" s="0" t="n">
        <v>6431</v>
      </c>
      <c r="B6432" s="18" t="n">
        <v>1523886.13732854</v>
      </c>
      <c r="C6432" s="18" t="n">
        <v>5148033.07787696</v>
      </c>
      <c r="D6432" s="0" t="n">
        <v>1</v>
      </c>
    </row>
    <row r="6433" customFormat="false" ht="15" hidden="false" customHeight="false" outlineLevel="0" collapsed="false">
      <c r="A6433" s="0" t="n">
        <v>6432</v>
      </c>
      <c r="B6433" s="18" t="n">
        <v>795632.292995927</v>
      </c>
      <c r="C6433" s="18" t="n">
        <v>0</v>
      </c>
      <c r="D6433" s="0" t="n">
        <v>0</v>
      </c>
      <c r="E6433" s="19" t="n">
        <v>38.8333333333333</v>
      </c>
    </row>
    <row r="6434" customFormat="false" ht="15" hidden="false" customHeight="false" outlineLevel="0" collapsed="false">
      <c r="A6434" s="0" t="n">
        <v>6433</v>
      </c>
      <c r="B6434" s="18" t="n">
        <v>1219063.94912757</v>
      </c>
      <c r="C6434" s="18" t="n">
        <v>0</v>
      </c>
      <c r="D6434" s="0" t="n">
        <v>0</v>
      </c>
      <c r="E6434" s="19" t="n">
        <v>50.75</v>
      </c>
    </row>
    <row r="6435" customFormat="false" ht="15" hidden="false" customHeight="false" outlineLevel="0" collapsed="false">
      <c r="A6435" s="0" t="n">
        <v>6434</v>
      </c>
      <c r="B6435" s="18" t="n">
        <v>4599090.88590121</v>
      </c>
      <c r="C6435" s="18" t="n">
        <v>13421745.6075363</v>
      </c>
      <c r="D6435" s="0" t="n">
        <v>1</v>
      </c>
    </row>
    <row r="6436" customFormat="false" ht="15" hidden="false" customHeight="false" outlineLevel="0" collapsed="false">
      <c r="A6436" s="0" t="n">
        <v>6435</v>
      </c>
      <c r="B6436" s="18" t="n">
        <v>1120459.44666385</v>
      </c>
      <c r="C6436" s="18" t="n">
        <v>0</v>
      </c>
      <c r="D6436" s="0" t="n">
        <v>0</v>
      </c>
      <c r="E6436" s="19" t="n">
        <v>47.4166666666667</v>
      </c>
    </row>
    <row r="6437" customFormat="false" ht="15" hidden="false" customHeight="false" outlineLevel="0" collapsed="false">
      <c r="A6437" s="0" t="n">
        <v>6436</v>
      </c>
      <c r="B6437" s="18" t="n">
        <v>1133670.80848406</v>
      </c>
      <c r="C6437" s="18" t="n">
        <v>0</v>
      </c>
      <c r="D6437" s="0" t="n">
        <v>0</v>
      </c>
      <c r="E6437" s="19" t="n">
        <v>43.8333333333333</v>
      </c>
    </row>
    <row r="6438" customFormat="false" ht="15" hidden="false" customHeight="false" outlineLevel="0" collapsed="false">
      <c r="A6438" s="0" t="n">
        <v>6437</v>
      </c>
      <c r="B6438" s="18" t="n">
        <v>411350.318786119</v>
      </c>
      <c r="C6438" s="18" t="n">
        <v>0</v>
      </c>
      <c r="D6438" s="0" t="n">
        <v>0</v>
      </c>
      <c r="E6438" s="19" t="n">
        <v>34.25</v>
      </c>
    </row>
    <row r="6439" customFormat="false" ht="15" hidden="false" customHeight="false" outlineLevel="0" collapsed="false">
      <c r="A6439" s="0" t="n">
        <v>6438</v>
      </c>
      <c r="B6439" s="18" t="n">
        <v>1675049.30764372</v>
      </c>
      <c r="C6439" s="18" t="n">
        <v>1000640.25184869</v>
      </c>
      <c r="D6439" s="0" t="n">
        <v>1</v>
      </c>
    </row>
    <row r="6440" customFormat="false" ht="15" hidden="false" customHeight="false" outlineLevel="0" collapsed="false">
      <c r="A6440" s="0" t="n">
        <v>6439</v>
      </c>
      <c r="B6440" s="18" t="n">
        <v>906087.250500214</v>
      </c>
      <c r="C6440" s="18" t="n">
        <v>0</v>
      </c>
      <c r="D6440" s="0" t="n">
        <v>0</v>
      </c>
      <c r="E6440" s="19" t="n">
        <v>36.6666666666667</v>
      </c>
    </row>
    <row r="6441" customFormat="false" ht="15" hidden="false" customHeight="false" outlineLevel="0" collapsed="false">
      <c r="A6441" s="0" t="n">
        <v>6440</v>
      </c>
      <c r="B6441" s="18" t="n">
        <v>1284055.50900185</v>
      </c>
      <c r="C6441" s="18" t="n">
        <v>1772217.59791225</v>
      </c>
      <c r="D6441" s="0" t="n">
        <v>1</v>
      </c>
    </row>
    <row r="6442" customFormat="false" ht="15" hidden="false" customHeight="false" outlineLevel="0" collapsed="false">
      <c r="A6442" s="0" t="n">
        <v>6441</v>
      </c>
      <c r="B6442" s="18" t="n">
        <v>1135211.43057714</v>
      </c>
      <c r="C6442" s="18" t="n">
        <v>0</v>
      </c>
      <c r="D6442" s="0" t="n">
        <v>0</v>
      </c>
      <c r="E6442" s="19" t="n">
        <v>51.3333333333333</v>
      </c>
    </row>
    <row r="6443" customFormat="false" ht="15" hidden="false" customHeight="false" outlineLevel="0" collapsed="false">
      <c r="A6443" s="0" t="n">
        <v>6442</v>
      </c>
      <c r="B6443" s="18" t="n">
        <v>386647.487087117</v>
      </c>
      <c r="C6443" s="18" t="n">
        <v>0</v>
      </c>
      <c r="D6443" s="0" t="n">
        <v>0</v>
      </c>
      <c r="E6443" s="19" t="n">
        <v>32</v>
      </c>
    </row>
    <row r="6444" customFormat="false" ht="15" hidden="false" customHeight="false" outlineLevel="0" collapsed="false">
      <c r="A6444" s="0" t="n">
        <v>6443</v>
      </c>
      <c r="B6444" s="18" t="n">
        <v>564871.221989773</v>
      </c>
      <c r="C6444" s="18" t="n">
        <v>0</v>
      </c>
      <c r="D6444" s="0" t="n">
        <v>0</v>
      </c>
      <c r="E6444" s="19" t="n">
        <v>32.1666666666667</v>
      </c>
    </row>
    <row r="6445" customFormat="false" ht="15" hidden="false" customHeight="false" outlineLevel="0" collapsed="false">
      <c r="A6445" s="0" t="n">
        <v>6444</v>
      </c>
      <c r="B6445" s="18" t="n">
        <v>1431130.51749599</v>
      </c>
      <c r="C6445" s="18" t="n">
        <v>1027915.40101814</v>
      </c>
      <c r="D6445" s="0" t="n">
        <v>1</v>
      </c>
    </row>
    <row r="6446" customFormat="false" ht="15" hidden="false" customHeight="false" outlineLevel="0" collapsed="false">
      <c r="A6446" s="0" t="n">
        <v>6445</v>
      </c>
      <c r="B6446" s="18" t="n">
        <v>853007.008071796</v>
      </c>
      <c r="C6446" s="18" t="n">
        <v>1901908.00738703</v>
      </c>
      <c r="D6446" s="0" t="n">
        <v>1</v>
      </c>
    </row>
    <row r="6447" customFormat="false" ht="15" hidden="false" customHeight="false" outlineLevel="0" collapsed="false">
      <c r="A6447" s="0" t="n">
        <v>6446</v>
      </c>
      <c r="B6447" s="18" t="n">
        <v>373924.859887984</v>
      </c>
      <c r="C6447" s="18" t="n">
        <v>0</v>
      </c>
      <c r="D6447" s="0" t="n">
        <v>0</v>
      </c>
      <c r="E6447" s="19" t="n">
        <v>34.5833333333333</v>
      </c>
    </row>
    <row r="6448" customFormat="false" ht="15" hidden="false" customHeight="false" outlineLevel="0" collapsed="false">
      <c r="A6448" s="0" t="n">
        <v>6447</v>
      </c>
      <c r="B6448" s="18" t="n">
        <v>919245.461164702</v>
      </c>
      <c r="C6448" s="18" t="n">
        <v>0</v>
      </c>
      <c r="D6448" s="0" t="n">
        <v>0</v>
      </c>
      <c r="E6448" s="19" t="n">
        <v>42.75</v>
      </c>
    </row>
    <row r="6449" customFormat="false" ht="15" hidden="false" customHeight="false" outlineLevel="0" collapsed="false">
      <c r="A6449" s="0" t="n">
        <v>6448</v>
      </c>
      <c r="B6449" s="18" t="n">
        <v>1493979.1511395</v>
      </c>
      <c r="C6449" s="18" t="n">
        <v>0</v>
      </c>
      <c r="D6449" s="0" t="n">
        <v>0</v>
      </c>
      <c r="E6449" s="19" t="n">
        <v>43.4166666666667</v>
      </c>
    </row>
    <row r="6450" customFormat="false" ht="15" hidden="false" customHeight="false" outlineLevel="0" collapsed="false">
      <c r="A6450" s="0" t="n">
        <v>6449</v>
      </c>
      <c r="B6450" s="18" t="n">
        <v>591998.716921125</v>
      </c>
      <c r="C6450" s="18" t="n">
        <v>0</v>
      </c>
      <c r="D6450" s="0" t="n">
        <v>0</v>
      </c>
      <c r="E6450" s="19" t="n">
        <v>39</v>
      </c>
    </row>
    <row r="6451" customFormat="false" ht="15" hidden="false" customHeight="false" outlineLevel="0" collapsed="false">
      <c r="A6451" s="0" t="n">
        <v>6450</v>
      </c>
      <c r="B6451" s="18" t="n">
        <v>509695.720303914</v>
      </c>
      <c r="C6451" s="18" t="n">
        <v>0</v>
      </c>
      <c r="D6451" s="0" t="n">
        <v>0</v>
      </c>
      <c r="E6451" s="19" t="n">
        <v>50.25</v>
      </c>
    </row>
    <row r="6452" customFormat="false" ht="15" hidden="false" customHeight="false" outlineLevel="0" collapsed="false">
      <c r="A6452" s="0" t="n">
        <v>6451</v>
      </c>
      <c r="B6452" s="18" t="n">
        <v>269703.341080289</v>
      </c>
      <c r="C6452" s="18" t="n">
        <v>0</v>
      </c>
      <c r="D6452" s="0" t="n">
        <v>0</v>
      </c>
      <c r="E6452" s="19" t="n">
        <v>28.9166666666667</v>
      </c>
    </row>
    <row r="6453" customFormat="false" ht="15" hidden="false" customHeight="false" outlineLevel="0" collapsed="false">
      <c r="A6453" s="0" t="n">
        <v>6452</v>
      </c>
      <c r="B6453" s="18" t="n">
        <v>335892.055118002</v>
      </c>
      <c r="C6453" s="18" t="n">
        <v>0</v>
      </c>
      <c r="D6453" s="0" t="n">
        <v>0</v>
      </c>
      <c r="E6453" s="19" t="n">
        <v>30.1666666666667</v>
      </c>
    </row>
    <row r="6454" customFormat="false" ht="15" hidden="false" customHeight="false" outlineLevel="0" collapsed="false">
      <c r="A6454" s="0" t="n">
        <v>6453</v>
      </c>
      <c r="B6454" s="18" t="n">
        <v>756561.341396431</v>
      </c>
      <c r="C6454" s="18" t="n">
        <v>0</v>
      </c>
      <c r="D6454" s="0" t="n">
        <v>0</v>
      </c>
      <c r="E6454" s="19" t="n">
        <v>46.8333333333333</v>
      </c>
    </row>
    <row r="6455" customFormat="false" ht="15" hidden="false" customHeight="false" outlineLevel="0" collapsed="false">
      <c r="A6455" s="0" t="n">
        <v>6454</v>
      </c>
      <c r="B6455" s="18" t="n">
        <v>2371126.9616618</v>
      </c>
      <c r="C6455" s="18" t="n">
        <v>5552647.05779417</v>
      </c>
      <c r="D6455" s="0" t="n">
        <v>1</v>
      </c>
    </row>
    <row r="6456" customFormat="false" ht="15" hidden="false" customHeight="false" outlineLevel="0" collapsed="false">
      <c r="A6456" s="0" t="n">
        <v>6455</v>
      </c>
      <c r="B6456" s="18" t="n">
        <v>1494407.23261008</v>
      </c>
      <c r="C6456" s="18" t="n">
        <v>0</v>
      </c>
      <c r="D6456" s="0" t="n">
        <v>0</v>
      </c>
      <c r="E6456" s="19" t="n">
        <v>53.0833333333333</v>
      </c>
    </row>
    <row r="6457" customFormat="false" ht="15" hidden="false" customHeight="false" outlineLevel="0" collapsed="false">
      <c r="A6457" s="0" t="n">
        <v>6456</v>
      </c>
      <c r="B6457" s="18" t="n">
        <v>296077.663200743</v>
      </c>
      <c r="C6457" s="18" t="n">
        <v>0</v>
      </c>
      <c r="D6457" s="0" t="n">
        <v>0</v>
      </c>
      <c r="E6457" s="19" t="n">
        <v>34.4166666666667</v>
      </c>
    </row>
    <row r="6458" customFormat="false" ht="15" hidden="false" customHeight="false" outlineLevel="0" collapsed="false">
      <c r="A6458" s="0" t="n">
        <v>6457</v>
      </c>
      <c r="B6458" s="18" t="n">
        <v>581912.756535679</v>
      </c>
      <c r="C6458" s="18" t="n">
        <v>0</v>
      </c>
      <c r="D6458" s="0" t="n">
        <v>0</v>
      </c>
      <c r="E6458" s="19" t="n">
        <v>35.6666666666667</v>
      </c>
    </row>
    <row r="6459" customFormat="false" ht="15" hidden="false" customHeight="false" outlineLevel="0" collapsed="false">
      <c r="A6459" s="0" t="n">
        <v>6458</v>
      </c>
      <c r="B6459" s="18" t="n">
        <v>367856.22137384</v>
      </c>
      <c r="C6459" s="18" t="n">
        <v>0</v>
      </c>
      <c r="D6459" s="0" t="n">
        <v>0</v>
      </c>
      <c r="E6459" s="19" t="n">
        <v>30.3333333333333</v>
      </c>
    </row>
    <row r="6460" customFormat="false" ht="15" hidden="false" customHeight="false" outlineLevel="0" collapsed="false">
      <c r="A6460" s="0" t="n">
        <v>6459</v>
      </c>
      <c r="B6460" s="18" t="n">
        <v>1692136.42156739</v>
      </c>
      <c r="C6460" s="18" t="n">
        <v>0</v>
      </c>
      <c r="D6460" s="0" t="n">
        <v>0</v>
      </c>
      <c r="E6460" s="19" t="n">
        <v>53</v>
      </c>
    </row>
    <row r="6461" customFormat="false" ht="15" hidden="false" customHeight="false" outlineLevel="0" collapsed="false">
      <c r="A6461" s="0" t="n">
        <v>6460</v>
      </c>
      <c r="B6461" s="18" t="n">
        <v>733356.374172379</v>
      </c>
      <c r="C6461" s="18" t="n">
        <v>0</v>
      </c>
      <c r="D6461" s="0" t="n">
        <v>0</v>
      </c>
      <c r="E6461" s="19" t="n">
        <v>38.25</v>
      </c>
    </row>
    <row r="6462" customFormat="false" ht="15" hidden="false" customHeight="false" outlineLevel="0" collapsed="false">
      <c r="A6462" s="0" t="n">
        <v>6461</v>
      </c>
      <c r="B6462" s="18" t="n">
        <v>385697.02184747</v>
      </c>
      <c r="C6462" s="18" t="n">
        <v>0</v>
      </c>
      <c r="D6462" s="0" t="n">
        <v>0</v>
      </c>
      <c r="E6462" s="19" t="n">
        <v>30.5833333333333</v>
      </c>
    </row>
    <row r="6463" customFormat="false" ht="15" hidden="false" customHeight="false" outlineLevel="0" collapsed="false">
      <c r="A6463" s="0" t="n">
        <v>6462</v>
      </c>
      <c r="B6463" s="18" t="n">
        <v>490226.47030702</v>
      </c>
      <c r="C6463" s="18" t="n">
        <v>0</v>
      </c>
      <c r="D6463" s="0" t="n">
        <v>0</v>
      </c>
      <c r="E6463" s="19" t="n">
        <v>35.25</v>
      </c>
    </row>
    <row r="6464" customFormat="false" ht="15" hidden="false" customHeight="false" outlineLevel="0" collapsed="false">
      <c r="A6464" s="0" t="n">
        <v>6463</v>
      </c>
      <c r="B6464" s="18" t="n">
        <v>634292.945900403</v>
      </c>
      <c r="C6464" s="18" t="n">
        <v>0</v>
      </c>
      <c r="D6464" s="0" t="n">
        <v>0</v>
      </c>
      <c r="E6464" s="19" t="n">
        <v>34.9166666666667</v>
      </c>
    </row>
    <row r="6465" customFormat="false" ht="15" hidden="false" customHeight="false" outlineLevel="0" collapsed="false">
      <c r="A6465" s="0" t="n">
        <v>6464</v>
      </c>
      <c r="B6465" s="18" t="n">
        <v>563948.191689135</v>
      </c>
      <c r="C6465" s="18" t="n">
        <v>8256530.55910225</v>
      </c>
      <c r="D6465" s="0" t="n">
        <v>1</v>
      </c>
    </row>
    <row r="6466" customFormat="false" ht="15" hidden="false" customHeight="false" outlineLevel="0" collapsed="false">
      <c r="A6466" s="0" t="n">
        <v>6465</v>
      </c>
      <c r="B6466" s="18" t="n">
        <v>312873.464106761</v>
      </c>
      <c r="C6466" s="18" t="n">
        <v>0</v>
      </c>
      <c r="D6466" s="0" t="n">
        <v>0</v>
      </c>
      <c r="E6466" s="19" t="n">
        <v>30.9166666666667</v>
      </c>
    </row>
    <row r="6467" customFormat="false" ht="15" hidden="false" customHeight="false" outlineLevel="0" collapsed="false">
      <c r="A6467" s="0" t="n">
        <v>6466</v>
      </c>
      <c r="B6467" s="18" t="n">
        <v>1210053.95214819</v>
      </c>
      <c r="C6467" s="18" t="n">
        <v>0</v>
      </c>
      <c r="D6467" s="0" t="n">
        <v>0</v>
      </c>
      <c r="E6467" s="19" t="n">
        <v>50.5833333333333</v>
      </c>
    </row>
    <row r="6468" customFormat="false" ht="15" hidden="false" customHeight="false" outlineLevel="0" collapsed="false">
      <c r="A6468" s="0" t="n">
        <v>6467</v>
      </c>
      <c r="B6468" s="18" t="n">
        <v>775548.292540319</v>
      </c>
      <c r="C6468" s="18" t="n">
        <v>0</v>
      </c>
      <c r="D6468" s="0" t="n">
        <v>0</v>
      </c>
      <c r="E6468" s="19" t="n">
        <v>49</v>
      </c>
    </row>
    <row r="6469" customFormat="false" ht="15" hidden="false" customHeight="false" outlineLevel="0" collapsed="false">
      <c r="A6469" s="0" t="n">
        <v>6468</v>
      </c>
      <c r="B6469" s="18" t="n">
        <v>607839.712319232</v>
      </c>
      <c r="C6469" s="18" t="n">
        <v>0</v>
      </c>
      <c r="D6469" s="0" t="n">
        <v>0</v>
      </c>
      <c r="E6469" s="19" t="n">
        <v>42.8333333333333</v>
      </c>
    </row>
    <row r="6470" customFormat="false" ht="15" hidden="false" customHeight="false" outlineLevel="0" collapsed="false">
      <c r="A6470" s="0" t="n">
        <v>6469</v>
      </c>
      <c r="B6470" s="18" t="n">
        <v>3275440.62684509</v>
      </c>
      <c r="C6470" s="18" t="n">
        <v>11866801.8844495</v>
      </c>
      <c r="D6470" s="0" t="n">
        <v>1</v>
      </c>
    </row>
    <row r="6471" customFormat="false" ht="15" hidden="false" customHeight="false" outlineLevel="0" collapsed="false">
      <c r="A6471" s="0" t="n">
        <v>6470</v>
      </c>
      <c r="B6471" s="18" t="n">
        <v>1358247.74120763</v>
      </c>
      <c r="C6471" s="18" t="n">
        <v>5526164.72893372</v>
      </c>
      <c r="D6471" s="0" t="n">
        <v>1</v>
      </c>
    </row>
    <row r="6472" customFormat="false" ht="15" hidden="false" customHeight="false" outlineLevel="0" collapsed="false">
      <c r="A6472" s="0" t="n">
        <v>6471</v>
      </c>
      <c r="B6472" s="18" t="n">
        <v>1363663.05797307</v>
      </c>
      <c r="C6472" s="18" t="n">
        <v>133411.056638269</v>
      </c>
      <c r="D6472" s="0" t="n">
        <v>1</v>
      </c>
    </row>
    <row r="6473" customFormat="false" ht="15" hidden="false" customHeight="false" outlineLevel="0" collapsed="false">
      <c r="A6473" s="0" t="n">
        <v>6472</v>
      </c>
      <c r="B6473" s="18" t="n">
        <v>617366.93755172</v>
      </c>
      <c r="C6473" s="18" t="n">
        <v>0</v>
      </c>
      <c r="D6473" s="0" t="n">
        <v>0</v>
      </c>
      <c r="E6473" s="19" t="n">
        <v>42</v>
      </c>
    </row>
    <row r="6474" customFormat="false" ht="15" hidden="false" customHeight="false" outlineLevel="0" collapsed="false">
      <c r="A6474" s="0" t="n">
        <v>6473</v>
      </c>
      <c r="B6474" s="18" t="n">
        <v>662038.336765878</v>
      </c>
      <c r="C6474" s="18" t="n">
        <v>0</v>
      </c>
      <c r="D6474" s="0" t="n">
        <v>0</v>
      </c>
      <c r="E6474" s="19" t="n">
        <v>37.75</v>
      </c>
    </row>
    <row r="6475" customFormat="false" ht="15" hidden="false" customHeight="false" outlineLevel="0" collapsed="false">
      <c r="A6475" s="0" t="n">
        <v>6474</v>
      </c>
      <c r="B6475" s="18" t="n">
        <v>1041534.01125575</v>
      </c>
      <c r="C6475" s="18" t="n">
        <v>0</v>
      </c>
      <c r="D6475" s="0" t="n">
        <v>0</v>
      </c>
      <c r="E6475" s="19" t="n">
        <v>43.9166666666667</v>
      </c>
    </row>
    <row r="6476" customFormat="false" ht="15" hidden="false" customHeight="false" outlineLevel="0" collapsed="false">
      <c r="A6476" s="0" t="n">
        <v>6475</v>
      </c>
      <c r="B6476" s="18" t="n">
        <v>1724155.71360112</v>
      </c>
      <c r="C6476" s="18" t="n">
        <v>1089340.79068294</v>
      </c>
      <c r="D6476" s="0" t="n">
        <v>1</v>
      </c>
    </row>
    <row r="6477" customFormat="false" ht="15" hidden="false" customHeight="false" outlineLevel="0" collapsed="false">
      <c r="A6477" s="0" t="n">
        <v>6476</v>
      </c>
      <c r="B6477" s="18" t="n">
        <v>532756.051838625</v>
      </c>
      <c r="C6477" s="18" t="n">
        <v>0</v>
      </c>
      <c r="D6477" s="0" t="n">
        <v>0</v>
      </c>
      <c r="E6477" s="19" t="n">
        <v>37.25</v>
      </c>
    </row>
    <row r="6478" customFormat="false" ht="15" hidden="false" customHeight="false" outlineLevel="0" collapsed="false">
      <c r="A6478" s="0" t="n">
        <v>6477</v>
      </c>
      <c r="B6478" s="18" t="n">
        <v>891475.458647905</v>
      </c>
      <c r="C6478" s="18" t="n">
        <v>0</v>
      </c>
      <c r="D6478" s="0" t="n">
        <v>0</v>
      </c>
      <c r="E6478" s="19" t="n">
        <v>41.4166666666667</v>
      </c>
    </row>
    <row r="6479" customFormat="false" ht="15" hidden="false" customHeight="false" outlineLevel="0" collapsed="false">
      <c r="A6479" s="0" t="n">
        <v>6478</v>
      </c>
      <c r="B6479" s="18" t="n">
        <v>367636.822174779</v>
      </c>
      <c r="C6479" s="18" t="n">
        <v>0</v>
      </c>
      <c r="D6479" s="0" t="n">
        <v>0</v>
      </c>
      <c r="E6479" s="19" t="n">
        <v>31.75</v>
      </c>
    </row>
    <row r="6480" customFormat="false" ht="15" hidden="false" customHeight="false" outlineLevel="0" collapsed="false">
      <c r="A6480" s="0" t="n">
        <v>6479</v>
      </c>
      <c r="B6480" s="18" t="n">
        <v>599714.614957912</v>
      </c>
      <c r="C6480" s="18" t="n">
        <v>0</v>
      </c>
      <c r="D6480" s="0" t="n">
        <v>0</v>
      </c>
      <c r="E6480" s="19" t="n">
        <v>32.9166666666667</v>
      </c>
    </row>
    <row r="6481" customFormat="false" ht="15" hidden="false" customHeight="false" outlineLevel="0" collapsed="false">
      <c r="A6481" s="0" t="n">
        <v>6480</v>
      </c>
      <c r="B6481" s="18" t="n">
        <v>1039966.37400495</v>
      </c>
      <c r="C6481" s="18" t="n">
        <v>1783484.97223134</v>
      </c>
      <c r="D6481" s="0" t="n">
        <v>1</v>
      </c>
    </row>
    <row r="6482" customFormat="false" ht="15" hidden="false" customHeight="false" outlineLevel="0" collapsed="false">
      <c r="A6482" s="0" t="n">
        <v>6481</v>
      </c>
      <c r="B6482" s="18" t="n">
        <v>759885.37552951</v>
      </c>
      <c r="C6482" s="18" t="n">
        <v>0</v>
      </c>
      <c r="D6482" s="0" t="n">
        <v>0</v>
      </c>
      <c r="E6482" s="19" t="n">
        <v>37.75</v>
      </c>
    </row>
    <row r="6483" customFormat="false" ht="15" hidden="false" customHeight="false" outlineLevel="0" collapsed="false">
      <c r="A6483" s="0" t="n">
        <v>6482</v>
      </c>
      <c r="B6483" s="18" t="n">
        <v>489570.324845541</v>
      </c>
      <c r="C6483" s="18" t="n">
        <v>0</v>
      </c>
      <c r="D6483" s="0" t="n">
        <v>0</v>
      </c>
      <c r="E6483" s="19" t="n">
        <v>30.8333333333333</v>
      </c>
    </row>
    <row r="6484" customFormat="false" ht="15" hidden="false" customHeight="false" outlineLevel="0" collapsed="false">
      <c r="A6484" s="0" t="n">
        <v>6483</v>
      </c>
      <c r="B6484" s="18" t="n">
        <v>941539.75728948</v>
      </c>
      <c r="C6484" s="18" t="n">
        <v>432082.644313209</v>
      </c>
      <c r="D6484" s="0" t="n">
        <v>1</v>
      </c>
    </row>
    <row r="6485" customFormat="false" ht="15" hidden="false" customHeight="false" outlineLevel="0" collapsed="false">
      <c r="A6485" s="0" t="n">
        <v>6484</v>
      </c>
      <c r="B6485" s="18" t="n">
        <v>1595853.79879869</v>
      </c>
      <c r="C6485" s="18" t="n">
        <v>4140370.22024951</v>
      </c>
      <c r="D6485" s="0" t="n">
        <v>1</v>
      </c>
    </row>
    <row r="6486" customFormat="false" ht="15" hidden="false" customHeight="false" outlineLevel="0" collapsed="false">
      <c r="A6486" s="0" t="n">
        <v>6485</v>
      </c>
      <c r="B6486" s="18" t="n">
        <v>1183162.70506293</v>
      </c>
      <c r="C6486" s="18" t="n">
        <v>6259623.98704003</v>
      </c>
      <c r="D6486" s="0" t="n">
        <v>1</v>
      </c>
    </row>
    <row r="6487" customFormat="false" ht="15" hidden="false" customHeight="false" outlineLevel="0" collapsed="false">
      <c r="A6487" s="0" t="n">
        <v>6486</v>
      </c>
      <c r="B6487" s="18" t="n">
        <v>523576.589632</v>
      </c>
      <c r="C6487" s="18" t="n">
        <v>0</v>
      </c>
      <c r="D6487" s="0" t="n">
        <v>0</v>
      </c>
      <c r="E6487" s="19" t="n">
        <v>37.8333333333333</v>
      </c>
    </row>
    <row r="6488" customFormat="false" ht="15" hidden="false" customHeight="false" outlineLevel="0" collapsed="false">
      <c r="A6488" s="0" t="n">
        <v>6487</v>
      </c>
      <c r="B6488" s="18" t="n">
        <v>938126.947902653</v>
      </c>
      <c r="C6488" s="18" t="n">
        <v>987637.903238747</v>
      </c>
      <c r="D6488" s="0" t="n">
        <v>1</v>
      </c>
    </row>
    <row r="6489" customFormat="false" ht="15" hidden="false" customHeight="false" outlineLevel="0" collapsed="false">
      <c r="A6489" s="0" t="n">
        <v>6488</v>
      </c>
      <c r="B6489" s="18" t="n">
        <v>651247.80780873</v>
      </c>
      <c r="C6489" s="18" t="n">
        <v>0</v>
      </c>
      <c r="D6489" s="0" t="n">
        <v>0</v>
      </c>
      <c r="E6489" s="19" t="n">
        <v>36.8333333333333</v>
      </c>
    </row>
    <row r="6490" customFormat="false" ht="15" hidden="false" customHeight="false" outlineLevel="0" collapsed="false">
      <c r="A6490" s="0" t="n">
        <v>6489</v>
      </c>
      <c r="B6490" s="18" t="n">
        <v>929801.29462604</v>
      </c>
      <c r="C6490" s="18" t="n">
        <v>0</v>
      </c>
      <c r="D6490" s="0" t="n">
        <v>0</v>
      </c>
      <c r="E6490" s="19" t="n">
        <v>37.5833333333333</v>
      </c>
    </row>
    <row r="6491" customFormat="false" ht="15" hidden="false" customHeight="false" outlineLevel="0" collapsed="false">
      <c r="A6491" s="0" t="n">
        <v>6490</v>
      </c>
      <c r="B6491" s="18" t="n">
        <v>575392.962044802</v>
      </c>
      <c r="C6491" s="18" t="n">
        <v>0</v>
      </c>
      <c r="D6491" s="0" t="n">
        <v>0</v>
      </c>
      <c r="E6491" s="19" t="n">
        <v>36</v>
      </c>
    </row>
    <row r="6492" customFormat="false" ht="15" hidden="false" customHeight="false" outlineLevel="0" collapsed="false">
      <c r="A6492" s="0" t="n">
        <v>6491</v>
      </c>
      <c r="B6492" s="18" t="n">
        <v>582038.036179178</v>
      </c>
      <c r="C6492" s="18" t="n">
        <v>0</v>
      </c>
      <c r="D6492" s="0" t="n">
        <v>0</v>
      </c>
      <c r="E6492" s="19" t="n">
        <v>33.4166666666667</v>
      </c>
    </row>
    <row r="6493" customFormat="false" ht="15" hidden="false" customHeight="false" outlineLevel="0" collapsed="false">
      <c r="A6493" s="0" t="n">
        <v>6492</v>
      </c>
      <c r="B6493" s="18" t="n">
        <v>1780887.62734378</v>
      </c>
      <c r="C6493" s="18" t="n">
        <v>1132909.2658169</v>
      </c>
      <c r="D6493" s="0" t="n">
        <v>1</v>
      </c>
    </row>
    <row r="6494" customFormat="false" ht="15" hidden="false" customHeight="false" outlineLevel="0" collapsed="false">
      <c r="A6494" s="0" t="n">
        <v>6493</v>
      </c>
      <c r="B6494" s="18" t="n">
        <v>364141.218814175</v>
      </c>
      <c r="C6494" s="18" t="n">
        <v>0</v>
      </c>
      <c r="D6494" s="0" t="n">
        <v>0</v>
      </c>
      <c r="E6494" s="19" t="n">
        <v>30</v>
      </c>
    </row>
    <row r="6495" customFormat="false" ht="15" hidden="false" customHeight="false" outlineLevel="0" collapsed="false">
      <c r="A6495" s="0" t="n">
        <v>6494</v>
      </c>
      <c r="B6495" s="18" t="n">
        <v>638822.041097179</v>
      </c>
      <c r="C6495" s="18" t="n">
        <v>0</v>
      </c>
      <c r="D6495" s="0" t="n">
        <v>0</v>
      </c>
      <c r="E6495" s="19" t="n">
        <v>41.4166666666667</v>
      </c>
    </row>
    <row r="6496" customFormat="false" ht="15" hidden="false" customHeight="false" outlineLevel="0" collapsed="false">
      <c r="A6496" s="0" t="n">
        <v>6495</v>
      </c>
      <c r="B6496" s="18" t="n">
        <v>548822.217004896</v>
      </c>
      <c r="C6496" s="18" t="n">
        <v>0</v>
      </c>
      <c r="D6496" s="0" t="n">
        <v>0</v>
      </c>
      <c r="E6496" s="19" t="n">
        <v>32.9166666666667</v>
      </c>
    </row>
    <row r="6497" customFormat="false" ht="15" hidden="false" customHeight="false" outlineLevel="0" collapsed="false">
      <c r="A6497" s="0" t="n">
        <v>6496</v>
      </c>
      <c r="B6497" s="18" t="n">
        <v>1061580.54768551</v>
      </c>
      <c r="C6497" s="18" t="n">
        <v>0</v>
      </c>
      <c r="D6497" s="0" t="n">
        <v>0</v>
      </c>
      <c r="E6497" s="19" t="n">
        <v>45.0833333333333</v>
      </c>
    </row>
    <row r="6498" customFormat="false" ht="15" hidden="false" customHeight="false" outlineLevel="0" collapsed="false">
      <c r="A6498" s="0" t="n">
        <v>6497</v>
      </c>
      <c r="B6498" s="18" t="n">
        <v>1027186.74999738</v>
      </c>
      <c r="C6498" s="18" t="n">
        <v>42581.0010896155</v>
      </c>
      <c r="D6498" s="0" t="n">
        <v>1</v>
      </c>
    </row>
    <row r="6499" customFormat="false" ht="15" hidden="false" customHeight="false" outlineLevel="0" collapsed="false">
      <c r="A6499" s="0" t="n">
        <v>6498</v>
      </c>
      <c r="B6499" s="18" t="n">
        <v>491390.808741638</v>
      </c>
      <c r="C6499" s="18" t="n">
        <v>0</v>
      </c>
      <c r="D6499" s="0" t="n">
        <v>0</v>
      </c>
      <c r="E6499" s="19" t="n">
        <v>32.0833333333333</v>
      </c>
    </row>
    <row r="6500" customFormat="false" ht="15" hidden="false" customHeight="false" outlineLevel="0" collapsed="false">
      <c r="A6500" s="0" t="n">
        <v>6499</v>
      </c>
      <c r="B6500" s="18" t="n">
        <v>665442.385845746</v>
      </c>
      <c r="C6500" s="18" t="n">
        <v>19412478.0727694</v>
      </c>
      <c r="D6500" s="0" t="n">
        <v>1</v>
      </c>
    </row>
    <row r="6501" customFormat="false" ht="15" hidden="false" customHeight="false" outlineLevel="0" collapsed="false">
      <c r="A6501" s="0" t="n">
        <v>6500</v>
      </c>
      <c r="B6501" s="18" t="n">
        <v>567175.58330156</v>
      </c>
      <c r="C6501" s="18" t="n">
        <v>0</v>
      </c>
      <c r="D6501" s="0" t="n">
        <v>0</v>
      </c>
      <c r="E6501" s="19" t="n">
        <v>38.4166666666667</v>
      </c>
    </row>
    <row r="6502" customFormat="false" ht="15" hidden="false" customHeight="false" outlineLevel="0" collapsed="false">
      <c r="A6502" s="0" t="n">
        <v>6501</v>
      </c>
      <c r="B6502" s="18" t="n">
        <v>854429.307357139</v>
      </c>
      <c r="C6502" s="18" t="n">
        <v>0</v>
      </c>
      <c r="D6502" s="0" t="n">
        <v>0</v>
      </c>
      <c r="E6502" s="19" t="n">
        <v>35.8333333333333</v>
      </c>
    </row>
    <row r="6503" customFormat="false" ht="15" hidden="false" customHeight="false" outlineLevel="0" collapsed="false">
      <c r="A6503" s="0" t="n">
        <v>6502</v>
      </c>
      <c r="B6503" s="18" t="n">
        <v>1231268.19884772</v>
      </c>
      <c r="C6503" s="18" t="n">
        <v>0</v>
      </c>
      <c r="D6503" s="0" t="n">
        <v>0</v>
      </c>
      <c r="E6503" s="19" t="n">
        <v>41.3333333333333</v>
      </c>
    </row>
    <row r="6504" customFormat="false" ht="15" hidden="false" customHeight="false" outlineLevel="0" collapsed="false">
      <c r="A6504" s="0" t="n">
        <v>6503</v>
      </c>
      <c r="B6504" s="18" t="n">
        <v>863478.278416601</v>
      </c>
      <c r="C6504" s="18" t="n">
        <v>0</v>
      </c>
      <c r="D6504" s="0" t="n">
        <v>0</v>
      </c>
      <c r="E6504" s="19" t="n">
        <v>37.0833333333333</v>
      </c>
    </row>
    <row r="6505" customFormat="false" ht="15" hidden="false" customHeight="false" outlineLevel="0" collapsed="false">
      <c r="A6505" s="0" t="n">
        <v>6504</v>
      </c>
      <c r="B6505" s="18" t="n">
        <v>1800011.95019697</v>
      </c>
      <c r="C6505" s="18" t="n">
        <v>2739759.23891144</v>
      </c>
      <c r="D6505" s="0" t="n">
        <v>1</v>
      </c>
    </row>
    <row r="6506" customFormat="false" ht="15" hidden="false" customHeight="false" outlineLevel="0" collapsed="false">
      <c r="A6506" s="0" t="n">
        <v>6505</v>
      </c>
      <c r="B6506" s="18" t="n">
        <v>679769.605057988</v>
      </c>
      <c r="C6506" s="18" t="n">
        <v>0</v>
      </c>
      <c r="D6506" s="0" t="n">
        <v>0</v>
      </c>
      <c r="E6506" s="19" t="n">
        <v>45.5833333333333</v>
      </c>
    </row>
    <row r="6507" customFormat="false" ht="15" hidden="false" customHeight="false" outlineLevel="0" collapsed="false">
      <c r="A6507" s="0" t="n">
        <v>6506</v>
      </c>
      <c r="B6507" s="18" t="n">
        <v>1030551.70533209</v>
      </c>
      <c r="C6507" s="18" t="n">
        <v>0</v>
      </c>
      <c r="D6507" s="0" t="n">
        <v>0</v>
      </c>
      <c r="E6507" s="19" t="n">
        <v>50.75</v>
      </c>
    </row>
    <row r="6508" customFormat="false" ht="15" hidden="false" customHeight="false" outlineLevel="0" collapsed="false">
      <c r="A6508" s="0" t="n">
        <v>6507</v>
      </c>
      <c r="B6508" s="18" t="n">
        <v>743181.435740005</v>
      </c>
      <c r="C6508" s="18" t="n">
        <v>0</v>
      </c>
      <c r="D6508" s="0" t="n">
        <v>0</v>
      </c>
      <c r="E6508" s="19" t="n">
        <v>49.5833333333333</v>
      </c>
    </row>
    <row r="6509" customFormat="false" ht="15" hidden="false" customHeight="false" outlineLevel="0" collapsed="false">
      <c r="A6509" s="0" t="n">
        <v>6508</v>
      </c>
      <c r="B6509" s="18" t="n">
        <v>1224164.83771823</v>
      </c>
      <c r="C6509" s="18" t="n">
        <v>1275255.63928691</v>
      </c>
      <c r="D6509" s="0" t="n">
        <v>1</v>
      </c>
    </row>
    <row r="6510" customFormat="false" ht="15" hidden="false" customHeight="false" outlineLevel="0" collapsed="false">
      <c r="A6510" s="0" t="n">
        <v>6509</v>
      </c>
      <c r="B6510" s="18" t="n">
        <v>976074.266603769</v>
      </c>
      <c r="C6510" s="18" t="n">
        <v>0</v>
      </c>
      <c r="D6510" s="0" t="n">
        <v>0</v>
      </c>
      <c r="E6510" s="19" t="n">
        <v>41.6666666666667</v>
      </c>
    </row>
    <row r="6511" customFormat="false" ht="15" hidden="false" customHeight="false" outlineLevel="0" collapsed="false">
      <c r="A6511" s="0" t="n">
        <v>6510</v>
      </c>
      <c r="B6511" s="18" t="n">
        <v>1045406.86157537</v>
      </c>
      <c r="C6511" s="18" t="n">
        <v>0</v>
      </c>
      <c r="D6511" s="0" t="n">
        <v>0</v>
      </c>
      <c r="E6511" s="19" t="n">
        <v>33.5833333333333</v>
      </c>
    </row>
    <row r="6512" customFormat="false" ht="15" hidden="false" customHeight="false" outlineLevel="0" collapsed="false">
      <c r="A6512" s="0" t="n">
        <v>6511</v>
      </c>
      <c r="B6512" s="18" t="n">
        <v>1549261.86593171</v>
      </c>
      <c r="C6512" s="18" t="n">
        <v>278890.410187761</v>
      </c>
      <c r="D6512" s="0" t="n">
        <v>1</v>
      </c>
    </row>
    <row r="6513" customFormat="false" ht="15" hidden="false" customHeight="false" outlineLevel="0" collapsed="false">
      <c r="A6513" s="0" t="n">
        <v>6512</v>
      </c>
      <c r="B6513" s="18" t="n">
        <v>488195.050329895</v>
      </c>
      <c r="C6513" s="18" t="n">
        <v>0</v>
      </c>
      <c r="D6513" s="0" t="n">
        <v>0</v>
      </c>
      <c r="E6513" s="19" t="n">
        <v>34.4166666666667</v>
      </c>
    </row>
    <row r="6514" customFormat="false" ht="15" hidden="false" customHeight="false" outlineLevel="0" collapsed="false">
      <c r="A6514" s="0" t="n">
        <v>6513</v>
      </c>
      <c r="B6514" s="18" t="n">
        <v>711508.843713922</v>
      </c>
      <c r="C6514" s="18" t="n">
        <v>0</v>
      </c>
      <c r="D6514" s="0" t="n">
        <v>0</v>
      </c>
      <c r="E6514" s="19" t="n">
        <v>48.6666666666667</v>
      </c>
    </row>
    <row r="6515" customFormat="false" ht="15" hidden="false" customHeight="false" outlineLevel="0" collapsed="false">
      <c r="A6515" s="0" t="n">
        <v>6514</v>
      </c>
      <c r="B6515" s="18" t="n">
        <v>1286175.40786899</v>
      </c>
      <c r="C6515" s="18" t="n">
        <v>6847995.37965256</v>
      </c>
      <c r="D6515" s="0" t="n">
        <v>1</v>
      </c>
    </row>
    <row r="6516" customFormat="false" ht="15" hidden="false" customHeight="false" outlineLevel="0" collapsed="false">
      <c r="A6516" s="0" t="n">
        <v>6515</v>
      </c>
      <c r="B6516" s="18" t="n">
        <v>1803112.69501768</v>
      </c>
      <c r="C6516" s="18" t="n">
        <v>479610.118233407</v>
      </c>
      <c r="D6516" s="0" t="n">
        <v>1</v>
      </c>
    </row>
    <row r="6517" customFormat="false" ht="15" hidden="false" customHeight="false" outlineLevel="0" collapsed="false">
      <c r="A6517" s="0" t="n">
        <v>6516</v>
      </c>
      <c r="B6517" s="18" t="n">
        <v>477727.690038624</v>
      </c>
      <c r="C6517" s="18" t="n">
        <v>0</v>
      </c>
      <c r="D6517" s="0" t="n">
        <v>0</v>
      </c>
      <c r="E6517" s="19" t="n">
        <v>31.9166666666667</v>
      </c>
    </row>
    <row r="6518" customFormat="false" ht="15" hidden="false" customHeight="false" outlineLevel="0" collapsed="false">
      <c r="A6518" s="0" t="n">
        <v>6517</v>
      </c>
      <c r="B6518" s="18" t="n">
        <v>1465378.13224378</v>
      </c>
      <c r="C6518" s="18" t="n">
        <v>0</v>
      </c>
      <c r="D6518" s="0" t="n">
        <v>0</v>
      </c>
      <c r="E6518" s="19" t="n">
        <v>48.9166666666667</v>
      </c>
    </row>
    <row r="6519" customFormat="false" ht="15" hidden="false" customHeight="false" outlineLevel="0" collapsed="false">
      <c r="A6519" s="0" t="n">
        <v>6518</v>
      </c>
      <c r="B6519" s="18" t="n">
        <v>1612503.96089694</v>
      </c>
      <c r="C6519" s="18" t="n">
        <v>255116.462505544</v>
      </c>
      <c r="D6519" s="0" t="n">
        <v>1</v>
      </c>
    </row>
    <row r="6520" customFormat="false" ht="15" hidden="false" customHeight="false" outlineLevel="0" collapsed="false">
      <c r="A6520" s="0" t="n">
        <v>6519</v>
      </c>
      <c r="B6520" s="18" t="n">
        <v>988914.576399596</v>
      </c>
      <c r="C6520" s="18" t="n">
        <v>1204227.2495025</v>
      </c>
      <c r="D6520" s="0" t="n">
        <v>1</v>
      </c>
    </row>
    <row r="6521" customFormat="false" ht="15" hidden="false" customHeight="false" outlineLevel="0" collapsed="false">
      <c r="A6521" s="0" t="n">
        <v>6520</v>
      </c>
      <c r="B6521" s="18" t="n">
        <v>1048397.00264912</v>
      </c>
      <c r="C6521" s="18" t="n">
        <v>1180194.88567515</v>
      </c>
      <c r="D6521" s="0" t="n">
        <v>1</v>
      </c>
    </row>
    <row r="6522" customFormat="false" ht="15" hidden="false" customHeight="false" outlineLevel="0" collapsed="false">
      <c r="A6522" s="0" t="n">
        <v>6521</v>
      </c>
      <c r="B6522" s="18" t="n">
        <v>886972.240732172</v>
      </c>
      <c r="C6522" s="18" t="n">
        <v>0</v>
      </c>
      <c r="D6522" s="0" t="n">
        <v>0</v>
      </c>
      <c r="E6522" s="19" t="n">
        <v>42.1666666666667</v>
      </c>
    </row>
    <row r="6523" customFormat="false" ht="15" hidden="false" customHeight="false" outlineLevel="0" collapsed="false">
      <c r="A6523" s="0" t="n">
        <v>6522</v>
      </c>
      <c r="B6523" s="18" t="n">
        <v>1063754.02659346</v>
      </c>
      <c r="C6523" s="18" t="n">
        <v>592040.423162429</v>
      </c>
      <c r="D6523" s="0" t="n">
        <v>1</v>
      </c>
    </row>
    <row r="6524" customFormat="false" ht="15" hidden="false" customHeight="false" outlineLevel="0" collapsed="false">
      <c r="A6524" s="0" t="n">
        <v>6523</v>
      </c>
      <c r="B6524" s="18" t="n">
        <v>843738.036960235</v>
      </c>
      <c r="C6524" s="18" t="n">
        <v>0</v>
      </c>
      <c r="D6524" s="0" t="n">
        <v>0</v>
      </c>
      <c r="E6524" s="19" t="n">
        <v>38.25</v>
      </c>
    </row>
    <row r="6525" customFormat="false" ht="15" hidden="false" customHeight="false" outlineLevel="0" collapsed="false">
      <c r="A6525" s="0" t="n">
        <v>6524</v>
      </c>
      <c r="B6525" s="18" t="n">
        <v>8726570.33206044</v>
      </c>
      <c r="C6525" s="18" t="n">
        <v>33884785.1355478</v>
      </c>
      <c r="D6525" s="0" t="n">
        <v>1</v>
      </c>
    </row>
    <row r="6526" customFormat="false" ht="15" hidden="false" customHeight="false" outlineLevel="0" collapsed="false">
      <c r="A6526" s="0" t="n">
        <v>6525</v>
      </c>
      <c r="B6526" s="18" t="n">
        <v>2482086.82315185</v>
      </c>
      <c r="C6526" s="18" t="n">
        <v>2596632.05583068</v>
      </c>
      <c r="D6526" s="0" t="n">
        <v>1</v>
      </c>
    </row>
    <row r="6527" customFormat="false" ht="15" hidden="false" customHeight="false" outlineLevel="0" collapsed="false">
      <c r="A6527" s="0" t="n">
        <v>6526</v>
      </c>
      <c r="B6527" s="18" t="n">
        <v>1759424.76499162</v>
      </c>
      <c r="C6527" s="18" t="n">
        <v>0</v>
      </c>
      <c r="D6527" s="0" t="n">
        <v>0</v>
      </c>
      <c r="E6527" s="19" t="n">
        <v>41.4166666666667</v>
      </c>
    </row>
    <row r="6528" customFormat="false" ht="15" hidden="false" customHeight="false" outlineLevel="0" collapsed="false">
      <c r="A6528" s="0" t="n">
        <v>6527</v>
      </c>
      <c r="B6528" s="18" t="n">
        <v>991061.08559091</v>
      </c>
      <c r="C6528" s="18" t="n">
        <v>0</v>
      </c>
      <c r="D6528" s="0" t="n">
        <v>0</v>
      </c>
      <c r="E6528" s="19" t="n">
        <v>41.0833333333333</v>
      </c>
    </row>
    <row r="6529" customFormat="false" ht="15" hidden="false" customHeight="false" outlineLevel="0" collapsed="false">
      <c r="A6529" s="0" t="n">
        <v>6528</v>
      </c>
      <c r="B6529" s="18" t="n">
        <v>2876052.0963081</v>
      </c>
      <c r="C6529" s="18" t="n">
        <v>23940885.8282744</v>
      </c>
      <c r="D6529" s="0" t="n">
        <v>1</v>
      </c>
    </row>
    <row r="6530" customFormat="false" ht="15" hidden="false" customHeight="false" outlineLevel="0" collapsed="false">
      <c r="A6530" s="0" t="n">
        <v>6529</v>
      </c>
      <c r="B6530" s="18" t="n">
        <v>424183.387301339</v>
      </c>
      <c r="C6530" s="18" t="n">
        <v>0</v>
      </c>
      <c r="D6530" s="0" t="n">
        <v>0</v>
      </c>
      <c r="E6530" s="19" t="n">
        <v>30.4166666666667</v>
      </c>
    </row>
    <row r="6531" customFormat="false" ht="15" hidden="false" customHeight="false" outlineLevel="0" collapsed="false">
      <c r="A6531" s="0" t="n">
        <v>6530</v>
      </c>
      <c r="B6531" s="18" t="n">
        <v>678854.77917113</v>
      </c>
      <c r="C6531" s="18" t="n">
        <v>0</v>
      </c>
      <c r="D6531" s="0" t="n">
        <v>0</v>
      </c>
      <c r="E6531" s="19" t="n">
        <v>38.1666666666667</v>
      </c>
    </row>
    <row r="6532" customFormat="false" ht="15" hidden="false" customHeight="false" outlineLevel="0" collapsed="false">
      <c r="A6532" s="0" t="n">
        <v>6531</v>
      </c>
      <c r="B6532" s="18" t="n">
        <v>609222.216249246</v>
      </c>
      <c r="C6532" s="18" t="n">
        <v>0</v>
      </c>
      <c r="D6532" s="0" t="n">
        <v>0</v>
      </c>
      <c r="E6532" s="19" t="n">
        <v>49.1666666666667</v>
      </c>
    </row>
    <row r="6533" customFormat="false" ht="15" hidden="false" customHeight="false" outlineLevel="0" collapsed="false">
      <c r="A6533" s="0" t="n">
        <v>6532</v>
      </c>
      <c r="B6533" s="18" t="n">
        <v>1221900.97236501</v>
      </c>
      <c r="C6533" s="18" t="n">
        <v>0</v>
      </c>
      <c r="D6533" s="0" t="n">
        <v>0</v>
      </c>
      <c r="E6533" s="19" t="n">
        <v>41</v>
      </c>
    </row>
    <row r="6534" customFormat="false" ht="15" hidden="false" customHeight="false" outlineLevel="0" collapsed="false">
      <c r="A6534" s="0" t="n">
        <v>6533</v>
      </c>
      <c r="B6534" s="18" t="n">
        <v>870263.134481328</v>
      </c>
      <c r="C6534" s="18" t="n">
        <v>0</v>
      </c>
      <c r="D6534" s="0" t="n">
        <v>0</v>
      </c>
      <c r="E6534" s="19" t="n">
        <v>40.8333333333333</v>
      </c>
    </row>
    <row r="6535" customFormat="false" ht="15" hidden="false" customHeight="false" outlineLevel="0" collapsed="false">
      <c r="A6535" s="0" t="n">
        <v>6534</v>
      </c>
      <c r="B6535" s="18" t="n">
        <v>801812.503112465</v>
      </c>
      <c r="C6535" s="18" t="n">
        <v>0</v>
      </c>
      <c r="D6535" s="0" t="n">
        <v>0</v>
      </c>
      <c r="E6535" s="19" t="n">
        <v>34.25</v>
      </c>
    </row>
    <row r="6536" customFormat="false" ht="15" hidden="false" customHeight="false" outlineLevel="0" collapsed="false">
      <c r="A6536" s="0" t="n">
        <v>6535</v>
      </c>
      <c r="B6536" s="18" t="n">
        <v>924653.172529195</v>
      </c>
      <c r="C6536" s="18" t="n">
        <v>0</v>
      </c>
      <c r="D6536" s="0" t="n">
        <v>0</v>
      </c>
      <c r="E6536" s="19" t="n">
        <v>42.6666666666667</v>
      </c>
    </row>
    <row r="6537" customFormat="false" ht="15" hidden="false" customHeight="false" outlineLevel="0" collapsed="false">
      <c r="A6537" s="0" t="n">
        <v>6536</v>
      </c>
      <c r="B6537" s="18" t="n">
        <v>1667416.9689919</v>
      </c>
      <c r="C6537" s="18" t="n">
        <v>0</v>
      </c>
      <c r="D6537" s="0" t="n">
        <v>0</v>
      </c>
      <c r="E6537" s="19" t="n">
        <v>53.25</v>
      </c>
    </row>
    <row r="6538" customFormat="false" ht="15" hidden="false" customHeight="false" outlineLevel="0" collapsed="false">
      <c r="A6538" s="0" t="n">
        <v>6537</v>
      </c>
      <c r="B6538" s="18" t="n">
        <v>846685.534093496</v>
      </c>
      <c r="C6538" s="18" t="n">
        <v>591685.965784418</v>
      </c>
      <c r="D6538" s="0" t="n">
        <v>1</v>
      </c>
    </row>
    <row r="6539" customFormat="false" ht="15" hidden="false" customHeight="false" outlineLevel="0" collapsed="false">
      <c r="A6539" s="0" t="n">
        <v>6538</v>
      </c>
      <c r="B6539" s="18" t="n">
        <v>1624810.94523731</v>
      </c>
      <c r="C6539" s="18" t="n">
        <v>139075.791608869</v>
      </c>
      <c r="D6539" s="0" t="n">
        <v>1</v>
      </c>
    </row>
    <row r="6540" customFormat="false" ht="15" hidden="false" customHeight="false" outlineLevel="0" collapsed="false">
      <c r="A6540" s="0" t="n">
        <v>6539</v>
      </c>
      <c r="B6540" s="18" t="n">
        <v>1098466.99287377</v>
      </c>
      <c r="C6540" s="18" t="n">
        <v>3355276.87587394</v>
      </c>
      <c r="D6540" s="0" t="n">
        <v>1</v>
      </c>
    </row>
    <row r="6541" customFormat="false" ht="15" hidden="false" customHeight="false" outlineLevel="0" collapsed="false">
      <c r="A6541" s="0" t="n">
        <v>6540</v>
      </c>
      <c r="B6541" s="18" t="n">
        <v>517272.834413485</v>
      </c>
      <c r="C6541" s="18" t="n">
        <v>0</v>
      </c>
      <c r="D6541" s="0" t="n">
        <v>0</v>
      </c>
      <c r="E6541" s="19" t="n">
        <v>35.5</v>
      </c>
    </row>
    <row r="6542" customFormat="false" ht="15" hidden="false" customHeight="false" outlineLevel="0" collapsed="false">
      <c r="A6542" s="0" t="n">
        <v>6541</v>
      </c>
      <c r="B6542" s="18" t="n">
        <v>341425.143457838</v>
      </c>
      <c r="C6542" s="18" t="n">
        <v>0</v>
      </c>
      <c r="D6542" s="0" t="n">
        <v>0</v>
      </c>
      <c r="E6542" s="19" t="n">
        <v>32</v>
      </c>
    </row>
    <row r="6543" customFormat="false" ht="15" hidden="false" customHeight="false" outlineLevel="0" collapsed="false">
      <c r="A6543" s="0" t="n">
        <v>6542</v>
      </c>
      <c r="B6543" s="18" t="n">
        <v>827651.100669962</v>
      </c>
      <c r="C6543" s="18" t="n">
        <v>0</v>
      </c>
      <c r="D6543" s="0" t="n">
        <v>0</v>
      </c>
      <c r="E6543" s="19" t="n">
        <v>44.1666666666667</v>
      </c>
    </row>
    <row r="6544" customFormat="false" ht="15" hidden="false" customHeight="false" outlineLevel="0" collapsed="false">
      <c r="A6544" s="0" t="n">
        <v>6543</v>
      </c>
      <c r="B6544" s="18" t="n">
        <v>1135494.0444741</v>
      </c>
      <c r="C6544" s="18" t="n">
        <v>0</v>
      </c>
      <c r="D6544" s="0" t="n">
        <v>0</v>
      </c>
      <c r="E6544" s="19" t="n">
        <v>45.5</v>
      </c>
    </row>
    <row r="6545" customFormat="false" ht="15" hidden="false" customHeight="false" outlineLevel="0" collapsed="false">
      <c r="A6545" s="0" t="n">
        <v>6544</v>
      </c>
      <c r="B6545" s="18" t="n">
        <v>1541621.61643459</v>
      </c>
      <c r="C6545" s="18" t="n">
        <v>0</v>
      </c>
      <c r="D6545" s="0" t="n">
        <v>0</v>
      </c>
      <c r="E6545" s="19" t="n">
        <v>37.75</v>
      </c>
    </row>
    <row r="6546" customFormat="false" ht="15" hidden="false" customHeight="false" outlineLevel="0" collapsed="false">
      <c r="A6546" s="0" t="n">
        <v>6545</v>
      </c>
      <c r="B6546" s="18" t="n">
        <v>957392.93888821</v>
      </c>
      <c r="C6546" s="18" t="n">
        <v>0</v>
      </c>
      <c r="D6546" s="0" t="n">
        <v>0</v>
      </c>
      <c r="E6546" s="19" t="n">
        <v>43.9166666666667</v>
      </c>
    </row>
    <row r="6547" customFormat="false" ht="15" hidden="false" customHeight="false" outlineLevel="0" collapsed="false">
      <c r="A6547" s="0" t="n">
        <v>6546</v>
      </c>
      <c r="B6547" s="18" t="n">
        <v>958136.610834186</v>
      </c>
      <c r="C6547" s="18" t="n">
        <v>0</v>
      </c>
      <c r="D6547" s="0" t="n">
        <v>0</v>
      </c>
      <c r="E6547" s="19" t="n">
        <v>40</v>
      </c>
    </row>
    <row r="6548" customFormat="false" ht="15" hidden="false" customHeight="false" outlineLevel="0" collapsed="false">
      <c r="A6548" s="0" t="n">
        <v>6547</v>
      </c>
      <c r="B6548" s="18" t="n">
        <v>745561.336043045</v>
      </c>
      <c r="C6548" s="18" t="n">
        <v>0</v>
      </c>
      <c r="D6548" s="0" t="n">
        <v>0</v>
      </c>
      <c r="E6548" s="19" t="n">
        <v>45.4166666666667</v>
      </c>
    </row>
    <row r="6549" customFormat="false" ht="15" hidden="false" customHeight="false" outlineLevel="0" collapsed="false">
      <c r="A6549" s="0" t="n">
        <v>6548</v>
      </c>
      <c r="B6549" s="18" t="n">
        <v>775544.931219411</v>
      </c>
      <c r="C6549" s="18" t="n">
        <v>0</v>
      </c>
      <c r="D6549" s="0" t="n">
        <v>0</v>
      </c>
      <c r="E6549" s="19" t="n">
        <v>38.6666666666667</v>
      </c>
    </row>
    <row r="6550" customFormat="false" ht="15" hidden="false" customHeight="false" outlineLevel="0" collapsed="false">
      <c r="A6550" s="0" t="n">
        <v>6549</v>
      </c>
      <c r="B6550" s="18" t="n">
        <v>1508599.23053757</v>
      </c>
      <c r="C6550" s="18" t="n">
        <v>1516081.85313823</v>
      </c>
      <c r="D6550" s="0" t="n">
        <v>1</v>
      </c>
    </row>
    <row r="6551" customFormat="false" ht="15" hidden="false" customHeight="false" outlineLevel="0" collapsed="false">
      <c r="A6551" s="0" t="n">
        <v>6550</v>
      </c>
      <c r="B6551" s="18" t="n">
        <v>754708.087183748</v>
      </c>
      <c r="C6551" s="18" t="n">
        <v>0</v>
      </c>
      <c r="D6551" s="0" t="n">
        <v>0</v>
      </c>
      <c r="E6551" s="19" t="n">
        <v>38</v>
      </c>
    </row>
    <row r="6552" customFormat="false" ht="15" hidden="false" customHeight="false" outlineLevel="0" collapsed="false">
      <c r="A6552" s="0" t="n">
        <v>6551</v>
      </c>
      <c r="B6552" s="18" t="n">
        <v>1401493.66377408</v>
      </c>
      <c r="C6552" s="18" t="n">
        <v>3595253.58990825</v>
      </c>
      <c r="D6552" s="0" t="n">
        <v>1</v>
      </c>
    </row>
    <row r="6553" customFormat="false" ht="15" hidden="false" customHeight="false" outlineLevel="0" collapsed="false">
      <c r="A6553" s="0" t="n">
        <v>6552</v>
      </c>
      <c r="B6553" s="18" t="n">
        <v>2029417.34556636</v>
      </c>
      <c r="C6553" s="18" t="n">
        <v>5953123.25471297</v>
      </c>
      <c r="D6553" s="0" t="n">
        <v>1</v>
      </c>
    </row>
    <row r="6554" customFormat="false" ht="15" hidden="false" customHeight="false" outlineLevel="0" collapsed="false">
      <c r="A6554" s="0" t="n">
        <v>6553</v>
      </c>
      <c r="B6554" s="18" t="n">
        <v>2216476.18629685</v>
      </c>
      <c r="C6554" s="18" t="n">
        <v>689561.137792392</v>
      </c>
      <c r="D6554" s="0" t="n">
        <v>1</v>
      </c>
    </row>
    <row r="6555" customFormat="false" ht="15" hidden="false" customHeight="false" outlineLevel="0" collapsed="false">
      <c r="A6555" s="0" t="n">
        <v>6554</v>
      </c>
      <c r="B6555" s="18" t="n">
        <v>1607354.45840904</v>
      </c>
      <c r="C6555" s="18" t="n">
        <v>0</v>
      </c>
      <c r="D6555" s="0" t="n">
        <v>0</v>
      </c>
      <c r="E6555" s="19" t="n">
        <v>45.9166666666667</v>
      </c>
    </row>
    <row r="6556" customFormat="false" ht="15" hidden="false" customHeight="false" outlineLevel="0" collapsed="false">
      <c r="A6556" s="0" t="n">
        <v>6555</v>
      </c>
      <c r="B6556" s="18" t="n">
        <v>1186636.35099462</v>
      </c>
      <c r="C6556" s="18" t="n">
        <v>81170.3526420207</v>
      </c>
      <c r="D6556" s="0" t="n">
        <v>1</v>
      </c>
    </row>
    <row r="6557" customFormat="false" ht="15" hidden="false" customHeight="false" outlineLevel="0" collapsed="false">
      <c r="A6557" s="0" t="n">
        <v>6556</v>
      </c>
      <c r="B6557" s="18" t="n">
        <v>546775.025164311</v>
      </c>
      <c r="C6557" s="18" t="n">
        <v>0</v>
      </c>
      <c r="D6557" s="0" t="n">
        <v>0</v>
      </c>
      <c r="E6557" s="19" t="n">
        <v>34.25</v>
      </c>
    </row>
    <row r="6558" customFormat="false" ht="15" hidden="false" customHeight="false" outlineLevel="0" collapsed="false">
      <c r="A6558" s="0" t="n">
        <v>6557</v>
      </c>
      <c r="B6558" s="18" t="n">
        <v>1443234.76662433</v>
      </c>
      <c r="C6558" s="18" t="n">
        <v>3022552.79723692</v>
      </c>
      <c r="D6558" s="0" t="n">
        <v>1</v>
      </c>
    </row>
    <row r="6559" customFormat="false" ht="15" hidden="false" customHeight="false" outlineLevel="0" collapsed="false">
      <c r="A6559" s="0" t="n">
        <v>6558</v>
      </c>
      <c r="B6559" s="18" t="n">
        <v>648530.301197429</v>
      </c>
      <c r="C6559" s="18" t="n">
        <v>0</v>
      </c>
      <c r="D6559" s="0" t="n">
        <v>0</v>
      </c>
      <c r="E6559" s="19" t="n">
        <v>36.5833333333333</v>
      </c>
    </row>
    <row r="6560" customFormat="false" ht="15" hidden="false" customHeight="false" outlineLevel="0" collapsed="false">
      <c r="A6560" s="0" t="n">
        <v>6559</v>
      </c>
      <c r="B6560" s="18" t="n">
        <v>1064111.34116347</v>
      </c>
      <c r="C6560" s="18" t="n">
        <v>1389648.95347456</v>
      </c>
      <c r="D6560" s="0" t="n">
        <v>1</v>
      </c>
    </row>
    <row r="6561" customFormat="false" ht="15" hidden="false" customHeight="false" outlineLevel="0" collapsed="false">
      <c r="A6561" s="0" t="n">
        <v>6560</v>
      </c>
      <c r="B6561" s="18" t="n">
        <v>680976.055863408</v>
      </c>
      <c r="C6561" s="18" t="n">
        <v>0</v>
      </c>
      <c r="D6561" s="0" t="n">
        <v>0</v>
      </c>
      <c r="E6561" s="19" t="n">
        <v>37</v>
      </c>
    </row>
    <row r="6562" customFormat="false" ht="15" hidden="false" customHeight="false" outlineLevel="0" collapsed="false">
      <c r="A6562" s="0" t="n">
        <v>6561</v>
      </c>
      <c r="B6562" s="18" t="n">
        <v>2039845.06685546</v>
      </c>
      <c r="C6562" s="18" t="n">
        <v>0</v>
      </c>
      <c r="D6562" s="0" t="n">
        <v>0</v>
      </c>
      <c r="E6562" s="19" t="n">
        <v>51.3333333333333</v>
      </c>
    </row>
    <row r="6563" customFormat="false" ht="15" hidden="false" customHeight="false" outlineLevel="0" collapsed="false">
      <c r="A6563" s="0" t="n">
        <v>6562</v>
      </c>
      <c r="B6563" s="18" t="n">
        <v>1036709.58004017</v>
      </c>
      <c r="C6563" s="18" t="n">
        <v>0</v>
      </c>
      <c r="D6563" s="0" t="n">
        <v>0</v>
      </c>
      <c r="E6563" s="19" t="n">
        <v>43.5</v>
      </c>
    </row>
    <row r="6564" customFormat="false" ht="15" hidden="false" customHeight="false" outlineLevel="0" collapsed="false">
      <c r="A6564" s="0" t="n">
        <v>6563</v>
      </c>
      <c r="B6564" s="18" t="n">
        <v>1311031.96670142</v>
      </c>
      <c r="C6564" s="18" t="n">
        <v>15417136.0037928</v>
      </c>
      <c r="D6564" s="0" t="n">
        <v>1</v>
      </c>
    </row>
    <row r="6565" customFormat="false" ht="15" hidden="false" customHeight="false" outlineLevel="0" collapsed="false">
      <c r="A6565" s="0" t="n">
        <v>6564</v>
      </c>
      <c r="B6565" s="18" t="n">
        <v>1118108.00975739</v>
      </c>
      <c r="C6565" s="18" t="n">
        <v>0</v>
      </c>
      <c r="D6565" s="0" t="n">
        <v>0</v>
      </c>
      <c r="E6565" s="19" t="n">
        <v>49.9166666666667</v>
      </c>
    </row>
    <row r="6566" customFormat="false" ht="15" hidden="false" customHeight="false" outlineLevel="0" collapsed="false">
      <c r="A6566" s="0" t="n">
        <v>6565</v>
      </c>
      <c r="B6566" s="18" t="n">
        <v>278554.340207989</v>
      </c>
      <c r="C6566" s="18" t="n">
        <v>0</v>
      </c>
      <c r="D6566" s="0" t="n">
        <v>0</v>
      </c>
      <c r="E6566" s="19" t="n">
        <v>29.4166666666667</v>
      </c>
    </row>
    <row r="6567" customFormat="false" ht="15" hidden="false" customHeight="false" outlineLevel="0" collapsed="false">
      <c r="A6567" s="0" t="n">
        <v>6566</v>
      </c>
      <c r="B6567" s="18" t="n">
        <v>888937.654710634</v>
      </c>
      <c r="C6567" s="18" t="n">
        <v>0</v>
      </c>
      <c r="D6567" s="0" t="n">
        <v>0</v>
      </c>
      <c r="E6567" s="19" t="n">
        <v>54.0833333333333</v>
      </c>
    </row>
    <row r="6568" customFormat="false" ht="15" hidden="false" customHeight="false" outlineLevel="0" collapsed="false">
      <c r="A6568" s="0" t="n">
        <v>6567</v>
      </c>
      <c r="B6568" s="18" t="n">
        <v>1183093.68499002</v>
      </c>
      <c r="C6568" s="18" t="n">
        <v>11727303.8032496</v>
      </c>
      <c r="D6568" s="0" t="n">
        <v>1</v>
      </c>
    </row>
    <row r="6569" customFormat="false" ht="15" hidden="false" customHeight="false" outlineLevel="0" collapsed="false">
      <c r="A6569" s="0" t="n">
        <v>6568</v>
      </c>
      <c r="B6569" s="18" t="n">
        <v>954831.18059421</v>
      </c>
      <c r="C6569" s="18" t="n">
        <v>0</v>
      </c>
      <c r="D6569" s="0" t="n">
        <v>0</v>
      </c>
      <c r="E6569" s="19" t="n">
        <v>45.0833333333333</v>
      </c>
    </row>
    <row r="6570" customFormat="false" ht="15" hidden="false" customHeight="false" outlineLevel="0" collapsed="false">
      <c r="A6570" s="0" t="n">
        <v>6569</v>
      </c>
      <c r="B6570" s="18" t="n">
        <v>881660.369009381</v>
      </c>
      <c r="C6570" s="18" t="n">
        <v>2528715.22453669</v>
      </c>
      <c r="D6570" s="0" t="n">
        <v>1</v>
      </c>
    </row>
    <row r="6571" customFormat="false" ht="15" hidden="false" customHeight="false" outlineLevel="0" collapsed="false">
      <c r="A6571" s="0" t="n">
        <v>6570</v>
      </c>
      <c r="B6571" s="18" t="n">
        <v>575744.431290255</v>
      </c>
      <c r="C6571" s="18" t="n">
        <v>0</v>
      </c>
      <c r="D6571" s="0" t="n">
        <v>0</v>
      </c>
      <c r="E6571" s="19" t="n">
        <v>39.9166666666667</v>
      </c>
    </row>
    <row r="6572" customFormat="false" ht="15" hidden="false" customHeight="false" outlineLevel="0" collapsed="false">
      <c r="A6572" s="0" t="n">
        <v>6571</v>
      </c>
      <c r="B6572" s="18" t="n">
        <v>216709.386975462</v>
      </c>
      <c r="C6572" s="18" t="n">
        <v>0</v>
      </c>
      <c r="D6572" s="0" t="n">
        <v>0</v>
      </c>
      <c r="E6572" s="19" t="n">
        <v>28.5</v>
      </c>
    </row>
    <row r="6573" customFormat="false" ht="15" hidden="false" customHeight="false" outlineLevel="0" collapsed="false">
      <c r="A6573" s="0" t="n">
        <v>6572</v>
      </c>
      <c r="B6573" s="18" t="n">
        <v>1763994.72649091</v>
      </c>
      <c r="C6573" s="18" t="n">
        <v>26867818.0427227</v>
      </c>
      <c r="D6573" s="0" t="n">
        <v>1</v>
      </c>
    </row>
    <row r="6574" customFormat="false" ht="15" hidden="false" customHeight="false" outlineLevel="0" collapsed="false">
      <c r="A6574" s="0" t="n">
        <v>6573</v>
      </c>
      <c r="B6574" s="18" t="n">
        <v>773881.627324625</v>
      </c>
      <c r="C6574" s="18" t="n">
        <v>0</v>
      </c>
      <c r="D6574" s="0" t="n">
        <v>0</v>
      </c>
      <c r="E6574" s="19" t="n">
        <v>43.0833333333333</v>
      </c>
    </row>
    <row r="6575" customFormat="false" ht="15" hidden="false" customHeight="false" outlineLevel="0" collapsed="false">
      <c r="A6575" s="0" t="n">
        <v>6574</v>
      </c>
      <c r="B6575" s="18" t="n">
        <v>1803360.97817153</v>
      </c>
      <c r="C6575" s="18" t="n">
        <v>13568813.7779846</v>
      </c>
      <c r="D6575" s="0" t="n">
        <v>1</v>
      </c>
    </row>
    <row r="6576" customFormat="false" ht="15" hidden="false" customHeight="false" outlineLevel="0" collapsed="false">
      <c r="A6576" s="0" t="n">
        <v>6575</v>
      </c>
      <c r="B6576" s="18" t="n">
        <v>582396.671932321</v>
      </c>
      <c r="C6576" s="18" t="n">
        <v>0</v>
      </c>
      <c r="D6576" s="0" t="n">
        <v>0</v>
      </c>
      <c r="E6576" s="19" t="n">
        <v>37.5</v>
      </c>
    </row>
    <row r="6577" customFormat="false" ht="15" hidden="false" customHeight="false" outlineLevel="0" collapsed="false">
      <c r="A6577" s="0" t="n">
        <v>6576</v>
      </c>
      <c r="B6577" s="18" t="n">
        <v>1189276.63207831</v>
      </c>
      <c r="C6577" s="18" t="n">
        <v>0</v>
      </c>
      <c r="D6577" s="0" t="n">
        <v>0</v>
      </c>
      <c r="E6577" s="19" t="n">
        <v>50.0833333333333</v>
      </c>
    </row>
    <row r="6578" customFormat="false" ht="15" hidden="false" customHeight="false" outlineLevel="0" collapsed="false">
      <c r="A6578" s="0" t="n">
        <v>6577</v>
      </c>
      <c r="B6578" s="18" t="n">
        <v>1389699.50214962</v>
      </c>
      <c r="C6578" s="18" t="n">
        <v>2214178.21957654</v>
      </c>
      <c r="D6578" s="0" t="n">
        <v>1</v>
      </c>
    </row>
    <row r="6579" customFormat="false" ht="15" hidden="false" customHeight="false" outlineLevel="0" collapsed="false">
      <c r="A6579" s="0" t="n">
        <v>6578</v>
      </c>
      <c r="B6579" s="18" t="n">
        <v>653182.792073142</v>
      </c>
      <c r="C6579" s="18" t="n">
        <v>0</v>
      </c>
      <c r="D6579" s="0" t="n">
        <v>0</v>
      </c>
      <c r="E6579" s="19" t="n">
        <v>34.1666666666667</v>
      </c>
    </row>
    <row r="6580" customFormat="false" ht="15" hidden="false" customHeight="false" outlineLevel="0" collapsed="false">
      <c r="A6580" s="0" t="n">
        <v>6579</v>
      </c>
      <c r="B6580" s="18" t="n">
        <v>1650812.21222353</v>
      </c>
      <c r="C6580" s="18" t="n">
        <v>0</v>
      </c>
      <c r="D6580" s="0" t="n">
        <v>0</v>
      </c>
      <c r="E6580" s="19" t="n">
        <v>48.1666666666667</v>
      </c>
    </row>
    <row r="6581" customFormat="false" ht="15" hidden="false" customHeight="false" outlineLevel="0" collapsed="false">
      <c r="A6581" s="0" t="n">
        <v>6580</v>
      </c>
      <c r="B6581" s="18" t="n">
        <v>1293471.48799984</v>
      </c>
      <c r="C6581" s="18" t="n">
        <v>0</v>
      </c>
      <c r="D6581" s="0" t="n">
        <v>0</v>
      </c>
      <c r="E6581" s="19" t="n">
        <v>54.5</v>
      </c>
    </row>
    <row r="6582" customFormat="false" ht="15" hidden="false" customHeight="false" outlineLevel="0" collapsed="false">
      <c r="A6582" s="0" t="n">
        <v>6581</v>
      </c>
      <c r="B6582" s="18" t="n">
        <v>732699.743864328</v>
      </c>
      <c r="C6582" s="18" t="n">
        <v>1722319.4825234</v>
      </c>
      <c r="D6582" s="0" t="n">
        <v>1</v>
      </c>
    </row>
    <row r="6583" customFormat="false" ht="15" hidden="false" customHeight="false" outlineLevel="0" collapsed="false">
      <c r="A6583" s="0" t="n">
        <v>6582</v>
      </c>
      <c r="B6583" s="18" t="n">
        <v>583471.982384626</v>
      </c>
      <c r="C6583" s="18" t="n">
        <v>0</v>
      </c>
      <c r="D6583" s="0" t="n">
        <v>0</v>
      </c>
      <c r="E6583" s="19" t="n">
        <v>37.0833333333333</v>
      </c>
    </row>
    <row r="6584" customFormat="false" ht="15" hidden="false" customHeight="false" outlineLevel="0" collapsed="false">
      <c r="A6584" s="0" t="n">
        <v>6583</v>
      </c>
      <c r="B6584" s="18" t="n">
        <v>1810220.05207473</v>
      </c>
      <c r="C6584" s="18" t="n">
        <v>4367929.89641746</v>
      </c>
      <c r="D6584" s="0" t="n">
        <v>1</v>
      </c>
    </row>
    <row r="6585" customFormat="false" ht="15" hidden="false" customHeight="false" outlineLevel="0" collapsed="false">
      <c r="A6585" s="0" t="n">
        <v>6584</v>
      </c>
      <c r="B6585" s="18" t="n">
        <v>684380.183707138</v>
      </c>
      <c r="C6585" s="18" t="n">
        <v>0</v>
      </c>
      <c r="D6585" s="0" t="n">
        <v>0</v>
      </c>
      <c r="E6585" s="19" t="n">
        <v>47.4166666666667</v>
      </c>
    </row>
    <row r="6586" customFormat="false" ht="15" hidden="false" customHeight="false" outlineLevel="0" collapsed="false">
      <c r="A6586" s="0" t="n">
        <v>6585</v>
      </c>
      <c r="B6586" s="18" t="n">
        <v>713699.434589705</v>
      </c>
      <c r="C6586" s="18" t="n">
        <v>3914999.99673516</v>
      </c>
      <c r="D6586" s="0" t="n">
        <v>1</v>
      </c>
    </row>
    <row r="6587" customFormat="false" ht="15" hidden="false" customHeight="false" outlineLevel="0" collapsed="false">
      <c r="A6587" s="0" t="n">
        <v>6586</v>
      </c>
      <c r="B6587" s="18" t="n">
        <v>1160477.03135845</v>
      </c>
      <c r="C6587" s="18" t="n">
        <v>8252727.06918096</v>
      </c>
      <c r="D6587" s="0" t="n">
        <v>1</v>
      </c>
    </row>
    <row r="6588" customFormat="false" ht="15" hidden="false" customHeight="false" outlineLevel="0" collapsed="false">
      <c r="A6588" s="0" t="n">
        <v>6587</v>
      </c>
      <c r="B6588" s="18" t="n">
        <v>1051264.71662093</v>
      </c>
      <c r="C6588" s="18" t="n">
        <v>0</v>
      </c>
      <c r="D6588" s="0" t="n">
        <v>0</v>
      </c>
      <c r="E6588" s="19" t="n">
        <v>44.1666666666667</v>
      </c>
    </row>
    <row r="6589" customFormat="false" ht="15" hidden="false" customHeight="false" outlineLevel="0" collapsed="false">
      <c r="A6589" s="0" t="n">
        <v>6588</v>
      </c>
      <c r="B6589" s="18" t="n">
        <v>1164636.61494912</v>
      </c>
      <c r="C6589" s="18" t="n">
        <v>0</v>
      </c>
      <c r="D6589" s="0" t="n">
        <v>0</v>
      </c>
      <c r="E6589" s="19" t="n">
        <v>44.4166666666667</v>
      </c>
    </row>
    <row r="6590" customFormat="false" ht="15" hidden="false" customHeight="false" outlineLevel="0" collapsed="false">
      <c r="A6590" s="0" t="n">
        <v>6589</v>
      </c>
      <c r="B6590" s="18" t="n">
        <v>602721.233675766</v>
      </c>
      <c r="C6590" s="18" t="n">
        <v>0</v>
      </c>
      <c r="D6590" s="0" t="n">
        <v>0</v>
      </c>
      <c r="E6590" s="19" t="n">
        <v>33.8333333333333</v>
      </c>
    </row>
    <row r="6591" customFormat="false" ht="15" hidden="false" customHeight="false" outlineLevel="0" collapsed="false">
      <c r="A6591" s="0" t="n">
        <v>6590</v>
      </c>
      <c r="B6591" s="18" t="n">
        <v>1373284.45254585</v>
      </c>
      <c r="C6591" s="18" t="n">
        <v>738054.313886293</v>
      </c>
      <c r="D6591" s="0" t="n">
        <v>1</v>
      </c>
    </row>
    <row r="6592" customFormat="false" ht="15" hidden="false" customHeight="false" outlineLevel="0" collapsed="false">
      <c r="A6592" s="0" t="n">
        <v>6591</v>
      </c>
      <c r="B6592" s="18" t="n">
        <v>485211.205727045</v>
      </c>
      <c r="C6592" s="18" t="n">
        <v>0</v>
      </c>
      <c r="D6592" s="0" t="n">
        <v>0</v>
      </c>
      <c r="E6592" s="19" t="n">
        <v>39.4166666666667</v>
      </c>
    </row>
    <row r="6593" customFormat="false" ht="15" hidden="false" customHeight="false" outlineLevel="0" collapsed="false">
      <c r="A6593" s="0" t="n">
        <v>6592</v>
      </c>
      <c r="B6593" s="18" t="n">
        <v>1449854.31405603</v>
      </c>
      <c r="C6593" s="18" t="n">
        <v>0</v>
      </c>
      <c r="D6593" s="0" t="n">
        <v>0</v>
      </c>
      <c r="E6593" s="19" t="n">
        <v>36.25</v>
      </c>
    </row>
    <row r="6594" customFormat="false" ht="15" hidden="false" customHeight="false" outlineLevel="0" collapsed="false">
      <c r="A6594" s="0" t="n">
        <v>6593</v>
      </c>
      <c r="B6594" s="18" t="n">
        <v>874284.218962104</v>
      </c>
      <c r="C6594" s="18" t="n">
        <v>0</v>
      </c>
      <c r="D6594" s="0" t="n">
        <v>0</v>
      </c>
      <c r="E6594" s="19" t="n">
        <v>54.6666666666667</v>
      </c>
    </row>
    <row r="6595" customFormat="false" ht="15" hidden="false" customHeight="false" outlineLevel="0" collapsed="false">
      <c r="A6595" s="0" t="n">
        <v>6594</v>
      </c>
      <c r="B6595" s="18" t="n">
        <v>469817.13880047</v>
      </c>
      <c r="C6595" s="18" t="n">
        <v>0</v>
      </c>
      <c r="D6595" s="0" t="n">
        <v>0</v>
      </c>
      <c r="E6595" s="19" t="n">
        <v>38.4166666666667</v>
      </c>
    </row>
    <row r="6596" customFormat="false" ht="15" hidden="false" customHeight="false" outlineLevel="0" collapsed="false">
      <c r="A6596" s="0" t="n">
        <v>6595</v>
      </c>
      <c r="B6596" s="18" t="n">
        <v>438440.462330082</v>
      </c>
      <c r="C6596" s="18" t="n">
        <v>0</v>
      </c>
      <c r="D6596" s="0" t="n">
        <v>0</v>
      </c>
      <c r="E6596" s="19" t="n">
        <v>33.25</v>
      </c>
    </row>
    <row r="6597" customFormat="false" ht="15" hidden="false" customHeight="false" outlineLevel="0" collapsed="false">
      <c r="A6597" s="0" t="n">
        <v>6596</v>
      </c>
      <c r="B6597" s="18" t="n">
        <v>482621.237342528</v>
      </c>
      <c r="C6597" s="18" t="n">
        <v>0</v>
      </c>
      <c r="D6597" s="0" t="n">
        <v>0</v>
      </c>
      <c r="E6597" s="19" t="n">
        <v>39</v>
      </c>
    </row>
    <row r="6598" customFormat="false" ht="15" hidden="false" customHeight="false" outlineLevel="0" collapsed="false">
      <c r="A6598" s="0" t="n">
        <v>6597</v>
      </c>
      <c r="B6598" s="18" t="n">
        <v>750079.647171193</v>
      </c>
      <c r="C6598" s="18" t="n">
        <v>0</v>
      </c>
      <c r="D6598" s="0" t="n">
        <v>0</v>
      </c>
      <c r="E6598" s="19" t="n">
        <v>37.5</v>
      </c>
    </row>
    <row r="6599" customFormat="false" ht="15" hidden="false" customHeight="false" outlineLevel="0" collapsed="false">
      <c r="A6599" s="0" t="n">
        <v>6598</v>
      </c>
      <c r="B6599" s="18" t="n">
        <v>2862494.8297526</v>
      </c>
      <c r="C6599" s="18" t="n">
        <v>5405150.59087038</v>
      </c>
      <c r="D6599" s="0" t="n">
        <v>1</v>
      </c>
    </row>
    <row r="6600" customFormat="false" ht="15" hidden="false" customHeight="false" outlineLevel="0" collapsed="false">
      <c r="A6600" s="0" t="n">
        <v>6599</v>
      </c>
      <c r="B6600" s="18" t="n">
        <v>498397.421691282</v>
      </c>
      <c r="C6600" s="18" t="n">
        <v>0</v>
      </c>
      <c r="D6600" s="0" t="n">
        <v>0</v>
      </c>
      <c r="E6600" s="19" t="n">
        <v>38.25</v>
      </c>
    </row>
    <row r="6601" customFormat="false" ht="15" hidden="false" customHeight="false" outlineLevel="0" collapsed="false">
      <c r="A6601" s="0" t="n">
        <v>6600</v>
      </c>
      <c r="B6601" s="18" t="n">
        <v>637038.765865236</v>
      </c>
      <c r="C6601" s="18" t="n">
        <v>0</v>
      </c>
      <c r="D6601" s="0" t="n">
        <v>0</v>
      </c>
      <c r="E6601" s="19" t="n">
        <v>39</v>
      </c>
    </row>
    <row r="6602" customFormat="false" ht="15" hidden="false" customHeight="false" outlineLevel="0" collapsed="false">
      <c r="A6602" s="0" t="n">
        <v>6601</v>
      </c>
      <c r="B6602" s="18" t="n">
        <v>1904567.71516629</v>
      </c>
      <c r="C6602" s="18" t="n">
        <v>23525353.8158779</v>
      </c>
      <c r="D6602" s="0" t="n">
        <v>1</v>
      </c>
    </row>
    <row r="6603" customFormat="false" ht="15" hidden="false" customHeight="false" outlineLevel="0" collapsed="false">
      <c r="A6603" s="0" t="n">
        <v>6602</v>
      </c>
      <c r="B6603" s="18" t="n">
        <v>1172235.14944148</v>
      </c>
      <c r="C6603" s="18" t="n">
        <v>2286927.6545289</v>
      </c>
      <c r="D6603" s="0" t="n">
        <v>1</v>
      </c>
    </row>
    <row r="6604" customFormat="false" ht="15" hidden="false" customHeight="false" outlineLevel="0" collapsed="false">
      <c r="A6604" s="0" t="n">
        <v>6603</v>
      </c>
      <c r="B6604" s="18" t="n">
        <v>535034.49443151</v>
      </c>
      <c r="C6604" s="18" t="n">
        <v>0</v>
      </c>
      <c r="D6604" s="0" t="n">
        <v>0</v>
      </c>
      <c r="E6604" s="19" t="n">
        <v>44.9166666666667</v>
      </c>
    </row>
    <row r="6605" customFormat="false" ht="15" hidden="false" customHeight="false" outlineLevel="0" collapsed="false">
      <c r="A6605" s="0" t="n">
        <v>6604</v>
      </c>
      <c r="B6605" s="18" t="n">
        <v>842730.45372146</v>
      </c>
      <c r="C6605" s="18" t="n">
        <v>0</v>
      </c>
      <c r="D6605" s="0" t="n">
        <v>0</v>
      </c>
      <c r="E6605" s="19" t="n">
        <v>36.1666666666667</v>
      </c>
    </row>
    <row r="6606" customFormat="false" ht="15" hidden="false" customHeight="false" outlineLevel="0" collapsed="false">
      <c r="A6606" s="0" t="n">
        <v>6605</v>
      </c>
      <c r="B6606" s="18" t="n">
        <v>811343.877217186</v>
      </c>
      <c r="C6606" s="18" t="n">
        <v>0</v>
      </c>
      <c r="D6606" s="0" t="n">
        <v>0</v>
      </c>
      <c r="E6606" s="19" t="n">
        <v>38.6666666666667</v>
      </c>
    </row>
    <row r="6607" customFormat="false" ht="15" hidden="false" customHeight="false" outlineLevel="0" collapsed="false">
      <c r="A6607" s="0" t="n">
        <v>6606</v>
      </c>
      <c r="B6607" s="18" t="n">
        <v>2424347.21791771</v>
      </c>
      <c r="C6607" s="18" t="n">
        <v>3990554.50773485</v>
      </c>
      <c r="D6607" s="0" t="n">
        <v>1</v>
      </c>
    </row>
    <row r="6608" customFormat="false" ht="15" hidden="false" customHeight="false" outlineLevel="0" collapsed="false">
      <c r="A6608" s="0" t="n">
        <v>6607</v>
      </c>
      <c r="B6608" s="18" t="n">
        <v>1124784.46180238</v>
      </c>
      <c r="C6608" s="18" t="n">
        <v>0</v>
      </c>
      <c r="D6608" s="0" t="n">
        <v>0</v>
      </c>
      <c r="E6608" s="19" t="n">
        <v>39</v>
      </c>
    </row>
    <row r="6609" customFormat="false" ht="15" hidden="false" customHeight="false" outlineLevel="0" collapsed="false">
      <c r="A6609" s="0" t="n">
        <v>6608</v>
      </c>
      <c r="B6609" s="18" t="n">
        <v>1041046.60698936</v>
      </c>
      <c r="C6609" s="18" t="n">
        <v>95798.1799529922</v>
      </c>
      <c r="D6609" s="0" t="n">
        <v>1</v>
      </c>
    </row>
    <row r="6610" customFormat="false" ht="15" hidden="false" customHeight="false" outlineLevel="0" collapsed="false">
      <c r="A6610" s="0" t="n">
        <v>6609</v>
      </c>
      <c r="B6610" s="18" t="n">
        <v>832693.079751157</v>
      </c>
      <c r="C6610" s="18" t="n">
        <v>0</v>
      </c>
      <c r="D6610" s="0" t="n">
        <v>0</v>
      </c>
      <c r="E6610" s="19" t="n">
        <v>48</v>
      </c>
    </row>
    <row r="6611" customFormat="false" ht="15" hidden="false" customHeight="false" outlineLevel="0" collapsed="false">
      <c r="A6611" s="0" t="n">
        <v>6610</v>
      </c>
      <c r="B6611" s="18" t="n">
        <v>670588.080085908</v>
      </c>
      <c r="C6611" s="18" t="n">
        <v>0</v>
      </c>
      <c r="D6611" s="0" t="n">
        <v>0</v>
      </c>
      <c r="E6611" s="19" t="n">
        <v>39.1666666666667</v>
      </c>
    </row>
    <row r="6612" customFormat="false" ht="15" hidden="false" customHeight="false" outlineLevel="0" collapsed="false">
      <c r="A6612" s="0" t="n">
        <v>6611</v>
      </c>
      <c r="B6612" s="18" t="n">
        <v>1986585.17984716</v>
      </c>
      <c r="C6612" s="18" t="n">
        <v>0</v>
      </c>
      <c r="D6612" s="0" t="n">
        <v>0</v>
      </c>
      <c r="E6612" s="19" t="n">
        <v>47.9166666666667</v>
      </c>
    </row>
    <row r="6613" customFormat="false" ht="15" hidden="false" customHeight="false" outlineLevel="0" collapsed="false">
      <c r="A6613" s="0" t="n">
        <v>6612</v>
      </c>
      <c r="B6613" s="18" t="n">
        <v>643199.44259256</v>
      </c>
      <c r="C6613" s="18" t="n">
        <v>0</v>
      </c>
      <c r="D6613" s="0" t="n">
        <v>0</v>
      </c>
      <c r="E6613" s="19" t="n">
        <v>36.5</v>
      </c>
    </row>
    <row r="6614" customFormat="false" ht="15" hidden="false" customHeight="false" outlineLevel="0" collapsed="false">
      <c r="A6614" s="0" t="n">
        <v>6613</v>
      </c>
      <c r="B6614" s="18" t="n">
        <v>997163.59497884</v>
      </c>
      <c r="C6614" s="18" t="n">
        <v>0</v>
      </c>
      <c r="D6614" s="0" t="n">
        <v>0</v>
      </c>
      <c r="E6614" s="19" t="n">
        <v>47.75</v>
      </c>
    </row>
    <row r="6615" customFormat="false" ht="15" hidden="false" customHeight="false" outlineLevel="0" collapsed="false">
      <c r="A6615" s="0" t="n">
        <v>6614</v>
      </c>
      <c r="B6615" s="18" t="n">
        <v>2142307.47351675</v>
      </c>
      <c r="C6615" s="18" t="n">
        <v>19228223.7408329</v>
      </c>
      <c r="D6615" s="0" t="n">
        <v>1</v>
      </c>
    </row>
    <row r="6616" customFormat="false" ht="15" hidden="false" customHeight="false" outlineLevel="0" collapsed="false">
      <c r="A6616" s="0" t="n">
        <v>6615</v>
      </c>
      <c r="B6616" s="18" t="n">
        <v>2552873.31287215</v>
      </c>
      <c r="C6616" s="18" t="n">
        <v>7763540.88742061</v>
      </c>
      <c r="D6616" s="0" t="n">
        <v>1</v>
      </c>
    </row>
    <row r="6617" customFormat="false" ht="15" hidden="false" customHeight="false" outlineLevel="0" collapsed="false">
      <c r="A6617" s="0" t="n">
        <v>6616</v>
      </c>
      <c r="B6617" s="18" t="n">
        <v>863165.675035663</v>
      </c>
      <c r="C6617" s="18" t="n">
        <v>1639812.53003276</v>
      </c>
      <c r="D6617" s="0" t="n">
        <v>1</v>
      </c>
    </row>
    <row r="6618" customFormat="false" ht="15" hidden="false" customHeight="false" outlineLevel="0" collapsed="false">
      <c r="A6618" s="0" t="n">
        <v>6617</v>
      </c>
      <c r="B6618" s="18" t="n">
        <v>489917.670895681</v>
      </c>
      <c r="C6618" s="18" t="n">
        <v>0</v>
      </c>
      <c r="D6618" s="0" t="n">
        <v>0</v>
      </c>
      <c r="E6618" s="19" t="n">
        <v>34.3333333333333</v>
      </c>
    </row>
    <row r="6619" customFormat="false" ht="15" hidden="false" customHeight="false" outlineLevel="0" collapsed="false">
      <c r="A6619" s="0" t="n">
        <v>6618</v>
      </c>
      <c r="B6619" s="18" t="n">
        <v>620657.800727852</v>
      </c>
      <c r="C6619" s="18" t="n">
        <v>0</v>
      </c>
      <c r="D6619" s="0" t="n">
        <v>0</v>
      </c>
      <c r="E6619" s="19" t="n">
        <v>43.0833333333333</v>
      </c>
    </row>
    <row r="6620" customFormat="false" ht="15" hidden="false" customHeight="false" outlineLevel="0" collapsed="false">
      <c r="A6620" s="0" t="n">
        <v>6619</v>
      </c>
      <c r="B6620" s="18" t="n">
        <v>867844.861086645</v>
      </c>
      <c r="C6620" s="18" t="n">
        <v>0</v>
      </c>
      <c r="D6620" s="0" t="n">
        <v>0</v>
      </c>
      <c r="E6620" s="19" t="n">
        <v>39.25</v>
      </c>
    </row>
    <row r="6621" customFormat="false" ht="15" hidden="false" customHeight="false" outlineLevel="0" collapsed="false">
      <c r="A6621" s="0" t="n">
        <v>6620</v>
      </c>
      <c r="B6621" s="18" t="n">
        <v>3544745.14205973</v>
      </c>
      <c r="C6621" s="18" t="n">
        <v>15558483.8751304</v>
      </c>
      <c r="D6621" s="0" t="n">
        <v>1</v>
      </c>
    </row>
    <row r="6622" customFormat="false" ht="15" hidden="false" customHeight="false" outlineLevel="0" collapsed="false">
      <c r="A6622" s="0" t="n">
        <v>6621</v>
      </c>
      <c r="B6622" s="18" t="n">
        <v>1374792.12290641</v>
      </c>
      <c r="C6622" s="18" t="n">
        <v>457132.371020613</v>
      </c>
      <c r="D6622" s="0" t="n">
        <v>1</v>
      </c>
    </row>
    <row r="6623" customFormat="false" ht="15" hidden="false" customHeight="false" outlineLevel="0" collapsed="false">
      <c r="A6623" s="0" t="n">
        <v>6622</v>
      </c>
      <c r="B6623" s="18" t="n">
        <v>1804151.12275956</v>
      </c>
      <c r="C6623" s="18" t="n">
        <v>3019532.19508525</v>
      </c>
      <c r="D6623" s="0" t="n">
        <v>1</v>
      </c>
    </row>
    <row r="6624" customFormat="false" ht="15" hidden="false" customHeight="false" outlineLevel="0" collapsed="false">
      <c r="A6624" s="0" t="n">
        <v>6623</v>
      </c>
      <c r="B6624" s="18" t="n">
        <v>706922.051035187</v>
      </c>
      <c r="C6624" s="18" t="n">
        <v>0</v>
      </c>
      <c r="D6624" s="0" t="n">
        <v>0</v>
      </c>
      <c r="E6624" s="19" t="n">
        <v>46.1666666666667</v>
      </c>
    </row>
    <row r="6625" customFormat="false" ht="15" hidden="false" customHeight="false" outlineLevel="0" collapsed="false">
      <c r="A6625" s="0" t="n">
        <v>6624</v>
      </c>
      <c r="B6625" s="18" t="n">
        <v>919835.800966876</v>
      </c>
      <c r="C6625" s="18" t="n">
        <v>0</v>
      </c>
      <c r="D6625" s="0" t="n">
        <v>0</v>
      </c>
      <c r="E6625" s="19" t="n">
        <v>41.3333333333333</v>
      </c>
    </row>
    <row r="6626" customFormat="false" ht="15" hidden="false" customHeight="false" outlineLevel="0" collapsed="false">
      <c r="A6626" s="0" t="n">
        <v>6625</v>
      </c>
      <c r="B6626" s="18" t="n">
        <v>1026062.85313407</v>
      </c>
      <c r="C6626" s="18" t="n">
        <v>0</v>
      </c>
      <c r="D6626" s="0" t="n">
        <v>0</v>
      </c>
      <c r="E6626" s="19" t="n">
        <v>38.8333333333333</v>
      </c>
    </row>
    <row r="6627" customFormat="false" ht="15" hidden="false" customHeight="false" outlineLevel="0" collapsed="false">
      <c r="A6627" s="0" t="n">
        <v>6626</v>
      </c>
      <c r="B6627" s="18" t="n">
        <v>1051082.71772232</v>
      </c>
      <c r="C6627" s="18" t="n">
        <v>0</v>
      </c>
      <c r="D6627" s="0" t="n">
        <v>0</v>
      </c>
      <c r="E6627" s="19" t="n">
        <v>39.75</v>
      </c>
    </row>
    <row r="6628" customFormat="false" ht="15" hidden="false" customHeight="false" outlineLevel="0" collapsed="false">
      <c r="A6628" s="0" t="n">
        <v>6627</v>
      </c>
      <c r="B6628" s="18" t="n">
        <v>993488.173592128</v>
      </c>
      <c r="C6628" s="18" t="n">
        <v>1426596.47588348</v>
      </c>
      <c r="D6628" s="0" t="n">
        <v>1</v>
      </c>
    </row>
    <row r="6629" customFormat="false" ht="15" hidden="false" customHeight="false" outlineLevel="0" collapsed="false">
      <c r="A6629" s="0" t="n">
        <v>6628</v>
      </c>
      <c r="B6629" s="18" t="n">
        <v>1728506.5071882</v>
      </c>
      <c r="C6629" s="18" t="n">
        <v>13211200.5257447</v>
      </c>
      <c r="D6629" s="0" t="n">
        <v>1</v>
      </c>
    </row>
    <row r="6630" customFormat="false" ht="15" hidden="false" customHeight="false" outlineLevel="0" collapsed="false">
      <c r="A6630" s="0" t="n">
        <v>6629</v>
      </c>
      <c r="B6630" s="18" t="n">
        <v>996334.973881809</v>
      </c>
      <c r="C6630" s="18" t="n">
        <v>184224.27358776</v>
      </c>
      <c r="D6630" s="0" t="n">
        <v>1</v>
      </c>
    </row>
    <row r="6631" customFormat="false" ht="15" hidden="false" customHeight="false" outlineLevel="0" collapsed="false">
      <c r="A6631" s="0" t="n">
        <v>6630</v>
      </c>
      <c r="B6631" s="18" t="n">
        <v>340595.859398272</v>
      </c>
      <c r="C6631" s="18" t="n">
        <v>0</v>
      </c>
      <c r="D6631" s="0" t="n">
        <v>0</v>
      </c>
      <c r="E6631" s="19" t="n">
        <v>31.4166666666667</v>
      </c>
    </row>
    <row r="6632" customFormat="false" ht="15" hidden="false" customHeight="false" outlineLevel="0" collapsed="false">
      <c r="A6632" s="0" t="n">
        <v>6631</v>
      </c>
      <c r="B6632" s="18" t="n">
        <v>1558393.68376116</v>
      </c>
      <c r="C6632" s="18" t="n">
        <v>375248.379445402</v>
      </c>
      <c r="D6632" s="0" t="n">
        <v>1</v>
      </c>
    </row>
    <row r="6633" customFormat="false" ht="15" hidden="false" customHeight="false" outlineLevel="0" collapsed="false">
      <c r="A6633" s="0" t="n">
        <v>6632</v>
      </c>
      <c r="B6633" s="18" t="n">
        <v>1697561.23369884</v>
      </c>
      <c r="C6633" s="18" t="n">
        <v>4077249.28980136</v>
      </c>
      <c r="D6633" s="0" t="n">
        <v>1</v>
      </c>
    </row>
    <row r="6634" customFormat="false" ht="15" hidden="false" customHeight="false" outlineLevel="0" collapsed="false">
      <c r="A6634" s="0" t="n">
        <v>6633</v>
      </c>
      <c r="B6634" s="18" t="n">
        <v>600919.836463771</v>
      </c>
      <c r="C6634" s="18" t="n">
        <v>0</v>
      </c>
      <c r="D6634" s="0" t="n">
        <v>0</v>
      </c>
      <c r="E6634" s="19" t="n">
        <v>32.4166666666667</v>
      </c>
    </row>
    <row r="6635" customFormat="false" ht="15" hidden="false" customHeight="false" outlineLevel="0" collapsed="false">
      <c r="A6635" s="0" t="n">
        <v>6634</v>
      </c>
      <c r="B6635" s="18" t="n">
        <v>1039304.0613154</v>
      </c>
      <c r="C6635" s="18" t="n">
        <v>3227180.57989024</v>
      </c>
      <c r="D6635" s="0" t="n">
        <v>1</v>
      </c>
    </row>
    <row r="6636" customFormat="false" ht="15" hidden="false" customHeight="false" outlineLevel="0" collapsed="false">
      <c r="A6636" s="0" t="n">
        <v>6635</v>
      </c>
      <c r="B6636" s="18" t="n">
        <v>1264696.11745881</v>
      </c>
      <c r="C6636" s="18" t="n">
        <v>28461974.2985877</v>
      </c>
      <c r="D6636" s="0" t="n">
        <v>1</v>
      </c>
    </row>
    <row r="6637" customFormat="false" ht="15" hidden="false" customHeight="false" outlineLevel="0" collapsed="false">
      <c r="A6637" s="0" t="n">
        <v>6636</v>
      </c>
      <c r="B6637" s="18" t="n">
        <v>886868.047105402</v>
      </c>
      <c r="C6637" s="18" t="n">
        <v>0</v>
      </c>
      <c r="D6637" s="0" t="n">
        <v>0</v>
      </c>
      <c r="E6637" s="19" t="n">
        <v>45.0833333333333</v>
      </c>
    </row>
    <row r="6638" customFormat="false" ht="15" hidden="false" customHeight="false" outlineLevel="0" collapsed="false">
      <c r="A6638" s="0" t="n">
        <v>6637</v>
      </c>
      <c r="B6638" s="18" t="n">
        <v>1181141.33881856</v>
      </c>
      <c r="C6638" s="18" t="n">
        <v>0</v>
      </c>
      <c r="D6638" s="0" t="n">
        <v>0</v>
      </c>
      <c r="E6638" s="19" t="n">
        <v>51.1666666666667</v>
      </c>
    </row>
    <row r="6639" customFormat="false" ht="15" hidden="false" customHeight="false" outlineLevel="0" collapsed="false">
      <c r="A6639" s="0" t="n">
        <v>6638</v>
      </c>
      <c r="B6639" s="18" t="n">
        <v>637788.626277239</v>
      </c>
      <c r="C6639" s="18" t="n">
        <v>0</v>
      </c>
      <c r="D6639" s="0" t="n">
        <v>0</v>
      </c>
      <c r="E6639" s="19" t="n">
        <v>35.5833333333333</v>
      </c>
    </row>
    <row r="6640" customFormat="false" ht="15" hidden="false" customHeight="false" outlineLevel="0" collapsed="false">
      <c r="A6640" s="0" t="n">
        <v>6639</v>
      </c>
      <c r="B6640" s="18" t="n">
        <v>522167.118042965</v>
      </c>
      <c r="C6640" s="18" t="n">
        <v>0</v>
      </c>
      <c r="D6640" s="0" t="n">
        <v>0</v>
      </c>
      <c r="E6640" s="19" t="n">
        <v>34.8333333333333</v>
      </c>
    </row>
    <row r="6641" customFormat="false" ht="15" hidden="false" customHeight="false" outlineLevel="0" collapsed="false">
      <c r="A6641" s="0" t="n">
        <v>6640</v>
      </c>
      <c r="B6641" s="18" t="n">
        <v>1825465.94722348</v>
      </c>
      <c r="C6641" s="18" t="n">
        <v>5743412.36209124</v>
      </c>
      <c r="D6641" s="0" t="n">
        <v>1</v>
      </c>
    </row>
    <row r="6642" customFormat="false" ht="15" hidden="false" customHeight="false" outlineLevel="0" collapsed="false">
      <c r="A6642" s="0" t="n">
        <v>6641</v>
      </c>
      <c r="B6642" s="18" t="n">
        <v>1828638.38035057</v>
      </c>
      <c r="C6642" s="18" t="n">
        <v>1083579.62837686</v>
      </c>
      <c r="D6642" s="0" t="n">
        <v>1</v>
      </c>
    </row>
    <row r="6643" customFormat="false" ht="15" hidden="false" customHeight="false" outlineLevel="0" collapsed="false">
      <c r="A6643" s="0" t="n">
        <v>6642</v>
      </c>
      <c r="B6643" s="18" t="n">
        <v>2951816.10250176</v>
      </c>
      <c r="C6643" s="18" t="n">
        <v>27640507.0883575</v>
      </c>
      <c r="D6643" s="0" t="n">
        <v>1</v>
      </c>
    </row>
    <row r="6644" customFormat="false" ht="15" hidden="false" customHeight="false" outlineLevel="0" collapsed="false">
      <c r="A6644" s="0" t="n">
        <v>6643</v>
      </c>
      <c r="B6644" s="18" t="n">
        <v>1657851.21257529</v>
      </c>
      <c r="C6644" s="18" t="n">
        <v>1795644.31643104</v>
      </c>
      <c r="D6644" s="0" t="n">
        <v>1</v>
      </c>
    </row>
    <row r="6645" customFormat="false" ht="15" hidden="false" customHeight="false" outlineLevel="0" collapsed="false">
      <c r="A6645" s="0" t="n">
        <v>6644</v>
      </c>
      <c r="B6645" s="18" t="n">
        <v>1077877.36708825</v>
      </c>
      <c r="C6645" s="18" t="n">
        <v>23848658.2524442</v>
      </c>
      <c r="D6645" s="0" t="n">
        <v>1</v>
      </c>
    </row>
    <row r="6646" customFormat="false" ht="15" hidden="false" customHeight="false" outlineLevel="0" collapsed="false">
      <c r="A6646" s="0" t="n">
        <v>6645</v>
      </c>
      <c r="B6646" s="18" t="n">
        <v>579906.532939163</v>
      </c>
      <c r="C6646" s="18" t="n">
        <v>0</v>
      </c>
      <c r="D6646" s="0" t="n">
        <v>0</v>
      </c>
      <c r="E6646" s="19" t="n">
        <v>35.5</v>
      </c>
    </row>
    <row r="6647" customFormat="false" ht="15" hidden="false" customHeight="false" outlineLevel="0" collapsed="false">
      <c r="A6647" s="0" t="n">
        <v>6646</v>
      </c>
      <c r="B6647" s="18" t="n">
        <v>734297.238753766</v>
      </c>
      <c r="C6647" s="18" t="n">
        <v>0</v>
      </c>
      <c r="D6647" s="0" t="n">
        <v>0</v>
      </c>
      <c r="E6647" s="19" t="n">
        <v>40.75</v>
      </c>
    </row>
    <row r="6648" customFormat="false" ht="15" hidden="false" customHeight="false" outlineLevel="0" collapsed="false">
      <c r="A6648" s="0" t="n">
        <v>6647</v>
      </c>
      <c r="B6648" s="18" t="n">
        <v>418692.12878224</v>
      </c>
      <c r="C6648" s="18" t="n">
        <v>0</v>
      </c>
      <c r="D6648" s="0" t="n">
        <v>0</v>
      </c>
      <c r="E6648" s="19" t="n">
        <v>32.3333333333333</v>
      </c>
    </row>
    <row r="6649" customFormat="false" ht="15" hidden="false" customHeight="false" outlineLevel="0" collapsed="false">
      <c r="A6649" s="0" t="n">
        <v>6648</v>
      </c>
      <c r="B6649" s="18" t="n">
        <v>332316.039635047</v>
      </c>
      <c r="C6649" s="18" t="n">
        <v>0</v>
      </c>
      <c r="D6649" s="0" t="n">
        <v>0</v>
      </c>
      <c r="E6649" s="19" t="n">
        <v>30.0833333333333</v>
      </c>
    </row>
    <row r="6650" customFormat="false" ht="15" hidden="false" customHeight="false" outlineLevel="0" collapsed="false">
      <c r="A6650" s="0" t="n">
        <v>6649</v>
      </c>
      <c r="B6650" s="18" t="n">
        <v>1276669.47967725</v>
      </c>
      <c r="C6650" s="18" t="n">
        <v>0</v>
      </c>
      <c r="D6650" s="0" t="n">
        <v>0</v>
      </c>
      <c r="E6650" s="19" t="n">
        <v>45.25</v>
      </c>
    </row>
    <row r="6651" customFormat="false" ht="15" hidden="false" customHeight="false" outlineLevel="0" collapsed="false">
      <c r="A6651" s="0" t="n">
        <v>6650</v>
      </c>
      <c r="B6651" s="18" t="n">
        <v>785263.441198099</v>
      </c>
      <c r="C6651" s="18" t="n">
        <v>4449193.25283279</v>
      </c>
      <c r="D6651" s="0" t="n">
        <v>1</v>
      </c>
    </row>
    <row r="6652" customFormat="false" ht="15" hidden="false" customHeight="false" outlineLevel="0" collapsed="false">
      <c r="A6652" s="0" t="n">
        <v>6651</v>
      </c>
      <c r="B6652" s="18" t="n">
        <v>772407.061396036</v>
      </c>
      <c r="C6652" s="18" t="n">
        <v>18167.9781113202</v>
      </c>
      <c r="D6652" s="0" t="n">
        <v>1</v>
      </c>
    </row>
    <row r="6653" customFormat="false" ht="15" hidden="false" customHeight="false" outlineLevel="0" collapsed="false">
      <c r="A6653" s="0" t="n">
        <v>6652</v>
      </c>
      <c r="B6653" s="18" t="n">
        <v>906867.671268177</v>
      </c>
      <c r="C6653" s="18" t="n">
        <v>0</v>
      </c>
      <c r="D6653" s="0" t="n">
        <v>0</v>
      </c>
      <c r="E6653" s="19" t="n">
        <v>43.9166666666667</v>
      </c>
    </row>
    <row r="6654" customFormat="false" ht="15" hidden="false" customHeight="false" outlineLevel="0" collapsed="false">
      <c r="A6654" s="0" t="n">
        <v>6653</v>
      </c>
      <c r="B6654" s="18" t="n">
        <v>699759.341143518</v>
      </c>
      <c r="C6654" s="18" t="n">
        <v>108293.86334927</v>
      </c>
      <c r="D6654" s="0" t="n">
        <v>1</v>
      </c>
    </row>
    <row r="6655" customFormat="false" ht="15" hidden="false" customHeight="false" outlineLevel="0" collapsed="false">
      <c r="A6655" s="0" t="n">
        <v>6654</v>
      </c>
      <c r="B6655" s="18" t="n">
        <v>824451.975671966</v>
      </c>
      <c r="C6655" s="18" t="n">
        <v>0</v>
      </c>
      <c r="D6655" s="0" t="n">
        <v>0</v>
      </c>
      <c r="E6655" s="19" t="n">
        <v>46.25</v>
      </c>
    </row>
    <row r="6656" customFormat="false" ht="15" hidden="false" customHeight="false" outlineLevel="0" collapsed="false">
      <c r="A6656" s="0" t="n">
        <v>6655</v>
      </c>
      <c r="B6656" s="18" t="n">
        <v>1664895.82046236</v>
      </c>
      <c r="C6656" s="18" t="n">
        <v>3513202.56635645</v>
      </c>
      <c r="D6656" s="0" t="n">
        <v>1</v>
      </c>
    </row>
    <row r="6657" customFormat="false" ht="15" hidden="false" customHeight="false" outlineLevel="0" collapsed="false">
      <c r="A6657" s="0" t="n">
        <v>6656</v>
      </c>
      <c r="B6657" s="18" t="n">
        <v>580197.658977664</v>
      </c>
      <c r="C6657" s="18" t="n">
        <v>0</v>
      </c>
      <c r="D6657" s="0" t="n">
        <v>0</v>
      </c>
      <c r="E6657" s="19" t="n">
        <v>36.0833333333333</v>
      </c>
    </row>
    <row r="6658" customFormat="false" ht="15" hidden="false" customHeight="false" outlineLevel="0" collapsed="false">
      <c r="A6658" s="0" t="n">
        <v>6657</v>
      </c>
      <c r="B6658" s="18" t="n">
        <v>3281041.66700505</v>
      </c>
      <c r="C6658" s="18" t="n">
        <v>12526002.8759665</v>
      </c>
      <c r="D6658" s="0" t="n">
        <v>1</v>
      </c>
    </row>
    <row r="6659" customFormat="false" ht="15" hidden="false" customHeight="false" outlineLevel="0" collapsed="false">
      <c r="A6659" s="0" t="n">
        <v>6658</v>
      </c>
      <c r="B6659" s="18" t="n">
        <v>525283.110149499</v>
      </c>
      <c r="C6659" s="18" t="n">
        <v>0</v>
      </c>
      <c r="D6659" s="0" t="n">
        <v>0</v>
      </c>
      <c r="E6659" s="19" t="n">
        <v>39.9166666666667</v>
      </c>
    </row>
    <row r="6660" customFormat="false" ht="15" hidden="false" customHeight="false" outlineLevel="0" collapsed="false">
      <c r="A6660" s="0" t="n">
        <v>6659</v>
      </c>
      <c r="B6660" s="18" t="n">
        <v>1021756.22509151</v>
      </c>
      <c r="C6660" s="18" t="n">
        <v>0</v>
      </c>
      <c r="D6660" s="0" t="n">
        <v>0</v>
      </c>
      <c r="E6660" s="19" t="n">
        <v>51.9166666666667</v>
      </c>
    </row>
    <row r="6661" customFormat="false" ht="15" hidden="false" customHeight="false" outlineLevel="0" collapsed="false">
      <c r="A6661" s="0" t="n">
        <v>6660</v>
      </c>
      <c r="B6661" s="18" t="n">
        <v>1699357.24085898</v>
      </c>
      <c r="C6661" s="18" t="n">
        <v>0</v>
      </c>
      <c r="D6661" s="0" t="n">
        <v>0</v>
      </c>
      <c r="E6661" s="19" t="n">
        <v>44.4166666666667</v>
      </c>
    </row>
    <row r="6662" customFormat="false" ht="15" hidden="false" customHeight="false" outlineLevel="0" collapsed="false">
      <c r="A6662" s="0" t="n">
        <v>6661</v>
      </c>
      <c r="B6662" s="18" t="n">
        <v>1753115.5376061</v>
      </c>
      <c r="C6662" s="18" t="n">
        <v>7720928.35326421</v>
      </c>
      <c r="D6662" s="0" t="n">
        <v>1</v>
      </c>
    </row>
    <row r="6663" customFormat="false" ht="15" hidden="false" customHeight="false" outlineLevel="0" collapsed="false">
      <c r="A6663" s="0" t="n">
        <v>6662</v>
      </c>
      <c r="B6663" s="18" t="n">
        <v>712754.288495733</v>
      </c>
      <c r="C6663" s="18" t="n">
        <v>0</v>
      </c>
      <c r="D6663" s="0" t="n">
        <v>0</v>
      </c>
      <c r="E6663" s="19" t="n">
        <v>38.3333333333333</v>
      </c>
    </row>
    <row r="6664" customFormat="false" ht="15" hidden="false" customHeight="false" outlineLevel="0" collapsed="false">
      <c r="A6664" s="0" t="n">
        <v>6663</v>
      </c>
      <c r="B6664" s="18" t="n">
        <v>566756.514524022</v>
      </c>
      <c r="C6664" s="18" t="n">
        <v>0</v>
      </c>
      <c r="D6664" s="0" t="n">
        <v>0</v>
      </c>
      <c r="E6664" s="19" t="n">
        <v>45.1666666666667</v>
      </c>
    </row>
    <row r="6665" customFormat="false" ht="15" hidden="false" customHeight="false" outlineLevel="0" collapsed="false">
      <c r="A6665" s="0" t="n">
        <v>6664</v>
      </c>
      <c r="B6665" s="18" t="n">
        <v>1241256.85066399</v>
      </c>
      <c r="C6665" s="18" t="n">
        <v>50090.6034929205</v>
      </c>
      <c r="D6665" s="0" t="n">
        <v>1</v>
      </c>
    </row>
    <row r="6666" customFormat="false" ht="15" hidden="false" customHeight="false" outlineLevel="0" collapsed="false">
      <c r="A6666" s="0" t="n">
        <v>6665</v>
      </c>
      <c r="B6666" s="18" t="n">
        <v>1159053.66744907</v>
      </c>
      <c r="C6666" s="18" t="n">
        <v>0</v>
      </c>
      <c r="D6666" s="0" t="n">
        <v>0</v>
      </c>
      <c r="E6666" s="19" t="n">
        <v>43.9166666666667</v>
      </c>
    </row>
    <row r="6667" customFormat="false" ht="15" hidden="false" customHeight="false" outlineLevel="0" collapsed="false">
      <c r="A6667" s="0" t="n">
        <v>6666</v>
      </c>
      <c r="B6667" s="18" t="n">
        <v>763310.069524181</v>
      </c>
      <c r="C6667" s="18" t="n">
        <v>0</v>
      </c>
      <c r="D6667" s="0" t="n">
        <v>0</v>
      </c>
      <c r="E6667" s="19" t="n">
        <v>42.4166666666667</v>
      </c>
    </row>
    <row r="6668" customFormat="false" ht="15" hidden="false" customHeight="false" outlineLevel="0" collapsed="false">
      <c r="A6668" s="0" t="n">
        <v>6667</v>
      </c>
      <c r="B6668" s="18" t="n">
        <v>1448512.82960317</v>
      </c>
      <c r="C6668" s="18" t="n">
        <v>0</v>
      </c>
      <c r="D6668" s="0" t="n">
        <v>0</v>
      </c>
      <c r="E6668" s="19" t="n">
        <v>54.5833333333333</v>
      </c>
    </row>
    <row r="6669" customFormat="false" ht="15" hidden="false" customHeight="false" outlineLevel="0" collapsed="false">
      <c r="A6669" s="0" t="n">
        <v>6668</v>
      </c>
      <c r="B6669" s="18" t="n">
        <v>1722466.50311077</v>
      </c>
      <c r="C6669" s="18" t="n">
        <v>21374.3610243929</v>
      </c>
      <c r="D6669" s="0" t="n">
        <v>1</v>
      </c>
    </row>
    <row r="6670" customFormat="false" ht="15" hidden="false" customHeight="false" outlineLevel="0" collapsed="false">
      <c r="A6670" s="0" t="n">
        <v>6669</v>
      </c>
      <c r="B6670" s="18" t="n">
        <v>2753660.79623707</v>
      </c>
      <c r="C6670" s="18" t="n">
        <v>1820697.51347791</v>
      </c>
      <c r="D6670" s="0" t="n">
        <v>1</v>
      </c>
    </row>
    <row r="6671" customFormat="false" ht="15" hidden="false" customHeight="false" outlineLevel="0" collapsed="false">
      <c r="A6671" s="0" t="n">
        <v>6670</v>
      </c>
      <c r="B6671" s="18" t="n">
        <v>1480748.36472068</v>
      </c>
      <c r="C6671" s="18" t="n">
        <v>9641001.42438031</v>
      </c>
      <c r="D6671" s="0" t="n">
        <v>1</v>
      </c>
    </row>
    <row r="6672" customFormat="false" ht="15" hidden="false" customHeight="false" outlineLevel="0" collapsed="false">
      <c r="A6672" s="0" t="n">
        <v>6671</v>
      </c>
      <c r="B6672" s="18" t="n">
        <v>701925.96276247</v>
      </c>
      <c r="C6672" s="18" t="n">
        <v>0</v>
      </c>
      <c r="D6672" s="0" t="n">
        <v>0</v>
      </c>
      <c r="E6672" s="19" t="n">
        <v>37.1666666666667</v>
      </c>
    </row>
    <row r="6673" customFormat="false" ht="15" hidden="false" customHeight="false" outlineLevel="0" collapsed="false">
      <c r="A6673" s="0" t="n">
        <v>6672</v>
      </c>
      <c r="B6673" s="18" t="n">
        <v>1782161.22705587</v>
      </c>
      <c r="C6673" s="18" t="n">
        <v>12172891.9679063</v>
      </c>
      <c r="D6673" s="0" t="n">
        <v>1</v>
      </c>
    </row>
    <row r="6674" customFormat="false" ht="15" hidden="false" customHeight="false" outlineLevel="0" collapsed="false">
      <c r="A6674" s="0" t="n">
        <v>6673</v>
      </c>
      <c r="B6674" s="18" t="n">
        <v>2193639.73278564</v>
      </c>
      <c r="C6674" s="18" t="n">
        <v>6659517.01858805</v>
      </c>
      <c r="D6674" s="0" t="n">
        <v>1</v>
      </c>
    </row>
    <row r="6675" customFormat="false" ht="15" hidden="false" customHeight="false" outlineLevel="0" collapsed="false">
      <c r="A6675" s="0" t="n">
        <v>6674</v>
      </c>
      <c r="B6675" s="18" t="n">
        <v>382814.467366495</v>
      </c>
      <c r="C6675" s="18" t="n">
        <v>0</v>
      </c>
      <c r="D6675" s="0" t="n">
        <v>0</v>
      </c>
      <c r="E6675" s="19" t="n">
        <v>33</v>
      </c>
    </row>
    <row r="6676" customFormat="false" ht="15" hidden="false" customHeight="false" outlineLevel="0" collapsed="false">
      <c r="A6676" s="0" t="n">
        <v>6675</v>
      </c>
      <c r="B6676" s="18" t="n">
        <v>1222094.84389942</v>
      </c>
      <c r="C6676" s="18" t="n">
        <v>2952004.82207061</v>
      </c>
      <c r="D6676" s="0" t="n">
        <v>1</v>
      </c>
    </row>
    <row r="6677" customFormat="false" ht="15" hidden="false" customHeight="false" outlineLevel="0" collapsed="false">
      <c r="A6677" s="0" t="n">
        <v>6676</v>
      </c>
      <c r="B6677" s="18" t="n">
        <v>776829.059395665</v>
      </c>
      <c r="C6677" s="18" t="n">
        <v>598216.913550286</v>
      </c>
      <c r="D6677" s="0" t="n">
        <v>1</v>
      </c>
    </row>
    <row r="6678" customFormat="false" ht="15" hidden="false" customHeight="false" outlineLevel="0" collapsed="false">
      <c r="A6678" s="0" t="n">
        <v>6677</v>
      </c>
      <c r="B6678" s="18" t="n">
        <v>584011.851290209</v>
      </c>
      <c r="C6678" s="18" t="n">
        <v>1448876.62826353</v>
      </c>
      <c r="D6678" s="0" t="n">
        <v>1</v>
      </c>
    </row>
    <row r="6679" customFormat="false" ht="15" hidden="false" customHeight="false" outlineLevel="0" collapsed="false">
      <c r="A6679" s="0" t="n">
        <v>6678</v>
      </c>
      <c r="B6679" s="18" t="n">
        <v>765567.991430303</v>
      </c>
      <c r="C6679" s="18" t="n">
        <v>0</v>
      </c>
      <c r="D6679" s="0" t="n">
        <v>0</v>
      </c>
      <c r="E6679" s="19" t="n">
        <v>47.3333333333333</v>
      </c>
    </row>
    <row r="6680" customFormat="false" ht="15" hidden="false" customHeight="false" outlineLevel="0" collapsed="false">
      <c r="A6680" s="0" t="n">
        <v>6679</v>
      </c>
      <c r="B6680" s="18" t="n">
        <v>970220.945957686</v>
      </c>
      <c r="C6680" s="18" t="n">
        <v>2019033.57063309</v>
      </c>
      <c r="D6680" s="0" t="n">
        <v>1</v>
      </c>
    </row>
    <row r="6681" customFormat="false" ht="15" hidden="false" customHeight="false" outlineLevel="0" collapsed="false">
      <c r="A6681" s="0" t="n">
        <v>6680</v>
      </c>
      <c r="B6681" s="18" t="n">
        <v>623698.727614469</v>
      </c>
      <c r="C6681" s="18" t="n">
        <v>0</v>
      </c>
      <c r="D6681" s="0" t="n">
        <v>0</v>
      </c>
      <c r="E6681" s="19" t="n">
        <v>37.9166666666667</v>
      </c>
    </row>
    <row r="6682" customFormat="false" ht="15" hidden="false" customHeight="false" outlineLevel="0" collapsed="false">
      <c r="A6682" s="0" t="n">
        <v>6681</v>
      </c>
      <c r="B6682" s="18" t="n">
        <v>968036.881848321</v>
      </c>
      <c r="C6682" s="18" t="n">
        <v>0</v>
      </c>
      <c r="D6682" s="0" t="n">
        <v>0</v>
      </c>
      <c r="E6682" s="19" t="n">
        <v>45.6666666666667</v>
      </c>
    </row>
    <row r="6683" customFormat="false" ht="15" hidden="false" customHeight="false" outlineLevel="0" collapsed="false">
      <c r="A6683" s="0" t="n">
        <v>6682</v>
      </c>
      <c r="B6683" s="18" t="n">
        <v>815286.832635748</v>
      </c>
      <c r="C6683" s="18" t="n">
        <v>12538088.5283508</v>
      </c>
      <c r="D6683" s="0" t="n">
        <v>1</v>
      </c>
    </row>
    <row r="6684" customFormat="false" ht="15" hidden="false" customHeight="false" outlineLevel="0" collapsed="false">
      <c r="A6684" s="0" t="n">
        <v>6683</v>
      </c>
      <c r="B6684" s="18" t="n">
        <v>760788.247713843</v>
      </c>
      <c r="C6684" s="18" t="n">
        <v>0</v>
      </c>
      <c r="D6684" s="0" t="n">
        <v>0</v>
      </c>
      <c r="E6684" s="19" t="n">
        <v>40.4166666666667</v>
      </c>
    </row>
    <row r="6685" customFormat="false" ht="15" hidden="false" customHeight="false" outlineLevel="0" collapsed="false">
      <c r="A6685" s="0" t="n">
        <v>6684</v>
      </c>
      <c r="B6685" s="18" t="n">
        <v>1204252.64848884</v>
      </c>
      <c r="C6685" s="18" t="n">
        <v>0</v>
      </c>
      <c r="D6685" s="0" t="n">
        <v>0</v>
      </c>
      <c r="E6685" s="19" t="n">
        <v>50.6666666666667</v>
      </c>
    </row>
    <row r="6686" customFormat="false" ht="15" hidden="false" customHeight="false" outlineLevel="0" collapsed="false">
      <c r="A6686" s="0" t="n">
        <v>6685</v>
      </c>
      <c r="B6686" s="18" t="n">
        <v>841822.977640016</v>
      </c>
      <c r="C6686" s="18" t="n">
        <v>0</v>
      </c>
      <c r="D6686" s="0" t="n">
        <v>0</v>
      </c>
      <c r="E6686" s="19" t="n">
        <v>34.6666666666667</v>
      </c>
    </row>
    <row r="6687" customFormat="false" ht="15" hidden="false" customHeight="false" outlineLevel="0" collapsed="false">
      <c r="A6687" s="0" t="n">
        <v>6686</v>
      </c>
      <c r="B6687" s="18" t="n">
        <v>1474641.87067483</v>
      </c>
      <c r="C6687" s="18" t="n">
        <v>0</v>
      </c>
      <c r="D6687" s="0" t="n">
        <v>0</v>
      </c>
      <c r="E6687" s="19" t="n">
        <v>41.4166666666667</v>
      </c>
    </row>
    <row r="6688" customFormat="false" ht="15" hidden="false" customHeight="false" outlineLevel="0" collapsed="false">
      <c r="A6688" s="0" t="n">
        <v>6687</v>
      </c>
      <c r="B6688" s="18" t="n">
        <v>1029216.15795303</v>
      </c>
      <c r="C6688" s="18" t="n">
        <v>4290555.62494008</v>
      </c>
      <c r="D6688" s="0" t="n">
        <v>1</v>
      </c>
    </row>
    <row r="6689" customFormat="false" ht="15" hidden="false" customHeight="false" outlineLevel="0" collapsed="false">
      <c r="A6689" s="0" t="n">
        <v>6688</v>
      </c>
      <c r="B6689" s="18" t="n">
        <v>1185780.84717499</v>
      </c>
      <c r="C6689" s="18" t="n">
        <v>2130353.76374529</v>
      </c>
      <c r="D6689" s="0" t="n">
        <v>1</v>
      </c>
    </row>
    <row r="6690" customFormat="false" ht="15" hidden="false" customHeight="false" outlineLevel="0" collapsed="false">
      <c r="A6690" s="0" t="n">
        <v>6689</v>
      </c>
      <c r="B6690" s="18" t="n">
        <v>852130.47066929</v>
      </c>
      <c r="C6690" s="18" t="n">
        <v>0</v>
      </c>
      <c r="D6690" s="0" t="n">
        <v>0</v>
      </c>
      <c r="E6690" s="19" t="n">
        <v>45.25</v>
      </c>
    </row>
    <row r="6691" customFormat="false" ht="15" hidden="false" customHeight="false" outlineLevel="0" collapsed="false">
      <c r="A6691" s="0" t="n">
        <v>6690</v>
      </c>
      <c r="B6691" s="18" t="n">
        <v>3656358.11486025</v>
      </c>
      <c r="C6691" s="18" t="n">
        <v>8622251.66606741</v>
      </c>
      <c r="D6691" s="0" t="n">
        <v>1</v>
      </c>
    </row>
    <row r="6692" customFormat="false" ht="15" hidden="false" customHeight="false" outlineLevel="0" collapsed="false">
      <c r="A6692" s="0" t="n">
        <v>6691</v>
      </c>
      <c r="B6692" s="18" t="n">
        <v>632764.452364566</v>
      </c>
      <c r="C6692" s="18" t="n">
        <v>0</v>
      </c>
      <c r="D6692" s="0" t="n">
        <v>0</v>
      </c>
      <c r="E6692" s="19" t="n">
        <v>42.0833333333333</v>
      </c>
    </row>
    <row r="6693" customFormat="false" ht="15" hidden="false" customHeight="false" outlineLevel="0" collapsed="false">
      <c r="A6693" s="0" t="n">
        <v>6692</v>
      </c>
      <c r="B6693" s="18" t="n">
        <v>731022.838320121</v>
      </c>
      <c r="C6693" s="18" t="n">
        <v>0</v>
      </c>
      <c r="D6693" s="0" t="n">
        <v>0</v>
      </c>
      <c r="E6693" s="19" t="n">
        <v>32.8333333333333</v>
      </c>
    </row>
    <row r="6694" customFormat="false" ht="15" hidden="false" customHeight="false" outlineLevel="0" collapsed="false">
      <c r="A6694" s="0" t="n">
        <v>6693</v>
      </c>
      <c r="B6694" s="18" t="n">
        <v>973388.143255098</v>
      </c>
      <c r="C6694" s="18" t="n">
        <v>0</v>
      </c>
      <c r="D6694" s="0" t="n">
        <v>0</v>
      </c>
      <c r="E6694" s="19" t="n">
        <v>42.5</v>
      </c>
    </row>
    <row r="6695" customFormat="false" ht="15" hidden="false" customHeight="false" outlineLevel="0" collapsed="false">
      <c r="A6695" s="0" t="n">
        <v>6694</v>
      </c>
      <c r="B6695" s="18" t="n">
        <v>590149.42494429</v>
      </c>
      <c r="C6695" s="18" t="n">
        <v>0</v>
      </c>
      <c r="D6695" s="0" t="n">
        <v>0</v>
      </c>
      <c r="E6695" s="19" t="n">
        <v>35</v>
      </c>
    </row>
    <row r="6696" customFormat="false" ht="15" hidden="false" customHeight="false" outlineLevel="0" collapsed="false">
      <c r="A6696" s="0" t="n">
        <v>6695</v>
      </c>
      <c r="B6696" s="18" t="n">
        <v>673898.270589875</v>
      </c>
      <c r="C6696" s="18" t="n">
        <v>0</v>
      </c>
      <c r="D6696" s="0" t="n">
        <v>0</v>
      </c>
      <c r="E6696" s="19" t="n">
        <v>45.0833333333333</v>
      </c>
    </row>
    <row r="6697" customFormat="false" ht="15" hidden="false" customHeight="false" outlineLevel="0" collapsed="false">
      <c r="A6697" s="0" t="n">
        <v>6696</v>
      </c>
      <c r="B6697" s="18" t="n">
        <v>626568.087752636</v>
      </c>
      <c r="C6697" s="18" t="n">
        <v>0</v>
      </c>
      <c r="D6697" s="0" t="n">
        <v>0</v>
      </c>
      <c r="E6697" s="19" t="n">
        <v>32.3333333333333</v>
      </c>
    </row>
    <row r="6698" customFormat="false" ht="15" hidden="false" customHeight="false" outlineLevel="0" collapsed="false">
      <c r="A6698" s="0" t="n">
        <v>6697</v>
      </c>
      <c r="B6698" s="18" t="n">
        <v>1089792.23400678</v>
      </c>
      <c r="C6698" s="18" t="n">
        <v>4742263.28067633</v>
      </c>
      <c r="D6698" s="0" t="n">
        <v>1</v>
      </c>
    </row>
    <row r="6699" customFormat="false" ht="15" hidden="false" customHeight="false" outlineLevel="0" collapsed="false">
      <c r="A6699" s="0" t="n">
        <v>6698</v>
      </c>
      <c r="B6699" s="18" t="n">
        <v>2303624.57075388</v>
      </c>
      <c r="C6699" s="18" t="n">
        <v>0</v>
      </c>
      <c r="D6699" s="0" t="n">
        <v>0</v>
      </c>
      <c r="E6699" s="19" t="n">
        <v>53.9166666666667</v>
      </c>
    </row>
    <row r="6700" customFormat="false" ht="15" hidden="false" customHeight="false" outlineLevel="0" collapsed="false">
      <c r="A6700" s="0" t="n">
        <v>6699</v>
      </c>
      <c r="B6700" s="18" t="n">
        <v>370336.497031226</v>
      </c>
      <c r="C6700" s="18" t="n">
        <v>0</v>
      </c>
      <c r="D6700" s="0" t="n">
        <v>0</v>
      </c>
      <c r="E6700" s="19" t="n">
        <v>34.75</v>
      </c>
    </row>
    <row r="6701" customFormat="false" ht="15" hidden="false" customHeight="false" outlineLevel="0" collapsed="false">
      <c r="A6701" s="0" t="n">
        <v>6700</v>
      </c>
      <c r="B6701" s="18" t="n">
        <v>599785.315227025</v>
      </c>
      <c r="C6701" s="18" t="n">
        <v>0</v>
      </c>
      <c r="D6701" s="0" t="n">
        <v>0</v>
      </c>
      <c r="E6701" s="19" t="n">
        <v>37</v>
      </c>
    </row>
    <row r="6702" customFormat="false" ht="15" hidden="false" customHeight="false" outlineLevel="0" collapsed="false">
      <c r="A6702" s="0" t="n">
        <v>6701</v>
      </c>
      <c r="B6702" s="18" t="n">
        <v>288974.821786988</v>
      </c>
      <c r="C6702" s="18" t="n">
        <v>0</v>
      </c>
      <c r="D6702" s="0" t="n">
        <v>0</v>
      </c>
      <c r="E6702" s="19" t="n">
        <v>30.6666666666667</v>
      </c>
    </row>
    <row r="6703" customFormat="false" ht="15" hidden="false" customHeight="false" outlineLevel="0" collapsed="false">
      <c r="A6703" s="0" t="n">
        <v>6702</v>
      </c>
      <c r="B6703" s="18" t="n">
        <v>940683.029692414</v>
      </c>
      <c r="C6703" s="18" t="n">
        <v>0</v>
      </c>
      <c r="D6703" s="0" t="n">
        <v>0</v>
      </c>
      <c r="E6703" s="19" t="n">
        <v>35.75</v>
      </c>
    </row>
    <row r="6704" customFormat="false" ht="15" hidden="false" customHeight="false" outlineLevel="0" collapsed="false">
      <c r="A6704" s="0" t="n">
        <v>6703</v>
      </c>
      <c r="B6704" s="18" t="n">
        <v>1982881.99262068</v>
      </c>
      <c r="C6704" s="18" t="n">
        <v>21922215.3479692</v>
      </c>
      <c r="D6704" s="0" t="n">
        <v>1</v>
      </c>
    </row>
    <row r="6705" customFormat="false" ht="15" hidden="false" customHeight="false" outlineLevel="0" collapsed="false">
      <c r="A6705" s="0" t="n">
        <v>6704</v>
      </c>
      <c r="B6705" s="18" t="n">
        <v>700695.887369357</v>
      </c>
      <c r="C6705" s="18" t="n">
        <v>0</v>
      </c>
      <c r="D6705" s="0" t="n">
        <v>0</v>
      </c>
      <c r="E6705" s="19" t="n">
        <v>42.1666666666667</v>
      </c>
    </row>
    <row r="6706" customFormat="false" ht="15" hidden="false" customHeight="false" outlineLevel="0" collapsed="false">
      <c r="A6706" s="0" t="n">
        <v>6705</v>
      </c>
      <c r="B6706" s="18" t="n">
        <v>514236.6609489</v>
      </c>
      <c r="C6706" s="18" t="n">
        <v>0</v>
      </c>
      <c r="D6706" s="0" t="n">
        <v>0</v>
      </c>
      <c r="E6706" s="19" t="n">
        <v>34.9166666666667</v>
      </c>
    </row>
    <row r="6707" customFormat="false" ht="15" hidden="false" customHeight="false" outlineLevel="0" collapsed="false">
      <c r="A6707" s="0" t="n">
        <v>6706</v>
      </c>
      <c r="B6707" s="18" t="n">
        <v>1677276.56367694</v>
      </c>
      <c r="C6707" s="18" t="n">
        <v>751173.871357398</v>
      </c>
      <c r="D6707" s="0" t="n">
        <v>1</v>
      </c>
    </row>
    <row r="6708" customFormat="false" ht="15" hidden="false" customHeight="false" outlineLevel="0" collapsed="false">
      <c r="A6708" s="0" t="n">
        <v>6707</v>
      </c>
      <c r="B6708" s="18" t="n">
        <v>2600013.94869202</v>
      </c>
      <c r="C6708" s="18" t="n">
        <v>12757210.2508711</v>
      </c>
      <c r="D6708" s="0" t="n">
        <v>1</v>
      </c>
    </row>
    <row r="6709" customFormat="false" ht="15" hidden="false" customHeight="false" outlineLevel="0" collapsed="false">
      <c r="A6709" s="0" t="n">
        <v>6708</v>
      </c>
      <c r="B6709" s="18" t="n">
        <v>683750.475548504</v>
      </c>
      <c r="C6709" s="18" t="n">
        <v>0</v>
      </c>
      <c r="D6709" s="0" t="n">
        <v>0</v>
      </c>
      <c r="E6709" s="19" t="n">
        <v>34.25</v>
      </c>
    </row>
    <row r="6710" customFormat="false" ht="15" hidden="false" customHeight="false" outlineLevel="0" collapsed="false">
      <c r="A6710" s="0" t="n">
        <v>6709</v>
      </c>
      <c r="B6710" s="18" t="n">
        <v>1992520.89045396</v>
      </c>
      <c r="C6710" s="18" t="n">
        <v>4106478.09560464</v>
      </c>
      <c r="D6710" s="0" t="n">
        <v>1</v>
      </c>
    </row>
    <row r="6711" customFormat="false" ht="15" hidden="false" customHeight="false" outlineLevel="0" collapsed="false">
      <c r="A6711" s="0" t="n">
        <v>6710</v>
      </c>
      <c r="B6711" s="18" t="n">
        <v>1845033.48035335</v>
      </c>
      <c r="C6711" s="18" t="n">
        <v>6621638.92260118</v>
      </c>
      <c r="D6711" s="0" t="n">
        <v>1</v>
      </c>
    </row>
    <row r="6712" customFormat="false" ht="15" hidden="false" customHeight="false" outlineLevel="0" collapsed="false">
      <c r="A6712" s="0" t="n">
        <v>6711</v>
      </c>
      <c r="B6712" s="18" t="n">
        <v>1528356.04479104</v>
      </c>
      <c r="C6712" s="18" t="n">
        <v>4233027.73469685</v>
      </c>
      <c r="D6712" s="0" t="n">
        <v>1</v>
      </c>
    </row>
    <row r="6713" customFormat="false" ht="15" hidden="false" customHeight="false" outlineLevel="0" collapsed="false">
      <c r="A6713" s="0" t="n">
        <v>6712</v>
      </c>
      <c r="B6713" s="18" t="n">
        <v>974136.036621908</v>
      </c>
      <c r="C6713" s="18" t="n">
        <v>1662592.70034593</v>
      </c>
      <c r="D6713" s="0" t="n">
        <v>1</v>
      </c>
    </row>
    <row r="6714" customFormat="false" ht="15" hidden="false" customHeight="false" outlineLevel="0" collapsed="false">
      <c r="A6714" s="0" t="n">
        <v>6713</v>
      </c>
      <c r="B6714" s="18" t="n">
        <v>617696.250294242</v>
      </c>
      <c r="C6714" s="18" t="n">
        <v>0</v>
      </c>
      <c r="D6714" s="0" t="n">
        <v>0</v>
      </c>
      <c r="E6714" s="19" t="n">
        <v>49.8333333333333</v>
      </c>
    </row>
    <row r="6715" customFormat="false" ht="15" hidden="false" customHeight="false" outlineLevel="0" collapsed="false">
      <c r="A6715" s="0" t="n">
        <v>6714</v>
      </c>
      <c r="B6715" s="18" t="n">
        <v>2980153.03638087</v>
      </c>
      <c r="C6715" s="18" t="n">
        <v>3426018.51927501</v>
      </c>
      <c r="D6715" s="0" t="n">
        <v>1</v>
      </c>
    </row>
    <row r="6716" customFormat="false" ht="15" hidden="false" customHeight="false" outlineLevel="0" collapsed="false">
      <c r="A6716" s="0" t="n">
        <v>6715</v>
      </c>
      <c r="B6716" s="18" t="n">
        <v>418405.573829018</v>
      </c>
      <c r="C6716" s="18" t="n">
        <v>0</v>
      </c>
      <c r="D6716" s="0" t="n">
        <v>0</v>
      </c>
      <c r="E6716" s="19" t="n">
        <v>33.75</v>
      </c>
    </row>
    <row r="6717" customFormat="false" ht="15" hidden="false" customHeight="false" outlineLevel="0" collapsed="false">
      <c r="A6717" s="0" t="n">
        <v>6716</v>
      </c>
      <c r="B6717" s="18" t="n">
        <v>474252.488178619</v>
      </c>
      <c r="C6717" s="18" t="n">
        <v>0</v>
      </c>
      <c r="D6717" s="0" t="n">
        <v>0</v>
      </c>
      <c r="E6717" s="19" t="n">
        <v>32.5</v>
      </c>
    </row>
    <row r="6718" customFormat="false" ht="15" hidden="false" customHeight="false" outlineLevel="0" collapsed="false">
      <c r="A6718" s="0" t="n">
        <v>6717</v>
      </c>
      <c r="B6718" s="18" t="n">
        <v>1709469.75414161</v>
      </c>
      <c r="C6718" s="18" t="n">
        <v>3308532.11300417</v>
      </c>
      <c r="D6718" s="0" t="n">
        <v>1</v>
      </c>
    </row>
    <row r="6719" customFormat="false" ht="15" hidden="false" customHeight="false" outlineLevel="0" collapsed="false">
      <c r="A6719" s="0" t="n">
        <v>6718</v>
      </c>
      <c r="B6719" s="18" t="n">
        <v>270111.809591877</v>
      </c>
      <c r="C6719" s="18" t="n">
        <v>0</v>
      </c>
      <c r="D6719" s="0" t="n">
        <v>0</v>
      </c>
      <c r="E6719" s="19" t="n">
        <v>29.3333333333333</v>
      </c>
    </row>
    <row r="6720" customFormat="false" ht="15" hidden="false" customHeight="false" outlineLevel="0" collapsed="false">
      <c r="A6720" s="0" t="n">
        <v>6719</v>
      </c>
      <c r="B6720" s="18" t="n">
        <v>1180052.92496455</v>
      </c>
      <c r="C6720" s="18" t="n">
        <v>7888942.51796038</v>
      </c>
      <c r="D6720" s="0" t="n">
        <v>1</v>
      </c>
    </row>
    <row r="6721" customFormat="false" ht="15" hidden="false" customHeight="false" outlineLevel="0" collapsed="false">
      <c r="A6721" s="0" t="n">
        <v>6720</v>
      </c>
      <c r="B6721" s="18" t="n">
        <v>1819028.97946332</v>
      </c>
      <c r="C6721" s="18" t="n">
        <v>1627607.00451256</v>
      </c>
      <c r="D6721" s="0" t="n">
        <v>1</v>
      </c>
    </row>
    <row r="6722" customFormat="false" ht="15" hidden="false" customHeight="false" outlineLevel="0" collapsed="false">
      <c r="A6722" s="0" t="n">
        <v>6721</v>
      </c>
      <c r="B6722" s="18" t="n">
        <v>2154741.37792563</v>
      </c>
      <c r="C6722" s="18" t="n">
        <v>15642950.2228038</v>
      </c>
      <c r="D6722" s="0" t="n">
        <v>1</v>
      </c>
    </row>
    <row r="6723" customFormat="false" ht="15" hidden="false" customHeight="false" outlineLevel="0" collapsed="false">
      <c r="A6723" s="0" t="n">
        <v>6722</v>
      </c>
      <c r="B6723" s="18" t="n">
        <v>1811677.42945907</v>
      </c>
      <c r="C6723" s="18" t="n">
        <v>948070.506095464</v>
      </c>
      <c r="D6723" s="0" t="n">
        <v>1</v>
      </c>
    </row>
    <row r="6724" customFormat="false" ht="15" hidden="false" customHeight="false" outlineLevel="0" collapsed="false">
      <c r="A6724" s="0" t="n">
        <v>6723</v>
      </c>
      <c r="B6724" s="18" t="n">
        <v>491616.953883823</v>
      </c>
      <c r="C6724" s="18" t="n">
        <v>0</v>
      </c>
      <c r="D6724" s="0" t="n">
        <v>0</v>
      </c>
      <c r="E6724" s="19" t="n">
        <v>33.9166666666667</v>
      </c>
    </row>
    <row r="6725" customFormat="false" ht="15" hidden="false" customHeight="false" outlineLevel="0" collapsed="false">
      <c r="A6725" s="0" t="n">
        <v>6724</v>
      </c>
      <c r="B6725" s="18" t="n">
        <v>2164204.78519502</v>
      </c>
      <c r="C6725" s="18" t="n">
        <v>4048577.57090178</v>
      </c>
      <c r="D6725" s="0" t="n">
        <v>1</v>
      </c>
    </row>
    <row r="6726" customFormat="false" ht="15" hidden="false" customHeight="false" outlineLevel="0" collapsed="false">
      <c r="A6726" s="0" t="n">
        <v>6725</v>
      </c>
      <c r="B6726" s="18" t="n">
        <v>469558.908418886</v>
      </c>
      <c r="C6726" s="18" t="n">
        <v>0</v>
      </c>
      <c r="D6726" s="0" t="n">
        <v>0</v>
      </c>
      <c r="E6726" s="19" t="n">
        <v>35.5</v>
      </c>
    </row>
    <row r="6727" customFormat="false" ht="15" hidden="false" customHeight="false" outlineLevel="0" collapsed="false">
      <c r="A6727" s="0" t="n">
        <v>6726</v>
      </c>
      <c r="B6727" s="18" t="n">
        <v>518086.15258223</v>
      </c>
      <c r="C6727" s="18" t="n">
        <v>0</v>
      </c>
      <c r="D6727" s="0" t="n">
        <v>0</v>
      </c>
      <c r="E6727" s="19" t="n">
        <v>38.5</v>
      </c>
    </row>
    <row r="6728" customFormat="false" ht="15" hidden="false" customHeight="false" outlineLevel="0" collapsed="false">
      <c r="A6728" s="0" t="n">
        <v>6727</v>
      </c>
      <c r="B6728" s="18" t="n">
        <v>291785.587493118</v>
      </c>
      <c r="C6728" s="18" t="n">
        <v>0</v>
      </c>
      <c r="D6728" s="0" t="n">
        <v>0</v>
      </c>
      <c r="E6728" s="19" t="n">
        <v>29.1666666666667</v>
      </c>
    </row>
    <row r="6729" customFormat="false" ht="15" hidden="false" customHeight="false" outlineLevel="0" collapsed="false">
      <c r="A6729" s="0" t="n">
        <v>6728</v>
      </c>
      <c r="B6729" s="18" t="n">
        <v>215698.828390414</v>
      </c>
      <c r="C6729" s="18" t="n">
        <v>0</v>
      </c>
      <c r="D6729" s="0" t="n">
        <v>0</v>
      </c>
      <c r="E6729" s="19" t="n">
        <v>28.1666666666667</v>
      </c>
    </row>
    <row r="6730" customFormat="false" ht="15" hidden="false" customHeight="false" outlineLevel="0" collapsed="false">
      <c r="A6730" s="0" t="n">
        <v>6729</v>
      </c>
      <c r="B6730" s="18" t="n">
        <v>651544.470814133</v>
      </c>
      <c r="C6730" s="18" t="n">
        <v>0</v>
      </c>
      <c r="D6730" s="0" t="n">
        <v>0</v>
      </c>
      <c r="E6730" s="19" t="n">
        <v>48.3333333333333</v>
      </c>
    </row>
    <row r="6731" customFormat="false" ht="15" hidden="false" customHeight="false" outlineLevel="0" collapsed="false">
      <c r="A6731" s="0" t="n">
        <v>6730</v>
      </c>
      <c r="B6731" s="18" t="n">
        <v>657664.42166109</v>
      </c>
      <c r="C6731" s="18" t="n">
        <v>0</v>
      </c>
      <c r="D6731" s="0" t="n">
        <v>0</v>
      </c>
      <c r="E6731" s="19" t="n">
        <v>36.3333333333333</v>
      </c>
    </row>
    <row r="6732" customFormat="false" ht="15" hidden="false" customHeight="false" outlineLevel="0" collapsed="false">
      <c r="A6732" s="0" t="n">
        <v>6731</v>
      </c>
      <c r="B6732" s="18" t="n">
        <v>501357.142837136</v>
      </c>
      <c r="C6732" s="18" t="n">
        <v>0</v>
      </c>
      <c r="D6732" s="0" t="n">
        <v>0</v>
      </c>
      <c r="E6732" s="19" t="n">
        <v>32.25</v>
      </c>
    </row>
    <row r="6733" customFormat="false" ht="15" hidden="false" customHeight="false" outlineLevel="0" collapsed="false">
      <c r="A6733" s="0" t="n">
        <v>6732</v>
      </c>
      <c r="B6733" s="18" t="n">
        <v>826985.176948796</v>
      </c>
      <c r="C6733" s="18" t="n">
        <v>0</v>
      </c>
      <c r="D6733" s="0" t="n">
        <v>0</v>
      </c>
      <c r="E6733" s="19" t="n">
        <v>42.3333333333333</v>
      </c>
    </row>
    <row r="6734" customFormat="false" ht="15" hidden="false" customHeight="false" outlineLevel="0" collapsed="false">
      <c r="A6734" s="0" t="n">
        <v>6733</v>
      </c>
      <c r="B6734" s="18" t="n">
        <v>1209639.29849567</v>
      </c>
      <c r="C6734" s="18" t="n">
        <v>0</v>
      </c>
      <c r="D6734" s="0" t="n">
        <v>0</v>
      </c>
      <c r="E6734" s="19" t="n">
        <v>41.3333333333333</v>
      </c>
    </row>
    <row r="6735" customFormat="false" ht="15" hidden="false" customHeight="false" outlineLevel="0" collapsed="false">
      <c r="A6735" s="0" t="n">
        <v>6734</v>
      </c>
      <c r="B6735" s="18" t="n">
        <v>2072270.02768045</v>
      </c>
      <c r="C6735" s="18" t="n">
        <v>28181484.5890623</v>
      </c>
      <c r="D6735" s="0" t="n">
        <v>1</v>
      </c>
    </row>
    <row r="6736" customFormat="false" ht="15" hidden="false" customHeight="false" outlineLevel="0" collapsed="false">
      <c r="A6736" s="0" t="n">
        <v>6735</v>
      </c>
      <c r="B6736" s="18" t="n">
        <v>781802.537971558</v>
      </c>
      <c r="C6736" s="18" t="n">
        <v>0</v>
      </c>
      <c r="D6736" s="0" t="n">
        <v>0</v>
      </c>
      <c r="E6736" s="19" t="n">
        <v>45.5</v>
      </c>
    </row>
    <row r="6737" customFormat="false" ht="15" hidden="false" customHeight="false" outlineLevel="0" collapsed="false">
      <c r="A6737" s="0" t="n">
        <v>6736</v>
      </c>
      <c r="B6737" s="18" t="n">
        <v>768256.671593522</v>
      </c>
      <c r="C6737" s="18" t="n">
        <v>279249.370297162</v>
      </c>
      <c r="D6737" s="0" t="n">
        <v>1</v>
      </c>
    </row>
    <row r="6738" customFormat="false" ht="15" hidden="false" customHeight="false" outlineLevel="0" collapsed="false">
      <c r="A6738" s="0" t="n">
        <v>6737</v>
      </c>
      <c r="B6738" s="18" t="n">
        <v>3004841.73097814</v>
      </c>
      <c r="C6738" s="18" t="n">
        <v>1993547.01040827</v>
      </c>
      <c r="D6738" s="0" t="n">
        <v>1</v>
      </c>
    </row>
    <row r="6739" customFormat="false" ht="15" hidden="false" customHeight="false" outlineLevel="0" collapsed="false">
      <c r="A6739" s="0" t="n">
        <v>6738</v>
      </c>
      <c r="B6739" s="18" t="n">
        <v>912873.881119347</v>
      </c>
      <c r="C6739" s="18" t="n">
        <v>0</v>
      </c>
      <c r="D6739" s="0" t="n">
        <v>0</v>
      </c>
      <c r="E6739" s="19" t="n">
        <v>43</v>
      </c>
    </row>
    <row r="6740" customFormat="false" ht="15" hidden="false" customHeight="false" outlineLevel="0" collapsed="false">
      <c r="A6740" s="0" t="n">
        <v>6739</v>
      </c>
      <c r="B6740" s="18" t="n">
        <v>1112134.41761882</v>
      </c>
      <c r="C6740" s="18" t="n">
        <v>0</v>
      </c>
      <c r="D6740" s="0" t="n">
        <v>0</v>
      </c>
      <c r="E6740" s="19" t="n">
        <v>46.1666666666667</v>
      </c>
    </row>
    <row r="6741" customFormat="false" ht="15" hidden="false" customHeight="false" outlineLevel="0" collapsed="false">
      <c r="A6741" s="0" t="n">
        <v>6740</v>
      </c>
      <c r="B6741" s="18" t="n">
        <v>1616578.57312511</v>
      </c>
      <c r="C6741" s="18" t="n">
        <v>4653169.11769818</v>
      </c>
      <c r="D6741" s="0" t="n">
        <v>1</v>
      </c>
    </row>
    <row r="6742" customFormat="false" ht="15" hidden="false" customHeight="false" outlineLevel="0" collapsed="false">
      <c r="A6742" s="0" t="n">
        <v>6741</v>
      </c>
      <c r="B6742" s="18" t="n">
        <v>667667.086742495</v>
      </c>
      <c r="C6742" s="18" t="n">
        <v>0</v>
      </c>
      <c r="D6742" s="0" t="n">
        <v>0</v>
      </c>
      <c r="E6742" s="19" t="n">
        <v>39.0833333333333</v>
      </c>
    </row>
    <row r="6743" customFormat="false" ht="15" hidden="false" customHeight="false" outlineLevel="0" collapsed="false">
      <c r="A6743" s="0" t="n">
        <v>6742</v>
      </c>
      <c r="B6743" s="18" t="n">
        <v>1203447.97712434</v>
      </c>
      <c r="C6743" s="18" t="n">
        <v>590941.283514079</v>
      </c>
      <c r="D6743" s="0" t="n">
        <v>1</v>
      </c>
    </row>
    <row r="6744" customFormat="false" ht="15" hidden="false" customHeight="false" outlineLevel="0" collapsed="false">
      <c r="A6744" s="0" t="n">
        <v>6743</v>
      </c>
      <c r="B6744" s="18" t="n">
        <v>799960.462653956</v>
      </c>
      <c r="C6744" s="18" t="n">
        <v>0</v>
      </c>
      <c r="D6744" s="0" t="n">
        <v>0</v>
      </c>
      <c r="E6744" s="19" t="n">
        <v>37.5833333333333</v>
      </c>
    </row>
    <row r="6745" customFormat="false" ht="15" hidden="false" customHeight="false" outlineLevel="0" collapsed="false">
      <c r="A6745" s="0" t="n">
        <v>6744</v>
      </c>
      <c r="B6745" s="18" t="n">
        <v>690259.713106186</v>
      </c>
      <c r="C6745" s="18" t="n">
        <v>0</v>
      </c>
      <c r="D6745" s="0" t="n">
        <v>0</v>
      </c>
      <c r="E6745" s="19" t="n">
        <v>34.5833333333333</v>
      </c>
    </row>
    <row r="6746" customFormat="false" ht="15" hidden="false" customHeight="false" outlineLevel="0" collapsed="false">
      <c r="A6746" s="0" t="n">
        <v>6745</v>
      </c>
      <c r="B6746" s="18" t="n">
        <v>1093598.21277633</v>
      </c>
      <c r="C6746" s="18" t="n">
        <v>6611593.37173175</v>
      </c>
      <c r="D6746" s="0" t="n">
        <v>1</v>
      </c>
    </row>
    <row r="6747" customFormat="false" ht="15" hidden="false" customHeight="false" outlineLevel="0" collapsed="false">
      <c r="A6747" s="0" t="n">
        <v>6746</v>
      </c>
      <c r="B6747" s="18" t="n">
        <v>512573.088770785</v>
      </c>
      <c r="C6747" s="18" t="n">
        <v>0</v>
      </c>
      <c r="D6747" s="0" t="n">
        <v>0</v>
      </c>
      <c r="E6747" s="19" t="n">
        <v>38.5833333333333</v>
      </c>
    </row>
    <row r="6748" customFormat="false" ht="15" hidden="false" customHeight="false" outlineLevel="0" collapsed="false">
      <c r="A6748" s="0" t="n">
        <v>6747</v>
      </c>
      <c r="B6748" s="18" t="n">
        <v>3409592.23045419</v>
      </c>
      <c r="C6748" s="18" t="n">
        <v>2298091.89126387</v>
      </c>
      <c r="D6748" s="0" t="n">
        <v>1</v>
      </c>
    </row>
    <row r="6749" customFormat="false" ht="15" hidden="false" customHeight="false" outlineLevel="0" collapsed="false">
      <c r="A6749" s="0" t="n">
        <v>6748</v>
      </c>
      <c r="B6749" s="18" t="n">
        <v>972990.492355221</v>
      </c>
      <c r="C6749" s="18" t="n">
        <v>0</v>
      </c>
      <c r="D6749" s="0" t="n">
        <v>0</v>
      </c>
      <c r="E6749" s="19" t="n">
        <v>49.25</v>
      </c>
    </row>
    <row r="6750" customFormat="false" ht="15" hidden="false" customHeight="false" outlineLevel="0" collapsed="false">
      <c r="A6750" s="0" t="n">
        <v>6749</v>
      </c>
      <c r="B6750" s="18" t="n">
        <v>1761224.90122524</v>
      </c>
      <c r="C6750" s="18" t="n">
        <v>9774921.13396983</v>
      </c>
      <c r="D6750" s="0" t="n">
        <v>1</v>
      </c>
    </row>
    <row r="6751" customFormat="false" ht="15" hidden="false" customHeight="false" outlineLevel="0" collapsed="false">
      <c r="A6751" s="0" t="n">
        <v>6750</v>
      </c>
      <c r="B6751" s="18" t="n">
        <v>1973399.97601586</v>
      </c>
      <c r="C6751" s="18" t="n">
        <v>3245015.0847098</v>
      </c>
      <c r="D6751" s="0" t="n">
        <v>1</v>
      </c>
    </row>
    <row r="6752" customFormat="false" ht="15" hidden="false" customHeight="false" outlineLevel="0" collapsed="false">
      <c r="A6752" s="0" t="n">
        <v>6751</v>
      </c>
      <c r="B6752" s="18" t="n">
        <v>883011.127882841</v>
      </c>
      <c r="C6752" s="18" t="n">
        <v>0</v>
      </c>
      <c r="D6752" s="0" t="n">
        <v>0</v>
      </c>
      <c r="E6752" s="19" t="n">
        <v>44.75</v>
      </c>
    </row>
    <row r="6753" customFormat="false" ht="15" hidden="false" customHeight="false" outlineLevel="0" collapsed="false">
      <c r="A6753" s="0" t="n">
        <v>6752</v>
      </c>
      <c r="B6753" s="18" t="n">
        <v>1379027.15039643</v>
      </c>
      <c r="C6753" s="18" t="n">
        <v>0</v>
      </c>
      <c r="D6753" s="0" t="n">
        <v>0</v>
      </c>
      <c r="E6753" s="19" t="n">
        <v>49</v>
      </c>
    </row>
    <row r="6754" customFormat="false" ht="15" hidden="false" customHeight="false" outlineLevel="0" collapsed="false">
      <c r="A6754" s="0" t="n">
        <v>6753</v>
      </c>
      <c r="B6754" s="18" t="n">
        <v>1142377.45909085</v>
      </c>
      <c r="C6754" s="18" t="n">
        <v>0</v>
      </c>
      <c r="D6754" s="0" t="n">
        <v>0</v>
      </c>
      <c r="E6754" s="19" t="n">
        <v>48.25</v>
      </c>
    </row>
    <row r="6755" customFormat="false" ht="15" hidden="false" customHeight="false" outlineLevel="0" collapsed="false">
      <c r="A6755" s="0" t="n">
        <v>6754</v>
      </c>
      <c r="B6755" s="18" t="n">
        <v>2297114.38982849</v>
      </c>
      <c r="C6755" s="18" t="n">
        <v>1806770.53407104</v>
      </c>
      <c r="D6755" s="0" t="n">
        <v>1</v>
      </c>
    </row>
    <row r="6756" customFormat="false" ht="15" hidden="false" customHeight="false" outlineLevel="0" collapsed="false">
      <c r="A6756" s="0" t="n">
        <v>6755</v>
      </c>
      <c r="B6756" s="18" t="n">
        <v>1606843.39306397</v>
      </c>
      <c r="C6756" s="18" t="n">
        <v>3504427.17772935</v>
      </c>
      <c r="D6756" s="0" t="n">
        <v>1</v>
      </c>
    </row>
    <row r="6757" customFormat="false" ht="15" hidden="false" customHeight="false" outlineLevel="0" collapsed="false">
      <c r="A6757" s="0" t="n">
        <v>6756</v>
      </c>
      <c r="B6757" s="18" t="n">
        <v>1048235.19146814</v>
      </c>
      <c r="C6757" s="18" t="n">
        <v>0</v>
      </c>
      <c r="D6757" s="0" t="n">
        <v>0</v>
      </c>
      <c r="E6757" s="19" t="n">
        <v>43.25</v>
      </c>
    </row>
    <row r="6758" customFormat="false" ht="15" hidden="false" customHeight="false" outlineLevel="0" collapsed="false">
      <c r="A6758" s="0" t="n">
        <v>6757</v>
      </c>
      <c r="B6758" s="18" t="n">
        <v>1329363.48835087</v>
      </c>
      <c r="C6758" s="18" t="n">
        <v>8204601.59614517</v>
      </c>
      <c r="D6758" s="0" t="n">
        <v>1</v>
      </c>
    </row>
    <row r="6759" customFormat="false" ht="15" hidden="false" customHeight="false" outlineLevel="0" collapsed="false">
      <c r="A6759" s="0" t="n">
        <v>6758</v>
      </c>
      <c r="B6759" s="18" t="n">
        <v>801034.232672249</v>
      </c>
      <c r="C6759" s="18" t="n">
        <v>0</v>
      </c>
      <c r="D6759" s="0" t="n">
        <v>0</v>
      </c>
      <c r="E6759" s="19" t="n">
        <v>39.5</v>
      </c>
    </row>
    <row r="6760" customFormat="false" ht="15" hidden="false" customHeight="false" outlineLevel="0" collapsed="false">
      <c r="A6760" s="0" t="n">
        <v>6759</v>
      </c>
      <c r="B6760" s="18" t="n">
        <v>1774788.19381082</v>
      </c>
      <c r="C6760" s="18" t="n">
        <v>5861953.37264409</v>
      </c>
      <c r="D6760" s="0" t="n">
        <v>1</v>
      </c>
    </row>
    <row r="6761" customFormat="false" ht="15" hidden="false" customHeight="false" outlineLevel="0" collapsed="false">
      <c r="A6761" s="0" t="n">
        <v>6760</v>
      </c>
      <c r="B6761" s="18" t="n">
        <v>516284.331013873</v>
      </c>
      <c r="C6761" s="18" t="n">
        <v>0</v>
      </c>
      <c r="D6761" s="0" t="n">
        <v>0</v>
      </c>
      <c r="E6761" s="19" t="n">
        <v>34.0833333333333</v>
      </c>
    </row>
    <row r="6762" customFormat="false" ht="15" hidden="false" customHeight="false" outlineLevel="0" collapsed="false">
      <c r="A6762" s="0" t="n">
        <v>6761</v>
      </c>
      <c r="B6762" s="18" t="n">
        <v>1293318.2577274</v>
      </c>
      <c r="C6762" s="18" t="n">
        <v>5267825.33829927</v>
      </c>
      <c r="D6762" s="0" t="n">
        <v>1</v>
      </c>
    </row>
    <row r="6763" customFormat="false" ht="15" hidden="false" customHeight="false" outlineLevel="0" collapsed="false">
      <c r="A6763" s="0" t="n">
        <v>6762</v>
      </c>
      <c r="B6763" s="18" t="n">
        <v>1171701.08097085</v>
      </c>
      <c r="C6763" s="18" t="n">
        <v>0</v>
      </c>
      <c r="D6763" s="0" t="n">
        <v>0</v>
      </c>
      <c r="E6763" s="19" t="n">
        <v>39.6666666666667</v>
      </c>
    </row>
    <row r="6764" customFormat="false" ht="15" hidden="false" customHeight="false" outlineLevel="0" collapsed="false">
      <c r="A6764" s="0" t="n">
        <v>6763</v>
      </c>
      <c r="B6764" s="18" t="n">
        <v>1517209.74627653</v>
      </c>
      <c r="C6764" s="18" t="n">
        <v>4326155.64175792</v>
      </c>
      <c r="D6764" s="0" t="n">
        <v>1</v>
      </c>
    </row>
    <row r="6765" customFormat="false" ht="15" hidden="false" customHeight="false" outlineLevel="0" collapsed="false">
      <c r="A6765" s="0" t="n">
        <v>6764</v>
      </c>
      <c r="B6765" s="18" t="n">
        <v>2815264.68101424</v>
      </c>
      <c r="C6765" s="18" t="n">
        <v>10810050.2832065</v>
      </c>
      <c r="D6765" s="0" t="n">
        <v>1</v>
      </c>
    </row>
    <row r="6766" customFormat="false" ht="15" hidden="false" customHeight="false" outlineLevel="0" collapsed="false">
      <c r="A6766" s="0" t="n">
        <v>6765</v>
      </c>
      <c r="B6766" s="18" t="n">
        <v>1066824.37190793</v>
      </c>
      <c r="C6766" s="18" t="n">
        <v>0</v>
      </c>
      <c r="D6766" s="0" t="n">
        <v>0</v>
      </c>
      <c r="E6766" s="19" t="n">
        <v>39.9166666666667</v>
      </c>
    </row>
    <row r="6767" customFormat="false" ht="15" hidden="false" customHeight="false" outlineLevel="0" collapsed="false">
      <c r="A6767" s="0" t="n">
        <v>6766</v>
      </c>
      <c r="B6767" s="18" t="n">
        <v>1352537.86692848</v>
      </c>
      <c r="C6767" s="18" t="n">
        <v>0</v>
      </c>
      <c r="D6767" s="0" t="n">
        <v>0</v>
      </c>
      <c r="E6767" s="19" t="n">
        <v>43.5833333333333</v>
      </c>
    </row>
    <row r="6768" customFormat="false" ht="15" hidden="false" customHeight="false" outlineLevel="0" collapsed="false">
      <c r="A6768" s="0" t="n">
        <v>6767</v>
      </c>
      <c r="B6768" s="18" t="n">
        <v>376776.057537724</v>
      </c>
      <c r="C6768" s="18" t="n">
        <v>0</v>
      </c>
      <c r="D6768" s="0" t="n">
        <v>0</v>
      </c>
      <c r="E6768" s="19" t="n">
        <v>30.6666666666667</v>
      </c>
    </row>
    <row r="6769" customFormat="false" ht="15" hidden="false" customHeight="false" outlineLevel="0" collapsed="false">
      <c r="A6769" s="0" t="n">
        <v>6768</v>
      </c>
      <c r="B6769" s="18" t="n">
        <v>3325837.63718112</v>
      </c>
      <c r="C6769" s="18" t="n">
        <v>18416693.9546275</v>
      </c>
      <c r="D6769" s="0" t="n">
        <v>1</v>
      </c>
    </row>
    <row r="6770" customFormat="false" ht="15" hidden="false" customHeight="false" outlineLevel="0" collapsed="false">
      <c r="A6770" s="0" t="n">
        <v>6769</v>
      </c>
      <c r="B6770" s="18" t="n">
        <v>799460.21451819</v>
      </c>
      <c r="C6770" s="18" t="n">
        <v>0</v>
      </c>
      <c r="D6770" s="0" t="n">
        <v>0</v>
      </c>
      <c r="E6770" s="19" t="n">
        <v>40.6666666666667</v>
      </c>
    </row>
    <row r="6771" customFormat="false" ht="15" hidden="false" customHeight="false" outlineLevel="0" collapsed="false">
      <c r="A6771" s="0" t="n">
        <v>6770</v>
      </c>
      <c r="B6771" s="18" t="n">
        <v>888657.112526636</v>
      </c>
      <c r="C6771" s="18" t="n">
        <v>0</v>
      </c>
      <c r="D6771" s="0" t="n">
        <v>0</v>
      </c>
      <c r="E6771" s="19" t="n">
        <v>42</v>
      </c>
    </row>
    <row r="6772" customFormat="false" ht="15" hidden="false" customHeight="false" outlineLevel="0" collapsed="false">
      <c r="A6772" s="0" t="n">
        <v>6771</v>
      </c>
      <c r="B6772" s="18" t="n">
        <v>1496416.32687603</v>
      </c>
      <c r="C6772" s="18" t="n">
        <v>13852962.5293179</v>
      </c>
      <c r="D6772" s="0" t="n">
        <v>1</v>
      </c>
    </row>
    <row r="6773" customFormat="false" ht="15" hidden="false" customHeight="false" outlineLevel="0" collapsed="false">
      <c r="A6773" s="0" t="n">
        <v>6772</v>
      </c>
      <c r="B6773" s="18" t="n">
        <v>4656603.06259504</v>
      </c>
      <c r="C6773" s="18" t="n">
        <v>23237229.3492155</v>
      </c>
      <c r="D6773" s="0" t="n">
        <v>1</v>
      </c>
    </row>
    <row r="6774" customFormat="false" ht="15" hidden="false" customHeight="false" outlineLevel="0" collapsed="false">
      <c r="A6774" s="0" t="n">
        <v>6773</v>
      </c>
      <c r="B6774" s="18" t="n">
        <v>476330.09850765</v>
      </c>
      <c r="C6774" s="18" t="n">
        <v>0</v>
      </c>
      <c r="D6774" s="0" t="n">
        <v>0</v>
      </c>
      <c r="E6774" s="19" t="n">
        <v>35.1666666666667</v>
      </c>
    </row>
    <row r="6775" customFormat="false" ht="15" hidden="false" customHeight="false" outlineLevel="0" collapsed="false">
      <c r="A6775" s="0" t="n">
        <v>6774</v>
      </c>
      <c r="B6775" s="18" t="n">
        <v>2192806.30357951</v>
      </c>
      <c r="C6775" s="18" t="n">
        <v>1635903.51973096</v>
      </c>
      <c r="D6775" s="0" t="n">
        <v>1</v>
      </c>
    </row>
    <row r="6776" customFormat="false" ht="15" hidden="false" customHeight="false" outlineLevel="0" collapsed="false">
      <c r="A6776" s="0" t="n">
        <v>6775</v>
      </c>
      <c r="B6776" s="18" t="n">
        <v>298944.532815817</v>
      </c>
      <c r="C6776" s="18" t="n">
        <v>0</v>
      </c>
      <c r="D6776" s="0" t="n">
        <v>0</v>
      </c>
      <c r="E6776" s="19" t="n">
        <v>28.75</v>
      </c>
    </row>
    <row r="6777" customFormat="false" ht="15" hidden="false" customHeight="false" outlineLevel="0" collapsed="false">
      <c r="A6777" s="0" t="n">
        <v>6776</v>
      </c>
      <c r="B6777" s="18" t="n">
        <v>1858170.61612917</v>
      </c>
      <c r="C6777" s="18" t="n">
        <v>308098.598188853</v>
      </c>
      <c r="D6777" s="0" t="n">
        <v>1</v>
      </c>
    </row>
    <row r="6778" customFormat="false" ht="15" hidden="false" customHeight="false" outlineLevel="0" collapsed="false">
      <c r="A6778" s="0" t="n">
        <v>6777</v>
      </c>
      <c r="B6778" s="18" t="n">
        <v>661705.416235146</v>
      </c>
      <c r="C6778" s="18" t="n">
        <v>0</v>
      </c>
      <c r="D6778" s="0" t="n">
        <v>0</v>
      </c>
      <c r="E6778" s="19" t="n">
        <v>39.5</v>
      </c>
    </row>
    <row r="6779" customFormat="false" ht="15" hidden="false" customHeight="false" outlineLevel="0" collapsed="false">
      <c r="A6779" s="0" t="n">
        <v>6778</v>
      </c>
      <c r="B6779" s="18" t="n">
        <v>513498.021216448</v>
      </c>
      <c r="C6779" s="18" t="n">
        <v>0</v>
      </c>
      <c r="D6779" s="0" t="n">
        <v>0</v>
      </c>
      <c r="E6779" s="19" t="n">
        <v>31.5</v>
      </c>
    </row>
    <row r="6780" customFormat="false" ht="15" hidden="false" customHeight="false" outlineLevel="0" collapsed="false">
      <c r="A6780" s="0" t="n">
        <v>6779</v>
      </c>
      <c r="B6780" s="18" t="n">
        <v>1093566.94723775</v>
      </c>
      <c r="C6780" s="18" t="n">
        <v>0</v>
      </c>
      <c r="D6780" s="0" t="n">
        <v>0</v>
      </c>
      <c r="E6780" s="19" t="n">
        <v>46.5833333333333</v>
      </c>
    </row>
    <row r="6781" customFormat="false" ht="15" hidden="false" customHeight="false" outlineLevel="0" collapsed="false">
      <c r="A6781" s="0" t="n">
        <v>6780</v>
      </c>
      <c r="B6781" s="18" t="n">
        <v>1581103.49938432</v>
      </c>
      <c r="C6781" s="18" t="n">
        <v>0</v>
      </c>
      <c r="D6781" s="0" t="n">
        <v>0</v>
      </c>
      <c r="E6781" s="19" t="n">
        <v>49.25</v>
      </c>
    </row>
    <row r="6782" customFormat="false" ht="15" hidden="false" customHeight="false" outlineLevel="0" collapsed="false">
      <c r="A6782" s="0" t="n">
        <v>6781</v>
      </c>
      <c r="B6782" s="18" t="n">
        <v>1477758.97330726</v>
      </c>
      <c r="C6782" s="18" t="n">
        <v>2468260.50706309</v>
      </c>
      <c r="D6782" s="0" t="n">
        <v>1</v>
      </c>
    </row>
    <row r="6783" customFormat="false" ht="15" hidden="false" customHeight="false" outlineLevel="0" collapsed="false">
      <c r="A6783" s="0" t="n">
        <v>6782</v>
      </c>
      <c r="B6783" s="18" t="n">
        <v>1324769.57578256</v>
      </c>
      <c r="C6783" s="18" t="n">
        <v>5589766.6703103</v>
      </c>
      <c r="D6783" s="0" t="n">
        <v>1</v>
      </c>
    </row>
    <row r="6784" customFormat="false" ht="15" hidden="false" customHeight="false" outlineLevel="0" collapsed="false">
      <c r="A6784" s="0" t="n">
        <v>6783</v>
      </c>
      <c r="B6784" s="18" t="n">
        <v>651436.476902971</v>
      </c>
      <c r="C6784" s="18" t="n">
        <v>0</v>
      </c>
      <c r="D6784" s="0" t="n">
        <v>0</v>
      </c>
      <c r="E6784" s="19" t="n">
        <v>54.5</v>
      </c>
    </row>
    <row r="6785" customFormat="false" ht="15" hidden="false" customHeight="false" outlineLevel="0" collapsed="false">
      <c r="A6785" s="0" t="n">
        <v>6784</v>
      </c>
      <c r="B6785" s="18" t="n">
        <v>1322779.07058595</v>
      </c>
      <c r="C6785" s="18" t="n">
        <v>0</v>
      </c>
      <c r="D6785" s="0" t="n">
        <v>0</v>
      </c>
      <c r="E6785" s="19" t="n">
        <v>43.25</v>
      </c>
    </row>
    <row r="6786" customFormat="false" ht="15" hidden="false" customHeight="false" outlineLevel="0" collapsed="false">
      <c r="A6786" s="0" t="n">
        <v>6785</v>
      </c>
      <c r="B6786" s="18" t="n">
        <v>991830.792381879</v>
      </c>
      <c r="C6786" s="18" t="n">
        <v>780270.887413</v>
      </c>
      <c r="D6786" s="0" t="n">
        <v>1</v>
      </c>
    </row>
    <row r="6787" customFormat="false" ht="15" hidden="false" customHeight="false" outlineLevel="0" collapsed="false">
      <c r="A6787" s="0" t="n">
        <v>6786</v>
      </c>
      <c r="B6787" s="18" t="n">
        <v>843377.164124287</v>
      </c>
      <c r="C6787" s="18" t="n">
        <v>0</v>
      </c>
      <c r="D6787" s="0" t="n">
        <v>0</v>
      </c>
      <c r="E6787" s="19" t="n">
        <v>36.1666666666667</v>
      </c>
    </row>
    <row r="6788" customFormat="false" ht="15" hidden="false" customHeight="false" outlineLevel="0" collapsed="false">
      <c r="A6788" s="0" t="n">
        <v>6787</v>
      </c>
      <c r="B6788" s="18" t="n">
        <v>630531.693832816</v>
      </c>
      <c r="C6788" s="18" t="n">
        <v>0</v>
      </c>
      <c r="D6788" s="0" t="n">
        <v>0</v>
      </c>
      <c r="E6788" s="19" t="n">
        <v>45.6666666666667</v>
      </c>
    </row>
    <row r="6789" customFormat="false" ht="15" hidden="false" customHeight="false" outlineLevel="0" collapsed="false">
      <c r="A6789" s="0" t="n">
        <v>6788</v>
      </c>
      <c r="B6789" s="18" t="n">
        <v>1243435.47227988</v>
      </c>
      <c r="C6789" s="18" t="n">
        <v>0</v>
      </c>
      <c r="D6789" s="0" t="n">
        <v>0</v>
      </c>
      <c r="E6789" s="19" t="n">
        <v>38.9166666666667</v>
      </c>
    </row>
    <row r="6790" customFormat="false" ht="15" hidden="false" customHeight="false" outlineLevel="0" collapsed="false">
      <c r="A6790" s="0" t="n">
        <v>6789</v>
      </c>
      <c r="B6790" s="18" t="n">
        <v>893317.71821906</v>
      </c>
      <c r="C6790" s="18" t="n">
        <v>1613205.14765282</v>
      </c>
      <c r="D6790" s="0" t="n">
        <v>1</v>
      </c>
    </row>
    <row r="6791" customFormat="false" ht="15" hidden="false" customHeight="false" outlineLevel="0" collapsed="false">
      <c r="A6791" s="0" t="n">
        <v>6790</v>
      </c>
      <c r="B6791" s="18" t="n">
        <v>1721269.42217315</v>
      </c>
      <c r="C6791" s="18" t="n">
        <v>0</v>
      </c>
      <c r="D6791" s="0" t="n">
        <v>0</v>
      </c>
      <c r="E6791" s="19" t="n">
        <v>41.1666666666667</v>
      </c>
    </row>
    <row r="6792" customFormat="false" ht="15" hidden="false" customHeight="false" outlineLevel="0" collapsed="false">
      <c r="A6792" s="0" t="n">
        <v>6791</v>
      </c>
      <c r="B6792" s="18" t="n">
        <v>704088.130885132</v>
      </c>
      <c r="C6792" s="18" t="n">
        <v>0</v>
      </c>
      <c r="D6792" s="0" t="n">
        <v>0</v>
      </c>
      <c r="E6792" s="19" t="n">
        <v>43.4166666666667</v>
      </c>
    </row>
    <row r="6793" customFormat="false" ht="15" hidden="false" customHeight="false" outlineLevel="0" collapsed="false">
      <c r="A6793" s="0" t="n">
        <v>6792</v>
      </c>
      <c r="B6793" s="18" t="n">
        <v>1389226.82673926</v>
      </c>
      <c r="C6793" s="18" t="n">
        <v>21427920.2876226</v>
      </c>
      <c r="D6793" s="0" t="n">
        <v>1</v>
      </c>
    </row>
    <row r="6794" customFormat="false" ht="15" hidden="false" customHeight="false" outlineLevel="0" collapsed="false">
      <c r="A6794" s="0" t="n">
        <v>6793</v>
      </c>
      <c r="B6794" s="18" t="n">
        <v>1719316.37520031</v>
      </c>
      <c r="C6794" s="18" t="n">
        <v>14561935.3122091</v>
      </c>
      <c r="D6794" s="0" t="n">
        <v>1</v>
      </c>
    </row>
    <row r="6795" customFormat="false" ht="15" hidden="false" customHeight="false" outlineLevel="0" collapsed="false">
      <c r="A6795" s="0" t="n">
        <v>6794</v>
      </c>
      <c r="B6795" s="18" t="n">
        <v>1096101.79688415</v>
      </c>
      <c r="C6795" s="18" t="n">
        <v>0</v>
      </c>
      <c r="D6795" s="0" t="n">
        <v>0</v>
      </c>
      <c r="E6795" s="19" t="n">
        <v>39.75</v>
      </c>
    </row>
    <row r="6796" customFormat="false" ht="15" hidden="false" customHeight="false" outlineLevel="0" collapsed="false">
      <c r="A6796" s="0" t="n">
        <v>6795</v>
      </c>
      <c r="B6796" s="18" t="n">
        <v>4489044.04736217</v>
      </c>
      <c r="C6796" s="18" t="n">
        <v>6548881.13128323</v>
      </c>
      <c r="D6796" s="0" t="n">
        <v>1</v>
      </c>
    </row>
    <row r="6797" customFormat="false" ht="15" hidden="false" customHeight="false" outlineLevel="0" collapsed="false">
      <c r="A6797" s="0" t="n">
        <v>6796</v>
      </c>
      <c r="B6797" s="18" t="n">
        <v>1080386.30004365</v>
      </c>
      <c r="C6797" s="18" t="n">
        <v>1347860.0787471</v>
      </c>
      <c r="D6797" s="0" t="n">
        <v>1</v>
      </c>
    </row>
    <row r="6798" customFormat="false" ht="15" hidden="false" customHeight="false" outlineLevel="0" collapsed="false">
      <c r="A6798" s="0" t="n">
        <v>6797</v>
      </c>
      <c r="B6798" s="18" t="n">
        <v>309530.222377495</v>
      </c>
      <c r="C6798" s="18" t="n">
        <v>0</v>
      </c>
      <c r="D6798" s="0" t="n">
        <v>0</v>
      </c>
      <c r="E6798" s="19" t="n">
        <v>32.6666666666667</v>
      </c>
    </row>
    <row r="6799" customFormat="false" ht="15" hidden="false" customHeight="false" outlineLevel="0" collapsed="false">
      <c r="A6799" s="0" t="n">
        <v>6798</v>
      </c>
      <c r="B6799" s="18" t="n">
        <v>756342.057331838</v>
      </c>
      <c r="C6799" s="18" t="n">
        <v>0</v>
      </c>
      <c r="D6799" s="0" t="n">
        <v>0</v>
      </c>
      <c r="E6799" s="19" t="n">
        <v>34.6666666666667</v>
      </c>
    </row>
    <row r="6800" customFormat="false" ht="15" hidden="false" customHeight="false" outlineLevel="0" collapsed="false">
      <c r="A6800" s="0" t="n">
        <v>6799</v>
      </c>
      <c r="B6800" s="18" t="n">
        <v>1784903.874711</v>
      </c>
      <c r="C6800" s="18" t="n">
        <v>8173377.86534315</v>
      </c>
      <c r="D6800" s="0" t="n">
        <v>1</v>
      </c>
    </row>
    <row r="6801" customFormat="false" ht="15" hidden="false" customHeight="false" outlineLevel="0" collapsed="false">
      <c r="A6801" s="0" t="n">
        <v>6800</v>
      </c>
      <c r="B6801" s="18" t="n">
        <v>709597.713458762</v>
      </c>
      <c r="C6801" s="18" t="n">
        <v>0</v>
      </c>
      <c r="D6801" s="0" t="n">
        <v>0</v>
      </c>
      <c r="E6801" s="19" t="n">
        <v>39.0833333333333</v>
      </c>
    </row>
    <row r="6802" customFormat="false" ht="15" hidden="false" customHeight="false" outlineLevel="0" collapsed="false">
      <c r="A6802" s="0" t="n">
        <v>6801</v>
      </c>
      <c r="B6802" s="18" t="n">
        <v>2630471.22524194</v>
      </c>
      <c r="C6802" s="18" t="n">
        <v>29575622.1232026</v>
      </c>
      <c r="D6802" s="0" t="n">
        <v>1</v>
      </c>
    </row>
    <row r="6803" customFormat="false" ht="15" hidden="false" customHeight="false" outlineLevel="0" collapsed="false">
      <c r="A6803" s="0" t="n">
        <v>6802</v>
      </c>
      <c r="B6803" s="18" t="n">
        <v>1362629.11000463</v>
      </c>
      <c r="C6803" s="18" t="n">
        <v>0</v>
      </c>
      <c r="D6803" s="0" t="n">
        <v>0</v>
      </c>
      <c r="E6803" s="19" t="n">
        <v>44.4166666666667</v>
      </c>
    </row>
    <row r="6804" customFormat="false" ht="15" hidden="false" customHeight="false" outlineLevel="0" collapsed="false">
      <c r="A6804" s="0" t="n">
        <v>6803</v>
      </c>
      <c r="B6804" s="18" t="n">
        <v>901531.013789668</v>
      </c>
      <c r="C6804" s="18" t="n">
        <v>0</v>
      </c>
      <c r="D6804" s="0" t="n">
        <v>0</v>
      </c>
      <c r="E6804" s="19" t="n">
        <v>43.0833333333333</v>
      </c>
    </row>
    <row r="6805" customFormat="false" ht="15" hidden="false" customHeight="false" outlineLevel="0" collapsed="false">
      <c r="A6805" s="0" t="n">
        <v>6804</v>
      </c>
      <c r="B6805" s="18" t="n">
        <v>1332890.82980388</v>
      </c>
      <c r="C6805" s="18" t="n">
        <v>0</v>
      </c>
      <c r="D6805" s="0" t="n">
        <v>0</v>
      </c>
      <c r="E6805" s="19" t="n">
        <v>52.6666666666667</v>
      </c>
    </row>
    <row r="6806" customFormat="false" ht="15" hidden="false" customHeight="false" outlineLevel="0" collapsed="false">
      <c r="A6806" s="0" t="n">
        <v>6805</v>
      </c>
      <c r="B6806" s="18" t="n">
        <v>990194.331210035</v>
      </c>
      <c r="C6806" s="18" t="n">
        <v>1935622.72656262</v>
      </c>
      <c r="D6806" s="0" t="n">
        <v>1</v>
      </c>
    </row>
    <row r="6807" customFormat="false" ht="15" hidden="false" customHeight="false" outlineLevel="0" collapsed="false">
      <c r="A6807" s="0" t="n">
        <v>6806</v>
      </c>
      <c r="B6807" s="18" t="n">
        <v>1216413.93251053</v>
      </c>
      <c r="C6807" s="18" t="n">
        <v>0</v>
      </c>
      <c r="D6807" s="0" t="n">
        <v>0</v>
      </c>
      <c r="E6807" s="19" t="n">
        <v>44.4166666666667</v>
      </c>
    </row>
    <row r="6808" customFormat="false" ht="15" hidden="false" customHeight="false" outlineLevel="0" collapsed="false">
      <c r="A6808" s="0" t="n">
        <v>6807</v>
      </c>
      <c r="B6808" s="18" t="n">
        <v>1392874.76968175</v>
      </c>
      <c r="C6808" s="18" t="n">
        <v>8942799.60369797</v>
      </c>
      <c r="D6808" s="0" t="n">
        <v>1</v>
      </c>
    </row>
    <row r="6809" customFormat="false" ht="15" hidden="false" customHeight="false" outlineLevel="0" collapsed="false">
      <c r="A6809" s="0" t="n">
        <v>6808</v>
      </c>
      <c r="B6809" s="18" t="n">
        <v>651286.934972558</v>
      </c>
      <c r="C6809" s="18" t="n">
        <v>0</v>
      </c>
      <c r="D6809" s="0" t="n">
        <v>0</v>
      </c>
      <c r="E6809" s="19" t="n">
        <v>33.1666666666667</v>
      </c>
    </row>
    <row r="6810" customFormat="false" ht="15" hidden="false" customHeight="false" outlineLevel="0" collapsed="false">
      <c r="A6810" s="0" t="n">
        <v>6809</v>
      </c>
      <c r="B6810" s="18" t="n">
        <v>1169091.20230934</v>
      </c>
      <c r="C6810" s="18" t="n">
        <v>0</v>
      </c>
      <c r="D6810" s="0" t="n">
        <v>0</v>
      </c>
      <c r="E6810" s="19" t="n">
        <v>48.8333333333333</v>
      </c>
    </row>
    <row r="6811" customFormat="false" ht="15" hidden="false" customHeight="false" outlineLevel="0" collapsed="false">
      <c r="A6811" s="0" t="n">
        <v>6810</v>
      </c>
      <c r="B6811" s="18" t="n">
        <v>1365663.03039613</v>
      </c>
      <c r="C6811" s="18" t="n">
        <v>11479910.4571664</v>
      </c>
      <c r="D6811" s="0" t="n">
        <v>1</v>
      </c>
    </row>
    <row r="6812" customFormat="false" ht="15" hidden="false" customHeight="false" outlineLevel="0" collapsed="false">
      <c r="A6812" s="0" t="n">
        <v>6811</v>
      </c>
      <c r="B6812" s="18" t="n">
        <v>1126434.61465238</v>
      </c>
      <c r="C6812" s="18" t="n">
        <v>1440848.36817411</v>
      </c>
      <c r="D6812" s="0" t="n">
        <v>1</v>
      </c>
    </row>
    <row r="6813" customFormat="false" ht="15" hidden="false" customHeight="false" outlineLevel="0" collapsed="false">
      <c r="A6813" s="0" t="n">
        <v>6812</v>
      </c>
      <c r="B6813" s="18" t="n">
        <v>889302.606802196</v>
      </c>
      <c r="C6813" s="18" t="n">
        <v>0</v>
      </c>
      <c r="D6813" s="0" t="n">
        <v>0</v>
      </c>
      <c r="E6813" s="19" t="n">
        <v>41.1666666666667</v>
      </c>
    </row>
    <row r="6814" customFormat="false" ht="15" hidden="false" customHeight="false" outlineLevel="0" collapsed="false">
      <c r="A6814" s="0" t="n">
        <v>6813</v>
      </c>
      <c r="B6814" s="18" t="n">
        <v>666519.805433564</v>
      </c>
      <c r="C6814" s="18" t="n">
        <v>0</v>
      </c>
      <c r="D6814" s="0" t="n">
        <v>0</v>
      </c>
      <c r="E6814" s="19" t="n">
        <v>33.5</v>
      </c>
    </row>
    <row r="6815" customFormat="false" ht="15" hidden="false" customHeight="false" outlineLevel="0" collapsed="false">
      <c r="A6815" s="0" t="n">
        <v>6814</v>
      </c>
      <c r="B6815" s="18" t="n">
        <v>733290.289205425</v>
      </c>
      <c r="C6815" s="18" t="n">
        <v>0</v>
      </c>
      <c r="D6815" s="0" t="n">
        <v>0</v>
      </c>
      <c r="E6815" s="19" t="n">
        <v>50.6666666666667</v>
      </c>
    </row>
    <row r="6816" customFormat="false" ht="15" hidden="false" customHeight="false" outlineLevel="0" collapsed="false">
      <c r="A6816" s="0" t="n">
        <v>6815</v>
      </c>
      <c r="B6816" s="18" t="n">
        <v>946040.893803685</v>
      </c>
      <c r="C6816" s="18" t="n">
        <v>0</v>
      </c>
      <c r="D6816" s="0" t="n">
        <v>0</v>
      </c>
      <c r="E6816" s="19" t="n">
        <v>48.1666666666667</v>
      </c>
    </row>
    <row r="6817" customFormat="false" ht="15" hidden="false" customHeight="false" outlineLevel="0" collapsed="false">
      <c r="A6817" s="0" t="n">
        <v>6816</v>
      </c>
      <c r="B6817" s="18" t="n">
        <v>1144541.80677191</v>
      </c>
      <c r="C6817" s="18" t="n">
        <v>1517297.95250841</v>
      </c>
      <c r="D6817" s="0" t="n">
        <v>1</v>
      </c>
    </row>
    <row r="6818" customFormat="false" ht="15" hidden="false" customHeight="false" outlineLevel="0" collapsed="false">
      <c r="A6818" s="0" t="n">
        <v>6817</v>
      </c>
      <c r="B6818" s="18" t="n">
        <v>877052.790508611</v>
      </c>
      <c r="C6818" s="18" t="n">
        <v>158208.369623625</v>
      </c>
      <c r="D6818" s="0" t="n">
        <v>1</v>
      </c>
    </row>
    <row r="6819" customFormat="false" ht="15" hidden="false" customHeight="false" outlineLevel="0" collapsed="false">
      <c r="A6819" s="0" t="n">
        <v>6818</v>
      </c>
      <c r="B6819" s="18" t="n">
        <v>448791.537975068</v>
      </c>
      <c r="C6819" s="18" t="n">
        <v>0</v>
      </c>
      <c r="D6819" s="0" t="n">
        <v>0</v>
      </c>
      <c r="E6819" s="19" t="n">
        <v>34</v>
      </c>
    </row>
    <row r="6820" customFormat="false" ht="15" hidden="false" customHeight="false" outlineLevel="0" collapsed="false">
      <c r="A6820" s="0" t="n">
        <v>6819</v>
      </c>
      <c r="B6820" s="18" t="n">
        <v>1055903.40720103</v>
      </c>
      <c r="C6820" s="18" t="n">
        <v>5644151.98034269</v>
      </c>
      <c r="D6820" s="0" t="n">
        <v>1</v>
      </c>
    </row>
    <row r="6821" customFormat="false" ht="15" hidden="false" customHeight="false" outlineLevel="0" collapsed="false">
      <c r="A6821" s="0" t="n">
        <v>6820</v>
      </c>
      <c r="B6821" s="18" t="n">
        <v>386814.043369001</v>
      </c>
      <c r="C6821" s="18" t="n">
        <v>0</v>
      </c>
      <c r="D6821" s="0" t="n">
        <v>0</v>
      </c>
      <c r="E6821" s="19" t="n">
        <v>32</v>
      </c>
    </row>
    <row r="6822" customFormat="false" ht="15" hidden="false" customHeight="false" outlineLevel="0" collapsed="false">
      <c r="A6822" s="0" t="n">
        <v>6821</v>
      </c>
      <c r="B6822" s="18" t="n">
        <v>1011501.18027508</v>
      </c>
      <c r="C6822" s="18" t="n">
        <v>0</v>
      </c>
      <c r="D6822" s="0" t="n">
        <v>0</v>
      </c>
      <c r="E6822" s="19" t="n">
        <v>45.4166666666667</v>
      </c>
    </row>
    <row r="6823" customFormat="false" ht="15" hidden="false" customHeight="false" outlineLevel="0" collapsed="false">
      <c r="A6823" s="0" t="n">
        <v>6822</v>
      </c>
      <c r="B6823" s="18" t="n">
        <v>531080.641149321</v>
      </c>
      <c r="C6823" s="18" t="n">
        <v>0</v>
      </c>
      <c r="D6823" s="0" t="n">
        <v>0</v>
      </c>
      <c r="E6823" s="19" t="n">
        <v>34.5</v>
      </c>
    </row>
    <row r="6824" customFormat="false" ht="15" hidden="false" customHeight="false" outlineLevel="0" collapsed="false">
      <c r="A6824" s="0" t="n">
        <v>6823</v>
      </c>
      <c r="B6824" s="18" t="n">
        <v>514813.96830213</v>
      </c>
      <c r="C6824" s="18" t="n">
        <v>0</v>
      </c>
      <c r="D6824" s="0" t="n">
        <v>0</v>
      </c>
      <c r="E6824" s="19" t="n">
        <v>37.5</v>
      </c>
    </row>
    <row r="6825" customFormat="false" ht="15" hidden="false" customHeight="false" outlineLevel="0" collapsed="false">
      <c r="A6825" s="0" t="n">
        <v>6824</v>
      </c>
      <c r="B6825" s="18" t="n">
        <v>1195597.63101533</v>
      </c>
      <c r="C6825" s="18" t="n">
        <v>0</v>
      </c>
      <c r="D6825" s="0" t="n">
        <v>0</v>
      </c>
      <c r="E6825" s="19" t="n">
        <v>42.5</v>
      </c>
    </row>
    <row r="6826" customFormat="false" ht="15" hidden="false" customHeight="false" outlineLevel="0" collapsed="false">
      <c r="A6826" s="0" t="n">
        <v>6825</v>
      </c>
      <c r="B6826" s="18" t="n">
        <v>1371044.0876018</v>
      </c>
      <c r="C6826" s="18" t="n">
        <v>6958660.17893252</v>
      </c>
      <c r="D6826" s="0" t="n">
        <v>1</v>
      </c>
    </row>
    <row r="6827" customFormat="false" ht="15" hidden="false" customHeight="false" outlineLevel="0" collapsed="false">
      <c r="A6827" s="0" t="n">
        <v>6826</v>
      </c>
      <c r="B6827" s="18" t="n">
        <v>411029.31563965</v>
      </c>
      <c r="C6827" s="18" t="n">
        <v>0</v>
      </c>
      <c r="D6827" s="0" t="n">
        <v>0</v>
      </c>
      <c r="E6827" s="19" t="n">
        <v>32.5</v>
      </c>
    </row>
    <row r="6828" customFormat="false" ht="15" hidden="false" customHeight="false" outlineLevel="0" collapsed="false">
      <c r="A6828" s="0" t="n">
        <v>6827</v>
      </c>
      <c r="B6828" s="18" t="n">
        <v>525224.653463925</v>
      </c>
      <c r="C6828" s="18" t="n">
        <v>0</v>
      </c>
      <c r="D6828" s="0" t="n">
        <v>0</v>
      </c>
      <c r="E6828" s="19" t="n">
        <v>43.5833333333333</v>
      </c>
    </row>
    <row r="6829" customFormat="false" ht="15" hidden="false" customHeight="false" outlineLevel="0" collapsed="false">
      <c r="A6829" s="0" t="n">
        <v>6828</v>
      </c>
      <c r="B6829" s="18" t="n">
        <v>804719.950786728</v>
      </c>
      <c r="C6829" s="18" t="n">
        <v>0</v>
      </c>
      <c r="D6829" s="0" t="n">
        <v>0</v>
      </c>
      <c r="E6829" s="19" t="n">
        <v>36</v>
      </c>
    </row>
    <row r="6830" customFormat="false" ht="15" hidden="false" customHeight="false" outlineLevel="0" collapsed="false">
      <c r="A6830" s="0" t="n">
        <v>6829</v>
      </c>
      <c r="B6830" s="18" t="n">
        <v>1290820.2640113</v>
      </c>
      <c r="C6830" s="18" t="n">
        <v>0</v>
      </c>
      <c r="D6830" s="0" t="n">
        <v>0</v>
      </c>
      <c r="E6830" s="19" t="n">
        <v>47.6666666666667</v>
      </c>
    </row>
    <row r="6831" customFormat="false" ht="15" hidden="false" customHeight="false" outlineLevel="0" collapsed="false">
      <c r="A6831" s="0" t="n">
        <v>6830</v>
      </c>
      <c r="B6831" s="18" t="n">
        <v>887740.400994332</v>
      </c>
      <c r="C6831" s="18" t="n">
        <v>0</v>
      </c>
      <c r="D6831" s="0" t="n">
        <v>0</v>
      </c>
      <c r="E6831" s="19" t="n">
        <v>38.25</v>
      </c>
    </row>
    <row r="6832" customFormat="false" ht="15" hidden="false" customHeight="false" outlineLevel="0" collapsed="false">
      <c r="A6832" s="0" t="n">
        <v>6831</v>
      </c>
      <c r="B6832" s="18" t="n">
        <v>1765900.60793933</v>
      </c>
      <c r="C6832" s="18" t="n">
        <v>8476350.0228852</v>
      </c>
      <c r="D6832" s="0" t="n">
        <v>1</v>
      </c>
    </row>
    <row r="6833" customFormat="false" ht="15" hidden="false" customHeight="false" outlineLevel="0" collapsed="false">
      <c r="A6833" s="0" t="n">
        <v>6832</v>
      </c>
      <c r="B6833" s="18" t="n">
        <v>685662.913787926</v>
      </c>
      <c r="C6833" s="18" t="n">
        <v>0</v>
      </c>
      <c r="D6833" s="0" t="n">
        <v>0</v>
      </c>
      <c r="E6833" s="19" t="n">
        <v>41.8333333333333</v>
      </c>
    </row>
    <row r="6834" customFormat="false" ht="15" hidden="false" customHeight="false" outlineLevel="0" collapsed="false">
      <c r="A6834" s="0" t="n">
        <v>6833</v>
      </c>
      <c r="B6834" s="18" t="n">
        <v>2441321.84983314</v>
      </c>
      <c r="C6834" s="18" t="n">
        <v>5099300.77624794</v>
      </c>
      <c r="D6834" s="0" t="n">
        <v>1</v>
      </c>
    </row>
    <row r="6835" customFormat="false" ht="15" hidden="false" customHeight="false" outlineLevel="0" collapsed="false">
      <c r="A6835" s="0" t="n">
        <v>6834</v>
      </c>
      <c r="B6835" s="18" t="n">
        <v>1455855.21420674</v>
      </c>
      <c r="C6835" s="18" t="n">
        <v>2631099.77331364</v>
      </c>
      <c r="D6835" s="0" t="n">
        <v>1</v>
      </c>
    </row>
    <row r="6836" customFormat="false" ht="15" hidden="false" customHeight="false" outlineLevel="0" collapsed="false">
      <c r="A6836" s="0" t="n">
        <v>6835</v>
      </c>
      <c r="B6836" s="18" t="n">
        <v>1268371.87596283</v>
      </c>
      <c r="C6836" s="18" t="n">
        <v>0</v>
      </c>
      <c r="D6836" s="0" t="n">
        <v>0</v>
      </c>
      <c r="E6836" s="19" t="n">
        <v>45.1666666666667</v>
      </c>
    </row>
    <row r="6837" customFormat="false" ht="15" hidden="false" customHeight="false" outlineLevel="0" collapsed="false">
      <c r="A6837" s="0" t="n">
        <v>6836</v>
      </c>
      <c r="B6837" s="18" t="n">
        <v>1206262.05943928</v>
      </c>
      <c r="C6837" s="18" t="n">
        <v>0</v>
      </c>
      <c r="D6837" s="0" t="n">
        <v>0</v>
      </c>
      <c r="E6837" s="19" t="n">
        <v>43.6666666666667</v>
      </c>
    </row>
    <row r="6838" customFormat="false" ht="15" hidden="false" customHeight="false" outlineLevel="0" collapsed="false">
      <c r="A6838" s="0" t="n">
        <v>6837</v>
      </c>
      <c r="B6838" s="18" t="n">
        <v>626907.282791746</v>
      </c>
      <c r="C6838" s="18" t="n">
        <v>0</v>
      </c>
      <c r="D6838" s="0" t="n">
        <v>0</v>
      </c>
      <c r="E6838" s="19" t="n">
        <v>35.3333333333333</v>
      </c>
    </row>
    <row r="6839" customFormat="false" ht="15" hidden="false" customHeight="false" outlineLevel="0" collapsed="false">
      <c r="A6839" s="0" t="n">
        <v>6838</v>
      </c>
      <c r="B6839" s="18" t="n">
        <v>739536.930926173</v>
      </c>
      <c r="C6839" s="18" t="n">
        <v>0</v>
      </c>
      <c r="D6839" s="0" t="n">
        <v>0</v>
      </c>
      <c r="E6839" s="19" t="n">
        <v>46</v>
      </c>
    </row>
    <row r="6840" customFormat="false" ht="15" hidden="false" customHeight="false" outlineLevel="0" collapsed="false">
      <c r="A6840" s="0" t="n">
        <v>6839</v>
      </c>
      <c r="B6840" s="18" t="n">
        <v>561879.952049099</v>
      </c>
      <c r="C6840" s="18" t="n">
        <v>0</v>
      </c>
      <c r="D6840" s="0" t="n">
        <v>0</v>
      </c>
      <c r="E6840" s="19" t="n">
        <v>35.8333333333333</v>
      </c>
    </row>
    <row r="6841" customFormat="false" ht="15" hidden="false" customHeight="false" outlineLevel="0" collapsed="false">
      <c r="A6841" s="0" t="n">
        <v>6840</v>
      </c>
      <c r="B6841" s="18" t="n">
        <v>815076.271012587</v>
      </c>
      <c r="C6841" s="18" t="n">
        <v>0</v>
      </c>
      <c r="D6841" s="0" t="n">
        <v>0</v>
      </c>
      <c r="E6841" s="19" t="n">
        <v>47.9166666666667</v>
      </c>
    </row>
    <row r="6842" customFormat="false" ht="15" hidden="false" customHeight="false" outlineLevel="0" collapsed="false">
      <c r="A6842" s="0" t="n">
        <v>6841</v>
      </c>
      <c r="B6842" s="18" t="n">
        <v>1195910.0612401</v>
      </c>
      <c r="C6842" s="18" t="n">
        <v>0</v>
      </c>
      <c r="D6842" s="0" t="n">
        <v>0</v>
      </c>
      <c r="E6842" s="19" t="n">
        <v>43.6666666666667</v>
      </c>
    </row>
    <row r="6843" customFormat="false" ht="15" hidden="false" customHeight="false" outlineLevel="0" collapsed="false">
      <c r="A6843" s="0" t="n">
        <v>6842</v>
      </c>
      <c r="B6843" s="18" t="n">
        <v>938310.551118263</v>
      </c>
      <c r="C6843" s="18" t="n">
        <v>1642556.1510025</v>
      </c>
      <c r="D6843" s="0" t="n">
        <v>1</v>
      </c>
    </row>
    <row r="6844" customFormat="false" ht="15" hidden="false" customHeight="false" outlineLevel="0" collapsed="false">
      <c r="A6844" s="0" t="n">
        <v>6843</v>
      </c>
      <c r="B6844" s="18" t="n">
        <v>513001.393841995</v>
      </c>
      <c r="C6844" s="18" t="n">
        <v>0</v>
      </c>
      <c r="D6844" s="0" t="n">
        <v>0</v>
      </c>
      <c r="E6844" s="19" t="n">
        <v>43.3333333333333</v>
      </c>
    </row>
    <row r="6845" customFormat="false" ht="15" hidden="false" customHeight="false" outlineLevel="0" collapsed="false">
      <c r="A6845" s="0" t="n">
        <v>6844</v>
      </c>
      <c r="B6845" s="18" t="n">
        <v>1352297.77592942</v>
      </c>
      <c r="C6845" s="18" t="n">
        <v>6103003.99481675</v>
      </c>
      <c r="D6845" s="0" t="n">
        <v>1</v>
      </c>
    </row>
    <row r="6846" customFormat="false" ht="15" hidden="false" customHeight="false" outlineLevel="0" collapsed="false">
      <c r="A6846" s="0" t="n">
        <v>6845</v>
      </c>
      <c r="B6846" s="18" t="n">
        <v>521626.590903126</v>
      </c>
      <c r="C6846" s="18" t="n">
        <v>0</v>
      </c>
      <c r="D6846" s="0" t="n">
        <v>0</v>
      </c>
      <c r="E6846" s="19" t="n">
        <v>34.25</v>
      </c>
    </row>
    <row r="6847" customFormat="false" ht="15" hidden="false" customHeight="false" outlineLevel="0" collapsed="false">
      <c r="A6847" s="0" t="n">
        <v>6846</v>
      </c>
      <c r="B6847" s="18" t="n">
        <v>474155.163623803</v>
      </c>
      <c r="C6847" s="18" t="n">
        <v>0</v>
      </c>
      <c r="D6847" s="0" t="n">
        <v>0</v>
      </c>
      <c r="E6847" s="19" t="n">
        <v>33.4166666666667</v>
      </c>
    </row>
    <row r="6848" customFormat="false" ht="15" hidden="false" customHeight="false" outlineLevel="0" collapsed="false">
      <c r="A6848" s="0" t="n">
        <v>6847</v>
      </c>
      <c r="B6848" s="18" t="n">
        <v>1092699.59001026</v>
      </c>
      <c r="C6848" s="18" t="n">
        <v>3061463.53580589</v>
      </c>
      <c r="D6848" s="0" t="n">
        <v>1</v>
      </c>
    </row>
    <row r="6849" customFormat="false" ht="15" hidden="false" customHeight="false" outlineLevel="0" collapsed="false">
      <c r="A6849" s="0" t="n">
        <v>6848</v>
      </c>
      <c r="B6849" s="18" t="n">
        <v>634600.355642226</v>
      </c>
      <c r="C6849" s="18" t="n">
        <v>0</v>
      </c>
      <c r="D6849" s="0" t="n">
        <v>0</v>
      </c>
      <c r="E6849" s="19" t="n">
        <v>52.8333333333333</v>
      </c>
    </row>
    <row r="6850" customFormat="false" ht="15" hidden="false" customHeight="false" outlineLevel="0" collapsed="false">
      <c r="A6850" s="0" t="n">
        <v>6849</v>
      </c>
      <c r="B6850" s="18" t="n">
        <v>775104.38378664</v>
      </c>
      <c r="C6850" s="18" t="n">
        <v>0</v>
      </c>
      <c r="D6850" s="0" t="n">
        <v>0</v>
      </c>
      <c r="E6850" s="19" t="n">
        <v>41.75</v>
      </c>
    </row>
    <row r="6851" customFormat="false" ht="15" hidden="false" customHeight="false" outlineLevel="0" collapsed="false">
      <c r="A6851" s="0" t="n">
        <v>6850</v>
      </c>
      <c r="B6851" s="18" t="n">
        <v>1045346.61509582</v>
      </c>
      <c r="C6851" s="18" t="n">
        <v>0</v>
      </c>
      <c r="D6851" s="0" t="n">
        <v>0</v>
      </c>
      <c r="E6851" s="19" t="n">
        <v>36.6666666666667</v>
      </c>
    </row>
    <row r="6852" customFormat="false" ht="15" hidden="false" customHeight="false" outlineLevel="0" collapsed="false">
      <c r="A6852" s="0" t="n">
        <v>6851</v>
      </c>
      <c r="B6852" s="18" t="n">
        <v>735590.868888193</v>
      </c>
      <c r="C6852" s="18" t="n">
        <v>0</v>
      </c>
      <c r="D6852" s="0" t="n">
        <v>0</v>
      </c>
      <c r="E6852" s="19" t="n">
        <v>42.9166666666667</v>
      </c>
    </row>
    <row r="6853" customFormat="false" ht="15" hidden="false" customHeight="false" outlineLevel="0" collapsed="false">
      <c r="A6853" s="0" t="n">
        <v>6852</v>
      </c>
      <c r="B6853" s="18" t="n">
        <v>2122856.09166393</v>
      </c>
      <c r="C6853" s="18" t="n">
        <v>3813351.28073508</v>
      </c>
      <c r="D6853" s="0" t="n">
        <v>1</v>
      </c>
    </row>
    <row r="6854" customFormat="false" ht="15" hidden="false" customHeight="false" outlineLevel="0" collapsed="false">
      <c r="A6854" s="0" t="n">
        <v>6853</v>
      </c>
      <c r="B6854" s="18" t="n">
        <v>1256890.35870419</v>
      </c>
      <c r="C6854" s="18" t="n">
        <v>21022003.0801927</v>
      </c>
      <c r="D6854" s="0" t="n">
        <v>1</v>
      </c>
    </row>
    <row r="6855" customFormat="false" ht="15" hidden="false" customHeight="false" outlineLevel="0" collapsed="false">
      <c r="A6855" s="0" t="n">
        <v>6854</v>
      </c>
      <c r="B6855" s="18" t="n">
        <v>992571.366583118</v>
      </c>
      <c r="C6855" s="18" t="n">
        <v>0</v>
      </c>
      <c r="D6855" s="0" t="n">
        <v>0</v>
      </c>
      <c r="E6855" s="19" t="n">
        <v>52.25</v>
      </c>
    </row>
    <row r="6856" customFormat="false" ht="15" hidden="false" customHeight="false" outlineLevel="0" collapsed="false">
      <c r="A6856" s="0" t="n">
        <v>6855</v>
      </c>
      <c r="B6856" s="18" t="n">
        <v>811952.910133195</v>
      </c>
      <c r="C6856" s="18" t="n">
        <v>0</v>
      </c>
      <c r="D6856" s="0" t="n">
        <v>0</v>
      </c>
      <c r="E6856" s="19" t="n">
        <v>54.4166666666667</v>
      </c>
    </row>
    <row r="6857" customFormat="false" ht="15" hidden="false" customHeight="false" outlineLevel="0" collapsed="false">
      <c r="A6857" s="0" t="n">
        <v>6856</v>
      </c>
      <c r="B6857" s="18" t="n">
        <v>566517.881890516</v>
      </c>
      <c r="C6857" s="18" t="n">
        <v>0</v>
      </c>
      <c r="D6857" s="0" t="n">
        <v>0</v>
      </c>
      <c r="E6857" s="19" t="n">
        <v>34.3333333333333</v>
      </c>
    </row>
    <row r="6858" customFormat="false" ht="15" hidden="false" customHeight="false" outlineLevel="0" collapsed="false">
      <c r="A6858" s="0" t="n">
        <v>6857</v>
      </c>
      <c r="B6858" s="18" t="n">
        <v>550586.632563073</v>
      </c>
      <c r="C6858" s="18" t="n">
        <v>0</v>
      </c>
      <c r="D6858" s="0" t="n">
        <v>0</v>
      </c>
      <c r="E6858" s="19" t="n">
        <v>39.75</v>
      </c>
    </row>
    <row r="6859" customFormat="false" ht="15" hidden="false" customHeight="false" outlineLevel="0" collapsed="false">
      <c r="A6859" s="0" t="n">
        <v>6858</v>
      </c>
      <c r="B6859" s="18" t="n">
        <v>480526.261243569</v>
      </c>
      <c r="C6859" s="18" t="n">
        <v>0</v>
      </c>
      <c r="D6859" s="0" t="n">
        <v>0</v>
      </c>
      <c r="E6859" s="19" t="n">
        <v>31.5</v>
      </c>
    </row>
    <row r="6860" customFormat="false" ht="15" hidden="false" customHeight="false" outlineLevel="0" collapsed="false">
      <c r="A6860" s="0" t="n">
        <v>6859</v>
      </c>
      <c r="B6860" s="18" t="n">
        <v>3007024.90068409</v>
      </c>
      <c r="C6860" s="18" t="n">
        <v>5566118.81832603</v>
      </c>
      <c r="D6860" s="0" t="n">
        <v>1</v>
      </c>
    </row>
    <row r="6861" customFormat="false" ht="15" hidden="false" customHeight="false" outlineLevel="0" collapsed="false">
      <c r="A6861" s="0" t="n">
        <v>6860</v>
      </c>
      <c r="B6861" s="18" t="n">
        <v>1359600.53334099</v>
      </c>
      <c r="C6861" s="18" t="n">
        <v>6102013.78713892</v>
      </c>
      <c r="D6861" s="0" t="n">
        <v>1</v>
      </c>
    </row>
    <row r="6862" customFormat="false" ht="15" hidden="false" customHeight="false" outlineLevel="0" collapsed="false">
      <c r="A6862" s="0" t="n">
        <v>6861</v>
      </c>
      <c r="B6862" s="18" t="n">
        <v>588088.501038709</v>
      </c>
      <c r="C6862" s="18" t="n">
        <v>0</v>
      </c>
      <c r="D6862" s="0" t="n">
        <v>0</v>
      </c>
      <c r="E6862" s="19" t="n">
        <v>33.25</v>
      </c>
    </row>
    <row r="6863" customFormat="false" ht="15" hidden="false" customHeight="false" outlineLevel="0" collapsed="false">
      <c r="A6863" s="0" t="n">
        <v>6862</v>
      </c>
      <c r="B6863" s="18" t="n">
        <v>426946.647606882</v>
      </c>
      <c r="C6863" s="18" t="n">
        <v>0</v>
      </c>
      <c r="D6863" s="0" t="n">
        <v>0</v>
      </c>
      <c r="E6863" s="19" t="n">
        <v>32.5833333333333</v>
      </c>
    </row>
    <row r="6864" customFormat="false" ht="15" hidden="false" customHeight="false" outlineLevel="0" collapsed="false">
      <c r="A6864" s="0" t="n">
        <v>6863</v>
      </c>
      <c r="B6864" s="18" t="n">
        <v>276475.848969919</v>
      </c>
      <c r="C6864" s="18" t="n">
        <v>0</v>
      </c>
      <c r="D6864" s="0" t="n">
        <v>0</v>
      </c>
      <c r="E6864" s="19" t="n">
        <v>31</v>
      </c>
    </row>
    <row r="6865" customFormat="false" ht="15" hidden="false" customHeight="false" outlineLevel="0" collapsed="false">
      <c r="A6865" s="0" t="n">
        <v>6864</v>
      </c>
      <c r="B6865" s="18" t="n">
        <v>1119930.81344356</v>
      </c>
      <c r="C6865" s="18" t="n">
        <v>704781.165203819</v>
      </c>
      <c r="D6865" s="0" t="n">
        <v>1</v>
      </c>
    </row>
    <row r="6866" customFormat="false" ht="15" hidden="false" customHeight="false" outlineLevel="0" collapsed="false">
      <c r="A6866" s="0" t="n">
        <v>6865</v>
      </c>
      <c r="B6866" s="18" t="n">
        <v>1909691.03906255</v>
      </c>
      <c r="C6866" s="18" t="n">
        <v>2923465.61119792</v>
      </c>
      <c r="D6866" s="0" t="n">
        <v>1</v>
      </c>
    </row>
    <row r="6867" customFormat="false" ht="15" hidden="false" customHeight="false" outlineLevel="0" collapsed="false">
      <c r="A6867" s="0" t="n">
        <v>6866</v>
      </c>
      <c r="B6867" s="18" t="n">
        <v>1376779.39278167</v>
      </c>
      <c r="C6867" s="18" t="n">
        <v>982462.543891123</v>
      </c>
      <c r="D6867" s="0" t="n">
        <v>1</v>
      </c>
    </row>
    <row r="6868" customFormat="false" ht="15" hidden="false" customHeight="false" outlineLevel="0" collapsed="false">
      <c r="A6868" s="0" t="n">
        <v>6867</v>
      </c>
      <c r="B6868" s="18" t="n">
        <v>857706.538888281</v>
      </c>
      <c r="C6868" s="18" t="n">
        <v>0</v>
      </c>
      <c r="D6868" s="0" t="n">
        <v>0</v>
      </c>
      <c r="E6868" s="19" t="n">
        <v>39.8333333333333</v>
      </c>
    </row>
    <row r="6869" customFormat="false" ht="15" hidden="false" customHeight="false" outlineLevel="0" collapsed="false">
      <c r="A6869" s="0" t="n">
        <v>6868</v>
      </c>
      <c r="B6869" s="18" t="n">
        <v>640933.736577549</v>
      </c>
      <c r="C6869" s="18" t="n">
        <v>0</v>
      </c>
      <c r="D6869" s="0" t="n">
        <v>0</v>
      </c>
      <c r="E6869" s="19" t="n">
        <v>33.9166666666667</v>
      </c>
    </row>
    <row r="6870" customFormat="false" ht="15" hidden="false" customHeight="false" outlineLevel="0" collapsed="false">
      <c r="A6870" s="0" t="n">
        <v>6869</v>
      </c>
      <c r="B6870" s="18" t="n">
        <v>912513.98620426</v>
      </c>
      <c r="C6870" s="18" t="n">
        <v>44743.255251918</v>
      </c>
      <c r="D6870" s="0" t="n">
        <v>1</v>
      </c>
    </row>
    <row r="6871" customFormat="false" ht="15" hidden="false" customHeight="false" outlineLevel="0" collapsed="false">
      <c r="A6871" s="0" t="n">
        <v>6870</v>
      </c>
      <c r="B6871" s="18" t="n">
        <v>1194329.06682347</v>
      </c>
      <c r="C6871" s="18" t="n">
        <v>0</v>
      </c>
      <c r="D6871" s="0" t="n">
        <v>0</v>
      </c>
      <c r="E6871" s="19" t="n">
        <v>42.25</v>
      </c>
    </row>
    <row r="6872" customFormat="false" ht="15" hidden="false" customHeight="false" outlineLevel="0" collapsed="false">
      <c r="A6872" s="0" t="n">
        <v>6871</v>
      </c>
      <c r="B6872" s="18" t="n">
        <v>373716.819933568</v>
      </c>
      <c r="C6872" s="18" t="n">
        <v>0</v>
      </c>
      <c r="D6872" s="0" t="n">
        <v>0</v>
      </c>
      <c r="E6872" s="19" t="n">
        <v>31.1666666666667</v>
      </c>
    </row>
    <row r="6873" customFormat="false" ht="15" hidden="false" customHeight="false" outlineLevel="0" collapsed="false">
      <c r="A6873" s="0" t="n">
        <v>6872</v>
      </c>
      <c r="B6873" s="18" t="n">
        <v>523705.799177753</v>
      </c>
      <c r="C6873" s="18" t="n">
        <v>0</v>
      </c>
      <c r="D6873" s="0" t="n">
        <v>0</v>
      </c>
      <c r="E6873" s="19" t="n">
        <v>33.9166666666667</v>
      </c>
    </row>
    <row r="6874" customFormat="false" ht="15" hidden="false" customHeight="false" outlineLevel="0" collapsed="false">
      <c r="A6874" s="0" t="n">
        <v>6873</v>
      </c>
      <c r="B6874" s="18" t="n">
        <v>1906296.8293408</v>
      </c>
      <c r="C6874" s="18" t="n">
        <v>11417833.5859418</v>
      </c>
      <c r="D6874" s="0" t="n">
        <v>1</v>
      </c>
    </row>
    <row r="6875" customFormat="false" ht="15" hidden="false" customHeight="false" outlineLevel="0" collapsed="false">
      <c r="A6875" s="0" t="n">
        <v>6874</v>
      </c>
      <c r="B6875" s="18" t="n">
        <v>2536598.9412392</v>
      </c>
      <c r="C6875" s="18" t="n">
        <v>16464502.4278365</v>
      </c>
      <c r="D6875" s="0" t="n">
        <v>1</v>
      </c>
    </row>
    <row r="6876" customFormat="false" ht="15" hidden="false" customHeight="false" outlineLevel="0" collapsed="false">
      <c r="A6876" s="0" t="n">
        <v>6875</v>
      </c>
      <c r="B6876" s="18" t="n">
        <v>4404378.70994306</v>
      </c>
      <c r="C6876" s="18" t="n">
        <v>9397455.41103721</v>
      </c>
      <c r="D6876" s="0" t="n">
        <v>1</v>
      </c>
    </row>
    <row r="6877" customFormat="false" ht="15" hidden="false" customHeight="false" outlineLevel="0" collapsed="false">
      <c r="A6877" s="0" t="n">
        <v>6876</v>
      </c>
      <c r="B6877" s="18" t="n">
        <v>1271249.15327321</v>
      </c>
      <c r="C6877" s="18" t="n">
        <v>0</v>
      </c>
      <c r="D6877" s="0" t="n">
        <v>0</v>
      </c>
      <c r="E6877" s="19" t="n">
        <v>47.6666666666667</v>
      </c>
    </row>
    <row r="6878" customFormat="false" ht="15" hidden="false" customHeight="false" outlineLevel="0" collapsed="false">
      <c r="A6878" s="0" t="n">
        <v>6877</v>
      </c>
      <c r="B6878" s="18" t="n">
        <v>901234.627159962</v>
      </c>
      <c r="C6878" s="18" t="n">
        <v>0</v>
      </c>
      <c r="D6878" s="0" t="n">
        <v>0</v>
      </c>
      <c r="E6878" s="19" t="n">
        <v>40.8333333333333</v>
      </c>
    </row>
    <row r="6879" customFormat="false" ht="15" hidden="false" customHeight="false" outlineLevel="0" collapsed="false">
      <c r="A6879" s="0" t="n">
        <v>6878</v>
      </c>
      <c r="B6879" s="18" t="n">
        <v>494079.205594123</v>
      </c>
      <c r="C6879" s="18" t="n">
        <v>0</v>
      </c>
      <c r="D6879" s="0" t="n">
        <v>0</v>
      </c>
      <c r="E6879" s="19" t="n">
        <v>35.8333333333333</v>
      </c>
    </row>
    <row r="6880" customFormat="false" ht="15" hidden="false" customHeight="false" outlineLevel="0" collapsed="false">
      <c r="A6880" s="0" t="n">
        <v>6879</v>
      </c>
      <c r="B6880" s="18" t="n">
        <v>569707.110948807</v>
      </c>
      <c r="C6880" s="18" t="n">
        <v>0</v>
      </c>
      <c r="D6880" s="0" t="n">
        <v>0</v>
      </c>
      <c r="E6880" s="19" t="n">
        <v>36.25</v>
      </c>
    </row>
    <row r="6881" customFormat="false" ht="15" hidden="false" customHeight="false" outlineLevel="0" collapsed="false">
      <c r="A6881" s="0" t="n">
        <v>6880</v>
      </c>
      <c r="B6881" s="18" t="n">
        <v>1041516.80497376</v>
      </c>
      <c r="C6881" s="18" t="n">
        <v>0</v>
      </c>
      <c r="D6881" s="0" t="n">
        <v>0</v>
      </c>
      <c r="E6881" s="19" t="n">
        <v>35.8333333333333</v>
      </c>
    </row>
    <row r="6882" customFormat="false" ht="15" hidden="false" customHeight="false" outlineLevel="0" collapsed="false">
      <c r="A6882" s="0" t="n">
        <v>6881</v>
      </c>
      <c r="B6882" s="18" t="n">
        <v>578770.47171142</v>
      </c>
      <c r="C6882" s="18" t="n">
        <v>0</v>
      </c>
      <c r="D6882" s="0" t="n">
        <v>0</v>
      </c>
      <c r="E6882" s="19" t="n">
        <v>41.75</v>
      </c>
    </row>
    <row r="6883" customFormat="false" ht="15" hidden="false" customHeight="false" outlineLevel="0" collapsed="false">
      <c r="A6883" s="0" t="n">
        <v>6882</v>
      </c>
      <c r="B6883" s="18" t="n">
        <v>541704.66040805</v>
      </c>
      <c r="C6883" s="18" t="n">
        <v>0</v>
      </c>
      <c r="D6883" s="0" t="n">
        <v>0</v>
      </c>
      <c r="E6883" s="19" t="n">
        <v>34.6666666666667</v>
      </c>
    </row>
    <row r="6884" customFormat="false" ht="15" hidden="false" customHeight="false" outlineLevel="0" collapsed="false">
      <c r="A6884" s="0" t="n">
        <v>6883</v>
      </c>
      <c r="B6884" s="18" t="n">
        <v>450188.92900253</v>
      </c>
      <c r="C6884" s="18" t="n">
        <v>0</v>
      </c>
      <c r="D6884" s="0" t="n">
        <v>0</v>
      </c>
      <c r="E6884" s="19" t="n">
        <v>35.75</v>
      </c>
    </row>
    <row r="6885" customFormat="false" ht="15" hidden="false" customHeight="false" outlineLevel="0" collapsed="false">
      <c r="A6885" s="0" t="n">
        <v>6884</v>
      </c>
      <c r="B6885" s="18" t="n">
        <v>3336527.9068355</v>
      </c>
      <c r="C6885" s="18" t="n">
        <v>9814326.56344726</v>
      </c>
      <c r="D6885" s="0" t="n">
        <v>1</v>
      </c>
    </row>
    <row r="6886" customFormat="false" ht="15" hidden="false" customHeight="false" outlineLevel="0" collapsed="false">
      <c r="A6886" s="0" t="n">
        <v>6885</v>
      </c>
      <c r="B6886" s="18" t="n">
        <v>380744.137851789</v>
      </c>
      <c r="C6886" s="18" t="n">
        <v>0</v>
      </c>
      <c r="D6886" s="0" t="n">
        <v>0</v>
      </c>
      <c r="E6886" s="19" t="n">
        <v>35.75</v>
      </c>
    </row>
    <row r="6887" customFormat="false" ht="15" hidden="false" customHeight="false" outlineLevel="0" collapsed="false">
      <c r="A6887" s="0" t="n">
        <v>6886</v>
      </c>
      <c r="B6887" s="18" t="n">
        <v>2137560.18801201</v>
      </c>
      <c r="C6887" s="18" t="n">
        <v>52048426.4714237</v>
      </c>
      <c r="D6887" s="0" t="n">
        <v>1</v>
      </c>
    </row>
    <row r="6888" customFormat="false" ht="15" hidden="false" customHeight="false" outlineLevel="0" collapsed="false">
      <c r="A6888" s="0" t="n">
        <v>6887</v>
      </c>
      <c r="B6888" s="18" t="n">
        <v>770513.978848773</v>
      </c>
      <c r="C6888" s="18" t="n">
        <v>0</v>
      </c>
      <c r="D6888" s="0" t="n">
        <v>0</v>
      </c>
      <c r="E6888" s="19" t="n">
        <v>49.0833333333333</v>
      </c>
    </row>
    <row r="6889" customFormat="false" ht="15" hidden="false" customHeight="false" outlineLevel="0" collapsed="false">
      <c r="A6889" s="0" t="n">
        <v>6888</v>
      </c>
      <c r="B6889" s="18" t="n">
        <v>2103608.18586211</v>
      </c>
      <c r="C6889" s="18" t="n">
        <v>8084570.41771497</v>
      </c>
      <c r="D6889" s="0" t="n">
        <v>1</v>
      </c>
    </row>
    <row r="6890" customFormat="false" ht="15" hidden="false" customHeight="false" outlineLevel="0" collapsed="false">
      <c r="A6890" s="0" t="n">
        <v>6889</v>
      </c>
      <c r="B6890" s="18" t="n">
        <v>821337.460318226</v>
      </c>
      <c r="C6890" s="18" t="n">
        <v>0</v>
      </c>
      <c r="D6890" s="0" t="n">
        <v>0</v>
      </c>
      <c r="E6890" s="19" t="n">
        <v>39.6666666666667</v>
      </c>
    </row>
    <row r="6891" customFormat="false" ht="15" hidden="false" customHeight="false" outlineLevel="0" collapsed="false">
      <c r="A6891" s="0" t="n">
        <v>6890</v>
      </c>
      <c r="B6891" s="18" t="n">
        <v>1208500.72140493</v>
      </c>
      <c r="C6891" s="18" t="n">
        <v>0</v>
      </c>
      <c r="D6891" s="0" t="n">
        <v>0</v>
      </c>
      <c r="E6891" s="19" t="n">
        <v>38.5833333333333</v>
      </c>
    </row>
    <row r="6892" customFormat="false" ht="15" hidden="false" customHeight="false" outlineLevel="0" collapsed="false">
      <c r="A6892" s="0" t="n">
        <v>6891</v>
      </c>
      <c r="B6892" s="18" t="n">
        <v>834504.910070761</v>
      </c>
      <c r="C6892" s="18" t="n">
        <v>329384.151067685</v>
      </c>
      <c r="D6892" s="0" t="n">
        <v>1</v>
      </c>
    </row>
    <row r="6893" customFormat="false" ht="15" hidden="false" customHeight="false" outlineLevel="0" collapsed="false">
      <c r="A6893" s="0" t="n">
        <v>6892</v>
      </c>
      <c r="B6893" s="18" t="n">
        <v>391581.427541127</v>
      </c>
      <c r="C6893" s="18" t="n">
        <v>0</v>
      </c>
      <c r="D6893" s="0" t="n">
        <v>0</v>
      </c>
      <c r="E6893" s="19" t="n">
        <v>34.0833333333333</v>
      </c>
    </row>
    <row r="6894" customFormat="false" ht="15" hidden="false" customHeight="false" outlineLevel="0" collapsed="false">
      <c r="A6894" s="0" t="n">
        <v>6893</v>
      </c>
      <c r="B6894" s="18" t="n">
        <v>1712537.30493247</v>
      </c>
      <c r="C6894" s="18" t="n">
        <v>142960.66229538</v>
      </c>
      <c r="D6894" s="0" t="n">
        <v>1</v>
      </c>
    </row>
    <row r="6895" customFormat="false" ht="15" hidden="false" customHeight="false" outlineLevel="0" collapsed="false">
      <c r="A6895" s="0" t="n">
        <v>6894</v>
      </c>
      <c r="B6895" s="18" t="n">
        <v>916295.611835114</v>
      </c>
      <c r="C6895" s="18" t="n">
        <v>0</v>
      </c>
      <c r="D6895" s="0" t="n">
        <v>0</v>
      </c>
      <c r="E6895" s="19" t="n">
        <v>46.8333333333333</v>
      </c>
    </row>
    <row r="6896" customFormat="false" ht="15" hidden="false" customHeight="false" outlineLevel="0" collapsed="false">
      <c r="A6896" s="0" t="n">
        <v>6895</v>
      </c>
      <c r="B6896" s="18" t="n">
        <v>747585.264457542</v>
      </c>
      <c r="C6896" s="18" t="n">
        <v>0</v>
      </c>
      <c r="D6896" s="0" t="n">
        <v>0</v>
      </c>
      <c r="E6896" s="19" t="n">
        <v>38.25</v>
      </c>
    </row>
    <row r="6897" customFormat="false" ht="15" hidden="false" customHeight="false" outlineLevel="0" collapsed="false">
      <c r="A6897" s="0" t="n">
        <v>6896</v>
      </c>
      <c r="B6897" s="18" t="n">
        <v>1376995.94199687</v>
      </c>
      <c r="C6897" s="18" t="n">
        <v>8928336.97377041</v>
      </c>
      <c r="D6897" s="0" t="n">
        <v>1</v>
      </c>
    </row>
    <row r="6898" customFormat="false" ht="15" hidden="false" customHeight="false" outlineLevel="0" collapsed="false">
      <c r="A6898" s="0" t="n">
        <v>6897</v>
      </c>
      <c r="B6898" s="18" t="n">
        <v>1605147.47043044</v>
      </c>
      <c r="C6898" s="18" t="n">
        <v>168476.621502242</v>
      </c>
      <c r="D6898" s="0" t="n">
        <v>1</v>
      </c>
    </row>
    <row r="6899" customFormat="false" ht="15" hidden="false" customHeight="false" outlineLevel="0" collapsed="false">
      <c r="A6899" s="0" t="n">
        <v>6898</v>
      </c>
      <c r="B6899" s="18" t="n">
        <v>1737670.59662577</v>
      </c>
      <c r="C6899" s="18" t="n">
        <v>0</v>
      </c>
      <c r="D6899" s="0" t="n">
        <v>0</v>
      </c>
      <c r="E6899" s="19" t="n">
        <v>40.8333333333333</v>
      </c>
    </row>
    <row r="6900" customFormat="false" ht="15" hidden="false" customHeight="false" outlineLevel="0" collapsed="false">
      <c r="A6900" s="0" t="n">
        <v>6899</v>
      </c>
      <c r="B6900" s="18" t="n">
        <v>1631207.9021955</v>
      </c>
      <c r="C6900" s="18" t="n">
        <v>8694169.34606367</v>
      </c>
      <c r="D6900" s="0" t="n">
        <v>1</v>
      </c>
    </row>
    <row r="6901" customFormat="false" ht="15" hidden="false" customHeight="false" outlineLevel="0" collapsed="false">
      <c r="A6901" s="0" t="n">
        <v>6900</v>
      </c>
      <c r="B6901" s="18" t="n">
        <v>1220012.47425615</v>
      </c>
      <c r="C6901" s="18" t="n">
        <v>0</v>
      </c>
      <c r="D6901" s="0" t="n">
        <v>0</v>
      </c>
      <c r="E6901" s="19" t="n">
        <v>39.75</v>
      </c>
    </row>
    <row r="6902" customFormat="false" ht="15" hidden="false" customHeight="false" outlineLevel="0" collapsed="false">
      <c r="A6902" s="0" t="n">
        <v>6901</v>
      </c>
      <c r="B6902" s="18" t="n">
        <v>317357.34664291</v>
      </c>
      <c r="C6902" s="18" t="n">
        <v>0</v>
      </c>
      <c r="D6902" s="0" t="n">
        <v>0</v>
      </c>
      <c r="E6902" s="19" t="n">
        <v>31.8333333333333</v>
      </c>
    </row>
    <row r="6903" customFormat="false" ht="15" hidden="false" customHeight="false" outlineLevel="0" collapsed="false">
      <c r="A6903" s="0" t="n">
        <v>6902</v>
      </c>
      <c r="B6903" s="18" t="n">
        <v>806452.551279101</v>
      </c>
      <c r="C6903" s="18" t="n">
        <v>0</v>
      </c>
      <c r="D6903" s="0" t="n">
        <v>0</v>
      </c>
      <c r="E6903" s="19" t="n">
        <v>42</v>
      </c>
    </row>
    <row r="6904" customFormat="false" ht="15" hidden="false" customHeight="false" outlineLevel="0" collapsed="false">
      <c r="A6904" s="0" t="n">
        <v>6903</v>
      </c>
      <c r="B6904" s="18" t="n">
        <v>3289483.68149354</v>
      </c>
      <c r="C6904" s="18" t="n">
        <v>3820326.31071787</v>
      </c>
      <c r="D6904" s="0" t="n">
        <v>1</v>
      </c>
    </row>
    <row r="6905" customFormat="false" ht="15" hidden="false" customHeight="false" outlineLevel="0" collapsed="false">
      <c r="A6905" s="0" t="n">
        <v>6904</v>
      </c>
      <c r="B6905" s="18" t="n">
        <v>593859.437346163</v>
      </c>
      <c r="C6905" s="18" t="n">
        <v>0</v>
      </c>
      <c r="D6905" s="0" t="n">
        <v>0</v>
      </c>
      <c r="E6905" s="19" t="n">
        <v>36.4166666666667</v>
      </c>
    </row>
    <row r="6906" customFormat="false" ht="15" hidden="false" customHeight="false" outlineLevel="0" collapsed="false">
      <c r="A6906" s="0" t="n">
        <v>6905</v>
      </c>
      <c r="B6906" s="18" t="n">
        <v>536773.222576426</v>
      </c>
      <c r="C6906" s="18" t="n">
        <v>0</v>
      </c>
      <c r="D6906" s="0" t="n">
        <v>0</v>
      </c>
      <c r="E6906" s="19" t="n">
        <v>39.75</v>
      </c>
    </row>
    <row r="6907" customFormat="false" ht="15" hidden="false" customHeight="false" outlineLevel="0" collapsed="false">
      <c r="A6907" s="0" t="n">
        <v>6906</v>
      </c>
      <c r="B6907" s="18" t="n">
        <v>3440285.44079464</v>
      </c>
      <c r="C6907" s="18" t="n">
        <v>27918574.9068905</v>
      </c>
      <c r="D6907" s="0" t="n">
        <v>1</v>
      </c>
    </row>
    <row r="6908" customFormat="false" ht="15" hidden="false" customHeight="false" outlineLevel="0" collapsed="false">
      <c r="A6908" s="0" t="n">
        <v>6907</v>
      </c>
      <c r="B6908" s="18" t="n">
        <v>953646.028529817</v>
      </c>
      <c r="C6908" s="18" t="n">
        <v>4619552.31235368</v>
      </c>
      <c r="D6908" s="0" t="n">
        <v>1</v>
      </c>
    </row>
    <row r="6909" customFormat="false" ht="15" hidden="false" customHeight="false" outlineLevel="0" collapsed="false">
      <c r="A6909" s="0" t="n">
        <v>6908</v>
      </c>
      <c r="B6909" s="18" t="n">
        <v>251059.560320471</v>
      </c>
      <c r="C6909" s="18" t="n">
        <v>0</v>
      </c>
      <c r="D6909" s="0" t="n">
        <v>0</v>
      </c>
      <c r="E6909" s="19" t="n">
        <v>29.75</v>
      </c>
    </row>
    <row r="6910" customFormat="false" ht="15" hidden="false" customHeight="false" outlineLevel="0" collapsed="false">
      <c r="A6910" s="0" t="n">
        <v>6909</v>
      </c>
      <c r="B6910" s="18" t="n">
        <v>1294660.19037911</v>
      </c>
      <c r="C6910" s="18" t="n">
        <v>44879354.072521</v>
      </c>
      <c r="D6910" s="0" t="n">
        <v>1</v>
      </c>
    </row>
    <row r="6911" customFormat="false" ht="15" hidden="false" customHeight="false" outlineLevel="0" collapsed="false">
      <c r="A6911" s="0" t="n">
        <v>6910</v>
      </c>
      <c r="B6911" s="18" t="n">
        <v>718085.648311317</v>
      </c>
      <c r="C6911" s="18" t="n">
        <v>0</v>
      </c>
      <c r="D6911" s="0" t="n">
        <v>0</v>
      </c>
      <c r="E6911" s="19" t="n">
        <v>48.1666666666667</v>
      </c>
    </row>
    <row r="6912" customFormat="false" ht="15" hidden="false" customHeight="false" outlineLevel="0" collapsed="false">
      <c r="A6912" s="0" t="n">
        <v>6911</v>
      </c>
      <c r="B6912" s="18" t="n">
        <v>755547.19618775</v>
      </c>
      <c r="C6912" s="18" t="n">
        <v>0</v>
      </c>
      <c r="D6912" s="0" t="n">
        <v>0</v>
      </c>
      <c r="E6912" s="19" t="n">
        <v>33.8333333333333</v>
      </c>
    </row>
    <row r="6913" customFormat="false" ht="15" hidden="false" customHeight="false" outlineLevel="0" collapsed="false">
      <c r="A6913" s="0" t="n">
        <v>6912</v>
      </c>
      <c r="B6913" s="18" t="n">
        <v>1348887.83756195</v>
      </c>
      <c r="C6913" s="18" t="n">
        <v>11192993.4077485</v>
      </c>
      <c r="D6913" s="0" t="n">
        <v>1</v>
      </c>
    </row>
    <row r="6914" customFormat="false" ht="15" hidden="false" customHeight="false" outlineLevel="0" collapsed="false">
      <c r="A6914" s="0" t="n">
        <v>6913</v>
      </c>
      <c r="B6914" s="18" t="n">
        <v>1761649.75991449</v>
      </c>
      <c r="C6914" s="18" t="n">
        <v>5193914.19185511</v>
      </c>
      <c r="D6914" s="0" t="n">
        <v>1</v>
      </c>
    </row>
    <row r="6915" customFormat="false" ht="15" hidden="false" customHeight="false" outlineLevel="0" collapsed="false">
      <c r="A6915" s="0" t="n">
        <v>6914</v>
      </c>
      <c r="B6915" s="18" t="n">
        <v>640282.795596634</v>
      </c>
      <c r="C6915" s="18" t="n">
        <v>0</v>
      </c>
      <c r="D6915" s="0" t="n">
        <v>0</v>
      </c>
      <c r="E6915" s="19" t="n">
        <v>33.8333333333333</v>
      </c>
    </row>
    <row r="6916" customFormat="false" ht="15" hidden="false" customHeight="false" outlineLevel="0" collapsed="false">
      <c r="A6916" s="0" t="n">
        <v>6915</v>
      </c>
      <c r="B6916" s="18" t="n">
        <v>1234764.45969789</v>
      </c>
      <c r="C6916" s="18" t="n">
        <v>3498528.42711307</v>
      </c>
      <c r="D6916" s="0" t="n">
        <v>1</v>
      </c>
    </row>
    <row r="6917" customFormat="false" ht="15" hidden="false" customHeight="false" outlineLevel="0" collapsed="false">
      <c r="A6917" s="0" t="n">
        <v>6916</v>
      </c>
      <c r="B6917" s="18" t="n">
        <v>945831.71058981</v>
      </c>
      <c r="C6917" s="18" t="n">
        <v>0</v>
      </c>
      <c r="D6917" s="0" t="n">
        <v>0</v>
      </c>
      <c r="E6917" s="19" t="n">
        <v>50.5</v>
      </c>
    </row>
    <row r="6918" customFormat="false" ht="15" hidden="false" customHeight="false" outlineLevel="0" collapsed="false">
      <c r="A6918" s="0" t="n">
        <v>6917</v>
      </c>
      <c r="B6918" s="18" t="n">
        <v>688121.341588014</v>
      </c>
      <c r="C6918" s="18" t="n">
        <v>0</v>
      </c>
      <c r="D6918" s="0" t="n">
        <v>0</v>
      </c>
      <c r="E6918" s="19" t="n">
        <v>37.9166666666667</v>
      </c>
    </row>
    <row r="6919" customFormat="false" ht="15" hidden="false" customHeight="false" outlineLevel="0" collapsed="false">
      <c r="A6919" s="0" t="n">
        <v>6918</v>
      </c>
      <c r="B6919" s="18" t="n">
        <v>739948.061091503</v>
      </c>
      <c r="C6919" s="18" t="n">
        <v>0</v>
      </c>
      <c r="D6919" s="0" t="n">
        <v>0</v>
      </c>
      <c r="E6919" s="19" t="n">
        <v>52.4166666666667</v>
      </c>
    </row>
    <row r="6920" customFormat="false" ht="15" hidden="false" customHeight="false" outlineLevel="0" collapsed="false">
      <c r="A6920" s="0" t="n">
        <v>6919</v>
      </c>
      <c r="B6920" s="18" t="n">
        <v>798365.70435036</v>
      </c>
      <c r="C6920" s="18" t="n">
        <v>79726.8371620043</v>
      </c>
      <c r="D6920" s="0" t="n">
        <v>1</v>
      </c>
    </row>
    <row r="6921" customFormat="false" ht="15" hidden="false" customHeight="false" outlineLevel="0" collapsed="false">
      <c r="A6921" s="0" t="n">
        <v>6920</v>
      </c>
      <c r="B6921" s="18" t="n">
        <v>1360983.84618098</v>
      </c>
      <c r="C6921" s="18" t="n">
        <v>1114788.59189545</v>
      </c>
      <c r="D6921" s="0" t="n">
        <v>1</v>
      </c>
    </row>
    <row r="6922" customFormat="false" ht="15" hidden="false" customHeight="false" outlineLevel="0" collapsed="false">
      <c r="A6922" s="0" t="n">
        <v>6921</v>
      </c>
      <c r="B6922" s="18" t="n">
        <v>664847.118524994</v>
      </c>
      <c r="C6922" s="18" t="n">
        <v>0</v>
      </c>
      <c r="D6922" s="0" t="n">
        <v>0</v>
      </c>
      <c r="E6922" s="19" t="n">
        <v>37.9166666666667</v>
      </c>
    </row>
    <row r="6923" customFormat="false" ht="15" hidden="false" customHeight="false" outlineLevel="0" collapsed="false">
      <c r="A6923" s="0" t="n">
        <v>6922</v>
      </c>
      <c r="B6923" s="18" t="n">
        <v>634856.227212202</v>
      </c>
      <c r="C6923" s="18" t="n">
        <v>0</v>
      </c>
      <c r="D6923" s="0" t="n">
        <v>0</v>
      </c>
      <c r="E6923" s="19" t="n">
        <v>50.0833333333333</v>
      </c>
    </row>
    <row r="6924" customFormat="false" ht="15" hidden="false" customHeight="false" outlineLevel="0" collapsed="false">
      <c r="A6924" s="0" t="n">
        <v>6923</v>
      </c>
      <c r="B6924" s="18" t="n">
        <v>864569.944737188</v>
      </c>
      <c r="C6924" s="18" t="n">
        <v>0</v>
      </c>
      <c r="D6924" s="0" t="n">
        <v>0</v>
      </c>
      <c r="E6924" s="19" t="n">
        <v>47.0833333333333</v>
      </c>
    </row>
    <row r="6925" customFormat="false" ht="15" hidden="false" customHeight="false" outlineLevel="0" collapsed="false">
      <c r="A6925" s="0" t="n">
        <v>6924</v>
      </c>
      <c r="B6925" s="18" t="n">
        <v>1229611.75372622</v>
      </c>
      <c r="C6925" s="18" t="n">
        <v>0</v>
      </c>
      <c r="D6925" s="0" t="n">
        <v>0</v>
      </c>
      <c r="E6925" s="19" t="n">
        <v>46.9166666666667</v>
      </c>
    </row>
    <row r="6926" customFormat="false" ht="15" hidden="false" customHeight="false" outlineLevel="0" collapsed="false">
      <c r="A6926" s="0" t="n">
        <v>6925</v>
      </c>
      <c r="B6926" s="18" t="n">
        <v>2025102.08649467</v>
      </c>
      <c r="C6926" s="18" t="n">
        <v>5970156.34315204</v>
      </c>
      <c r="D6926" s="0" t="n">
        <v>1</v>
      </c>
    </row>
    <row r="6927" customFormat="false" ht="15" hidden="false" customHeight="false" outlineLevel="0" collapsed="false">
      <c r="A6927" s="0" t="n">
        <v>6926</v>
      </c>
      <c r="B6927" s="18" t="n">
        <v>1234926.85022325</v>
      </c>
      <c r="C6927" s="18" t="n">
        <v>822025.160176949</v>
      </c>
      <c r="D6927" s="0" t="n">
        <v>1</v>
      </c>
    </row>
    <row r="6928" customFormat="false" ht="15" hidden="false" customHeight="false" outlineLevel="0" collapsed="false">
      <c r="A6928" s="0" t="n">
        <v>6927</v>
      </c>
      <c r="B6928" s="18" t="n">
        <v>1195573.08896794</v>
      </c>
      <c r="C6928" s="18" t="n">
        <v>0</v>
      </c>
      <c r="D6928" s="0" t="n">
        <v>0</v>
      </c>
      <c r="E6928" s="19" t="n">
        <v>43.25</v>
      </c>
    </row>
    <row r="6929" customFormat="false" ht="15" hidden="false" customHeight="false" outlineLevel="0" collapsed="false">
      <c r="A6929" s="0" t="n">
        <v>6928</v>
      </c>
      <c r="B6929" s="18" t="n">
        <v>945683.391165516</v>
      </c>
      <c r="C6929" s="18" t="n">
        <v>8274596.81658104</v>
      </c>
      <c r="D6929" s="0" t="n">
        <v>1</v>
      </c>
    </row>
    <row r="6930" customFormat="false" ht="15" hidden="false" customHeight="false" outlineLevel="0" collapsed="false">
      <c r="A6930" s="0" t="n">
        <v>6929</v>
      </c>
      <c r="B6930" s="18" t="n">
        <v>645176.747097474</v>
      </c>
      <c r="C6930" s="18" t="n">
        <v>0</v>
      </c>
      <c r="D6930" s="0" t="n">
        <v>0</v>
      </c>
      <c r="E6930" s="19" t="n">
        <v>43.8333333333333</v>
      </c>
    </row>
    <row r="6931" customFormat="false" ht="15" hidden="false" customHeight="false" outlineLevel="0" collapsed="false">
      <c r="A6931" s="0" t="n">
        <v>6930</v>
      </c>
      <c r="B6931" s="18" t="n">
        <v>816441.241585222</v>
      </c>
      <c r="C6931" s="18" t="n">
        <v>0</v>
      </c>
      <c r="D6931" s="0" t="n">
        <v>0</v>
      </c>
      <c r="E6931" s="19" t="n">
        <v>37.75</v>
      </c>
    </row>
    <row r="6932" customFormat="false" ht="15" hidden="false" customHeight="false" outlineLevel="0" collapsed="false">
      <c r="A6932" s="0" t="n">
        <v>6931</v>
      </c>
      <c r="B6932" s="18" t="n">
        <v>1556853.04936494</v>
      </c>
      <c r="C6932" s="18" t="n">
        <v>0</v>
      </c>
      <c r="D6932" s="0" t="n">
        <v>0</v>
      </c>
      <c r="E6932" s="19" t="n">
        <v>43.6666666666667</v>
      </c>
    </row>
    <row r="6933" customFormat="false" ht="15" hidden="false" customHeight="false" outlineLevel="0" collapsed="false">
      <c r="A6933" s="0" t="n">
        <v>6932</v>
      </c>
      <c r="B6933" s="18" t="n">
        <v>1133104.32183752</v>
      </c>
      <c r="C6933" s="18" t="n">
        <v>0</v>
      </c>
      <c r="D6933" s="0" t="n">
        <v>0</v>
      </c>
      <c r="E6933" s="19" t="n">
        <v>50.6666666666667</v>
      </c>
    </row>
    <row r="6934" customFormat="false" ht="15" hidden="false" customHeight="false" outlineLevel="0" collapsed="false">
      <c r="A6934" s="0" t="n">
        <v>6933</v>
      </c>
      <c r="B6934" s="18" t="n">
        <v>1030003.94160312</v>
      </c>
      <c r="C6934" s="18" t="n">
        <v>1217383.41479421</v>
      </c>
      <c r="D6934" s="0" t="n">
        <v>1</v>
      </c>
    </row>
    <row r="6935" customFormat="false" ht="15" hidden="false" customHeight="false" outlineLevel="0" collapsed="false">
      <c r="A6935" s="0" t="n">
        <v>6934</v>
      </c>
      <c r="B6935" s="18" t="n">
        <v>1035319.46238185</v>
      </c>
      <c r="C6935" s="18" t="n">
        <v>0</v>
      </c>
      <c r="D6935" s="0" t="n">
        <v>0</v>
      </c>
      <c r="E6935" s="19" t="n">
        <v>44.75</v>
      </c>
    </row>
    <row r="6936" customFormat="false" ht="15" hidden="false" customHeight="false" outlineLevel="0" collapsed="false">
      <c r="A6936" s="0" t="n">
        <v>6935</v>
      </c>
      <c r="B6936" s="18" t="n">
        <v>489440.608539584</v>
      </c>
      <c r="C6936" s="18" t="n">
        <v>0</v>
      </c>
      <c r="D6936" s="0" t="n">
        <v>0</v>
      </c>
      <c r="E6936" s="19" t="n">
        <v>35.4166666666667</v>
      </c>
    </row>
    <row r="6937" customFormat="false" ht="15" hidden="false" customHeight="false" outlineLevel="0" collapsed="false">
      <c r="A6937" s="0" t="n">
        <v>6936</v>
      </c>
      <c r="B6937" s="18" t="n">
        <v>514119.165839561</v>
      </c>
      <c r="C6937" s="18" t="n">
        <v>0</v>
      </c>
      <c r="D6937" s="0" t="n">
        <v>0</v>
      </c>
      <c r="E6937" s="19" t="n">
        <v>37.0833333333333</v>
      </c>
    </row>
    <row r="6938" customFormat="false" ht="15" hidden="false" customHeight="false" outlineLevel="0" collapsed="false">
      <c r="A6938" s="0" t="n">
        <v>6937</v>
      </c>
      <c r="B6938" s="18" t="n">
        <v>656053.22211704</v>
      </c>
      <c r="C6938" s="18" t="n">
        <v>0</v>
      </c>
      <c r="D6938" s="0" t="n">
        <v>0</v>
      </c>
      <c r="E6938" s="19" t="n">
        <v>42.1666666666667</v>
      </c>
    </row>
    <row r="6939" customFormat="false" ht="15" hidden="false" customHeight="false" outlineLevel="0" collapsed="false">
      <c r="A6939" s="0" t="n">
        <v>6938</v>
      </c>
      <c r="B6939" s="18" t="n">
        <v>1590521.93581823</v>
      </c>
      <c r="C6939" s="18" t="n">
        <v>6557340.8605561</v>
      </c>
      <c r="D6939" s="0" t="n">
        <v>1</v>
      </c>
    </row>
    <row r="6940" customFormat="false" ht="15" hidden="false" customHeight="false" outlineLevel="0" collapsed="false">
      <c r="A6940" s="0" t="n">
        <v>6939</v>
      </c>
      <c r="B6940" s="18" t="n">
        <v>1424624.5737773</v>
      </c>
      <c r="C6940" s="18" t="n">
        <v>31882193.3543276</v>
      </c>
      <c r="D6940" s="0" t="n">
        <v>1</v>
      </c>
    </row>
    <row r="6941" customFormat="false" ht="15" hidden="false" customHeight="false" outlineLevel="0" collapsed="false">
      <c r="A6941" s="0" t="n">
        <v>6940</v>
      </c>
      <c r="B6941" s="18" t="n">
        <v>957165.662216663</v>
      </c>
      <c r="C6941" s="18" t="n">
        <v>0</v>
      </c>
      <c r="D6941" s="0" t="n">
        <v>0</v>
      </c>
      <c r="E6941" s="19" t="n">
        <v>37.9166666666667</v>
      </c>
    </row>
    <row r="6942" customFormat="false" ht="15" hidden="false" customHeight="false" outlineLevel="0" collapsed="false">
      <c r="A6942" s="0" t="n">
        <v>6941</v>
      </c>
      <c r="B6942" s="18" t="n">
        <v>1344562.2535941</v>
      </c>
      <c r="C6942" s="18" t="n">
        <v>62537.9591519417</v>
      </c>
      <c r="D6942" s="0" t="n">
        <v>1</v>
      </c>
    </row>
    <row r="6943" customFormat="false" ht="15" hidden="false" customHeight="false" outlineLevel="0" collapsed="false">
      <c r="A6943" s="0" t="n">
        <v>6942</v>
      </c>
      <c r="B6943" s="18" t="n">
        <v>482870.96423509</v>
      </c>
      <c r="C6943" s="18" t="n">
        <v>0</v>
      </c>
      <c r="D6943" s="0" t="n">
        <v>0</v>
      </c>
      <c r="E6943" s="19" t="n">
        <v>33.8333333333333</v>
      </c>
    </row>
    <row r="6944" customFormat="false" ht="15" hidden="false" customHeight="false" outlineLevel="0" collapsed="false">
      <c r="A6944" s="0" t="n">
        <v>6943</v>
      </c>
      <c r="B6944" s="18" t="n">
        <v>382988.245348661</v>
      </c>
      <c r="C6944" s="18" t="n">
        <v>0</v>
      </c>
      <c r="D6944" s="0" t="n">
        <v>0</v>
      </c>
      <c r="E6944" s="19" t="n">
        <v>33.0833333333333</v>
      </c>
    </row>
    <row r="6945" customFormat="false" ht="15" hidden="false" customHeight="false" outlineLevel="0" collapsed="false">
      <c r="A6945" s="0" t="n">
        <v>6944</v>
      </c>
      <c r="B6945" s="18" t="n">
        <v>1909842.55886648</v>
      </c>
      <c r="C6945" s="18" t="n">
        <v>1126525.20325207</v>
      </c>
      <c r="D6945" s="0" t="n">
        <v>1</v>
      </c>
    </row>
    <row r="6946" customFormat="false" ht="15" hidden="false" customHeight="false" outlineLevel="0" collapsed="false">
      <c r="A6946" s="0" t="n">
        <v>6945</v>
      </c>
      <c r="B6946" s="18" t="n">
        <v>713094.914890016</v>
      </c>
      <c r="C6946" s="18" t="n">
        <v>0</v>
      </c>
      <c r="D6946" s="0" t="n">
        <v>0</v>
      </c>
      <c r="E6946" s="19" t="n">
        <v>34.1666666666667</v>
      </c>
    </row>
    <row r="6947" customFormat="false" ht="15" hidden="false" customHeight="false" outlineLevel="0" collapsed="false">
      <c r="A6947" s="0" t="n">
        <v>6946</v>
      </c>
      <c r="B6947" s="18" t="n">
        <v>1599925.19089353</v>
      </c>
      <c r="C6947" s="18" t="n">
        <v>0</v>
      </c>
      <c r="D6947" s="0" t="n">
        <v>0</v>
      </c>
      <c r="E6947" s="19" t="n">
        <v>50.75</v>
      </c>
    </row>
    <row r="6948" customFormat="false" ht="15" hidden="false" customHeight="false" outlineLevel="0" collapsed="false">
      <c r="A6948" s="0" t="n">
        <v>6947</v>
      </c>
      <c r="B6948" s="18" t="n">
        <v>562459.556056134</v>
      </c>
      <c r="C6948" s="18" t="n">
        <v>0</v>
      </c>
      <c r="D6948" s="0" t="n">
        <v>0</v>
      </c>
      <c r="E6948" s="19" t="n">
        <v>33.5</v>
      </c>
    </row>
    <row r="6949" customFormat="false" ht="15" hidden="false" customHeight="false" outlineLevel="0" collapsed="false">
      <c r="A6949" s="0" t="n">
        <v>6948</v>
      </c>
      <c r="B6949" s="18" t="n">
        <v>422462.542630312</v>
      </c>
      <c r="C6949" s="18" t="n">
        <v>0</v>
      </c>
      <c r="D6949" s="0" t="n">
        <v>0</v>
      </c>
      <c r="E6949" s="19" t="n">
        <v>31.9166666666667</v>
      </c>
    </row>
    <row r="6950" customFormat="false" ht="15" hidden="false" customHeight="false" outlineLevel="0" collapsed="false">
      <c r="A6950" s="0" t="n">
        <v>6949</v>
      </c>
      <c r="B6950" s="18" t="n">
        <v>789131.430968248</v>
      </c>
      <c r="C6950" s="18" t="n">
        <v>0</v>
      </c>
      <c r="D6950" s="0" t="n">
        <v>0</v>
      </c>
      <c r="E6950" s="19" t="n">
        <v>39.3333333333333</v>
      </c>
    </row>
    <row r="6951" customFormat="false" ht="15" hidden="false" customHeight="false" outlineLevel="0" collapsed="false">
      <c r="A6951" s="0" t="n">
        <v>6950</v>
      </c>
      <c r="B6951" s="18" t="n">
        <v>2201155.08773012</v>
      </c>
      <c r="C6951" s="18" t="n">
        <v>8710327.26454349</v>
      </c>
      <c r="D6951" s="0" t="n">
        <v>1</v>
      </c>
    </row>
    <row r="6952" customFormat="false" ht="15" hidden="false" customHeight="false" outlineLevel="0" collapsed="false">
      <c r="A6952" s="0" t="n">
        <v>6951</v>
      </c>
      <c r="B6952" s="18" t="n">
        <v>927522.132470818</v>
      </c>
      <c r="C6952" s="18" t="n">
        <v>0</v>
      </c>
      <c r="D6952" s="0" t="n">
        <v>0</v>
      </c>
      <c r="E6952" s="19" t="n">
        <v>38.25</v>
      </c>
    </row>
    <row r="6953" customFormat="false" ht="15" hidden="false" customHeight="false" outlineLevel="0" collapsed="false">
      <c r="A6953" s="0" t="n">
        <v>6952</v>
      </c>
      <c r="B6953" s="18" t="n">
        <v>858294.73988903</v>
      </c>
      <c r="C6953" s="18" t="n">
        <v>0</v>
      </c>
      <c r="D6953" s="0" t="n">
        <v>0</v>
      </c>
      <c r="E6953" s="19" t="n">
        <v>44.6666666666667</v>
      </c>
    </row>
    <row r="6954" customFormat="false" ht="15" hidden="false" customHeight="false" outlineLevel="0" collapsed="false">
      <c r="A6954" s="0" t="n">
        <v>6953</v>
      </c>
      <c r="B6954" s="18" t="n">
        <v>951302.333600821</v>
      </c>
      <c r="C6954" s="18" t="n">
        <v>0</v>
      </c>
      <c r="D6954" s="0" t="n">
        <v>0</v>
      </c>
      <c r="E6954" s="19" t="n">
        <v>40.9166666666667</v>
      </c>
    </row>
    <row r="6955" customFormat="false" ht="15" hidden="false" customHeight="false" outlineLevel="0" collapsed="false">
      <c r="A6955" s="0" t="n">
        <v>6954</v>
      </c>
      <c r="B6955" s="18" t="n">
        <v>738330.279435375</v>
      </c>
      <c r="C6955" s="18" t="n">
        <v>0</v>
      </c>
      <c r="D6955" s="0" t="n">
        <v>0</v>
      </c>
      <c r="E6955" s="19" t="n">
        <v>38.1666666666667</v>
      </c>
    </row>
    <row r="6956" customFormat="false" ht="15" hidden="false" customHeight="false" outlineLevel="0" collapsed="false">
      <c r="A6956" s="0" t="n">
        <v>6955</v>
      </c>
      <c r="B6956" s="18" t="n">
        <v>654071.986057931</v>
      </c>
      <c r="C6956" s="18" t="n">
        <v>0</v>
      </c>
      <c r="D6956" s="0" t="n">
        <v>0</v>
      </c>
      <c r="E6956" s="19" t="n">
        <v>34</v>
      </c>
    </row>
    <row r="6957" customFormat="false" ht="15" hidden="false" customHeight="false" outlineLevel="0" collapsed="false">
      <c r="A6957" s="0" t="n">
        <v>6956</v>
      </c>
      <c r="B6957" s="18" t="n">
        <v>1127229.69980561</v>
      </c>
      <c r="C6957" s="18" t="n">
        <v>1053888.26433448</v>
      </c>
      <c r="D6957" s="0" t="n">
        <v>1</v>
      </c>
    </row>
    <row r="6958" customFormat="false" ht="15" hidden="false" customHeight="false" outlineLevel="0" collapsed="false">
      <c r="A6958" s="0" t="n">
        <v>6957</v>
      </c>
      <c r="B6958" s="18" t="n">
        <v>869089.744019177</v>
      </c>
      <c r="C6958" s="18" t="n">
        <v>0</v>
      </c>
      <c r="D6958" s="0" t="n">
        <v>0</v>
      </c>
      <c r="E6958" s="19" t="n">
        <v>45.1666666666667</v>
      </c>
    </row>
    <row r="6959" customFormat="false" ht="15" hidden="false" customHeight="false" outlineLevel="0" collapsed="false">
      <c r="A6959" s="0" t="n">
        <v>6958</v>
      </c>
      <c r="B6959" s="18" t="n">
        <v>1719579.07375361</v>
      </c>
      <c r="C6959" s="18" t="n">
        <v>0</v>
      </c>
      <c r="D6959" s="0" t="n">
        <v>0</v>
      </c>
      <c r="E6959" s="19" t="n">
        <v>43.9166666666667</v>
      </c>
    </row>
    <row r="6960" customFormat="false" ht="15" hidden="false" customHeight="false" outlineLevel="0" collapsed="false">
      <c r="A6960" s="0" t="n">
        <v>6959</v>
      </c>
      <c r="B6960" s="18" t="n">
        <v>2357420.9915952</v>
      </c>
      <c r="C6960" s="18" t="n">
        <v>10661812.1934392</v>
      </c>
      <c r="D6960" s="0" t="n">
        <v>1</v>
      </c>
    </row>
    <row r="6961" customFormat="false" ht="15" hidden="false" customHeight="false" outlineLevel="0" collapsed="false">
      <c r="A6961" s="0" t="n">
        <v>6960</v>
      </c>
      <c r="B6961" s="18" t="n">
        <v>812683.839937958</v>
      </c>
      <c r="C6961" s="18" t="n">
        <v>108057.781334366</v>
      </c>
      <c r="D6961" s="0" t="n">
        <v>1</v>
      </c>
    </row>
    <row r="6962" customFormat="false" ht="15" hidden="false" customHeight="false" outlineLevel="0" collapsed="false">
      <c r="A6962" s="0" t="n">
        <v>6961</v>
      </c>
      <c r="B6962" s="18" t="n">
        <v>477182.618333423</v>
      </c>
      <c r="C6962" s="18" t="n">
        <v>0</v>
      </c>
      <c r="D6962" s="0" t="n">
        <v>0</v>
      </c>
      <c r="E6962" s="19" t="n">
        <v>34.6666666666667</v>
      </c>
    </row>
    <row r="6963" customFormat="false" ht="15" hidden="false" customHeight="false" outlineLevel="0" collapsed="false">
      <c r="A6963" s="0" t="n">
        <v>6962</v>
      </c>
      <c r="B6963" s="18" t="n">
        <v>638631.457247978</v>
      </c>
      <c r="C6963" s="18" t="n">
        <v>0</v>
      </c>
      <c r="D6963" s="0" t="n">
        <v>0</v>
      </c>
      <c r="E6963" s="19" t="n">
        <v>46</v>
      </c>
    </row>
    <row r="6964" customFormat="false" ht="15" hidden="false" customHeight="false" outlineLevel="0" collapsed="false">
      <c r="A6964" s="0" t="n">
        <v>6963</v>
      </c>
      <c r="B6964" s="18" t="n">
        <v>696295.122581747</v>
      </c>
      <c r="C6964" s="18" t="n">
        <v>0</v>
      </c>
      <c r="D6964" s="0" t="n">
        <v>0</v>
      </c>
      <c r="E6964" s="19" t="n">
        <v>40.25</v>
      </c>
    </row>
    <row r="6965" customFormat="false" ht="15" hidden="false" customHeight="false" outlineLevel="0" collapsed="false">
      <c r="A6965" s="0" t="n">
        <v>6964</v>
      </c>
      <c r="B6965" s="18" t="n">
        <v>1309226.18249184</v>
      </c>
      <c r="C6965" s="18" t="n">
        <v>5582928.10566454</v>
      </c>
      <c r="D6965" s="0" t="n">
        <v>1</v>
      </c>
    </row>
    <row r="6966" customFormat="false" ht="15" hidden="false" customHeight="false" outlineLevel="0" collapsed="false">
      <c r="A6966" s="0" t="n">
        <v>6965</v>
      </c>
      <c r="B6966" s="18" t="n">
        <v>2947942.61711958</v>
      </c>
      <c r="C6966" s="18" t="n">
        <v>14967909.3416179</v>
      </c>
      <c r="D6966" s="0" t="n">
        <v>1</v>
      </c>
    </row>
    <row r="6967" customFormat="false" ht="15" hidden="false" customHeight="false" outlineLevel="0" collapsed="false">
      <c r="A6967" s="0" t="n">
        <v>6966</v>
      </c>
      <c r="B6967" s="18" t="n">
        <v>686920.450759595</v>
      </c>
      <c r="C6967" s="18" t="n">
        <v>1797630.1875463</v>
      </c>
      <c r="D6967" s="0" t="n">
        <v>1</v>
      </c>
    </row>
    <row r="6968" customFormat="false" ht="15" hidden="false" customHeight="false" outlineLevel="0" collapsed="false">
      <c r="A6968" s="0" t="n">
        <v>6967</v>
      </c>
      <c r="B6968" s="18" t="n">
        <v>596038.405518842</v>
      </c>
      <c r="C6968" s="18" t="n">
        <v>0</v>
      </c>
      <c r="D6968" s="0" t="n">
        <v>0</v>
      </c>
      <c r="E6968" s="19" t="n">
        <v>38.8333333333333</v>
      </c>
    </row>
    <row r="6969" customFormat="false" ht="15" hidden="false" customHeight="false" outlineLevel="0" collapsed="false">
      <c r="A6969" s="0" t="n">
        <v>6968</v>
      </c>
      <c r="B6969" s="18" t="n">
        <v>422533.111676005</v>
      </c>
      <c r="C6969" s="18" t="n">
        <v>0</v>
      </c>
      <c r="D6969" s="0" t="n">
        <v>0</v>
      </c>
      <c r="E6969" s="19" t="n">
        <v>34.0833333333333</v>
      </c>
    </row>
    <row r="6970" customFormat="false" ht="15" hidden="false" customHeight="false" outlineLevel="0" collapsed="false">
      <c r="A6970" s="0" t="n">
        <v>6969</v>
      </c>
      <c r="B6970" s="18" t="n">
        <v>1294837.90910405</v>
      </c>
      <c r="C6970" s="18" t="n">
        <v>1172410.8209077</v>
      </c>
      <c r="D6970" s="0" t="n">
        <v>1</v>
      </c>
    </row>
    <row r="6971" customFormat="false" ht="15" hidden="false" customHeight="false" outlineLevel="0" collapsed="false">
      <c r="A6971" s="0" t="n">
        <v>6970</v>
      </c>
      <c r="B6971" s="18" t="n">
        <v>1135381.19471277</v>
      </c>
      <c r="C6971" s="18" t="n">
        <v>0</v>
      </c>
      <c r="D6971" s="0" t="n">
        <v>0</v>
      </c>
      <c r="E6971" s="19" t="n">
        <v>38.4166666666667</v>
      </c>
    </row>
    <row r="6972" customFormat="false" ht="15" hidden="false" customHeight="false" outlineLevel="0" collapsed="false">
      <c r="A6972" s="0" t="n">
        <v>6971</v>
      </c>
      <c r="B6972" s="18" t="n">
        <v>570897.668261345</v>
      </c>
      <c r="C6972" s="18" t="n">
        <v>0</v>
      </c>
      <c r="D6972" s="0" t="n">
        <v>0</v>
      </c>
      <c r="E6972" s="19" t="n">
        <v>33.0833333333333</v>
      </c>
    </row>
    <row r="6973" customFormat="false" ht="15" hidden="false" customHeight="false" outlineLevel="0" collapsed="false">
      <c r="A6973" s="0" t="n">
        <v>6972</v>
      </c>
      <c r="B6973" s="18" t="n">
        <v>1571136.4651113</v>
      </c>
      <c r="C6973" s="18" t="n">
        <v>478501.902108017</v>
      </c>
      <c r="D6973" s="0" t="n">
        <v>1</v>
      </c>
    </row>
    <row r="6974" customFormat="false" ht="15" hidden="false" customHeight="false" outlineLevel="0" collapsed="false">
      <c r="A6974" s="0" t="n">
        <v>6973</v>
      </c>
      <c r="B6974" s="18" t="n">
        <v>2029734.55635659</v>
      </c>
      <c r="C6974" s="18" t="n">
        <v>2800430.54797406</v>
      </c>
      <c r="D6974" s="0" t="n">
        <v>1</v>
      </c>
    </row>
    <row r="6975" customFormat="false" ht="15" hidden="false" customHeight="false" outlineLevel="0" collapsed="false">
      <c r="A6975" s="0" t="n">
        <v>6974</v>
      </c>
      <c r="B6975" s="18" t="n">
        <v>696481.871810583</v>
      </c>
      <c r="C6975" s="18" t="n">
        <v>0</v>
      </c>
      <c r="D6975" s="0" t="n">
        <v>0</v>
      </c>
      <c r="E6975" s="19" t="n">
        <v>47.5</v>
      </c>
    </row>
    <row r="6976" customFormat="false" ht="15" hidden="false" customHeight="false" outlineLevel="0" collapsed="false">
      <c r="A6976" s="0" t="n">
        <v>6975</v>
      </c>
      <c r="B6976" s="18" t="n">
        <v>598484.142970718</v>
      </c>
      <c r="C6976" s="18" t="n">
        <v>0</v>
      </c>
      <c r="D6976" s="0" t="n">
        <v>0</v>
      </c>
      <c r="E6976" s="19" t="n">
        <v>47.25</v>
      </c>
    </row>
    <row r="6977" customFormat="false" ht="15" hidden="false" customHeight="false" outlineLevel="0" collapsed="false">
      <c r="A6977" s="0" t="n">
        <v>6976</v>
      </c>
      <c r="B6977" s="18" t="n">
        <v>2444790.41632115</v>
      </c>
      <c r="C6977" s="18" t="n">
        <v>20969244.3641911</v>
      </c>
      <c r="D6977" s="0" t="n">
        <v>1</v>
      </c>
    </row>
    <row r="6978" customFormat="false" ht="15" hidden="false" customHeight="false" outlineLevel="0" collapsed="false">
      <c r="A6978" s="0" t="n">
        <v>6977</v>
      </c>
      <c r="B6978" s="18" t="n">
        <v>836062.114207376</v>
      </c>
      <c r="C6978" s="18" t="n">
        <v>0</v>
      </c>
      <c r="D6978" s="0" t="n">
        <v>0</v>
      </c>
      <c r="E6978" s="19" t="n">
        <v>44.0833333333333</v>
      </c>
    </row>
    <row r="6979" customFormat="false" ht="15" hidden="false" customHeight="false" outlineLevel="0" collapsed="false">
      <c r="A6979" s="0" t="n">
        <v>6978</v>
      </c>
      <c r="B6979" s="18" t="n">
        <v>758785.439164907</v>
      </c>
      <c r="C6979" s="18" t="n">
        <v>0</v>
      </c>
      <c r="D6979" s="0" t="n">
        <v>0</v>
      </c>
      <c r="E6979" s="19" t="n">
        <v>48</v>
      </c>
    </row>
    <row r="6980" customFormat="false" ht="15" hidden="false" customHeight="false" outlineLevel="0" collapsed="false">
      <c r="A6980" s="0" t="n">
        <v>6979</v>
      </c>
      <c r="B6980" s="18" t="n">
        <v>1427621.02210895</v>
      </c>
      <c r="C6980" s="18" t="n">
        <v>18771778.4567288</v>
      </c>
      <c r="D6980" s="0" t="n">
        <v>1</v>
      </c>
    </row>
    <row r="6981" customFormat="false" ht="15" hidden="false" customHeight="false" outlineLevel="0" collapsed="false">
      <c r="A6981" s="0" t="n">
        <v>6980</v>
      </c>
      <c r="B6981" s="18" t="n">
        <v>766115.261520256</v>
      </c>
      <c r="C6981" s="18" t="n">
        <v>0</v>
      </c>
      <c r="D6981" s="0" t="n">
        <v>0</v>
      </c>
      <c r="E6981" s="19" t="n">
        <v>43.8333333333333</v>
      </c>
    </row>
    <row r="6982" customFormat="false" ht="15" hidden="false" customHeight="false" outlineLevel="0" collapsed="false">
      <c r="A6982" s="0" t="n">
        <v>6981</v>
      </c>
      <c r="B6982" s="18" t="n">
        <v>1568923.30442618</v>
      </c>
      <c r="C6982" s="18" t="n">
        <v>6507450.99227841</v>
      </c>
      <c r="D6982" s="0" t="n">
        <v>1</v>
      </c>
    </row>
    <row r="6983" customFormat="false" ht="15" hidden="false" customHeight="false" outlineLevel="0" collapsed="false">
      <c r="A6983" s="0" t="n">
        <v>6982</v>
      </c>
      <c r="B6983" s="18" t="n">
        <v>1120627.30899383</v>
      </c>
      <c r="C6983" s="18" t="n">
        <v>0</v>
      </c>
      <c r="D6983" s="0" t="n">
        <v>0</v>
      </c>
      <c r="E6983" s="19" t="n">
        <v>42.75</v>
      </c>
    </row>
    <row r="6984" customFormat="false" ht="15" hidden="false" customHeight="false" outlineLevel="0" collapsed="false">
      <c r="A6984" s="0" t="n">
        <v>6983</v>
      </c>
      <c r="B6984" s="18" t="n">
        <v>1601286.58549077</v>
      </c>
      <c r="C6984" s="18" t="n">
        <v>1964500.06190714</v>
      </c>
      <c r="D6984" s="0" t="n">
        <v>1</v>
      </c>
    </row>
    <row r="6985" customFormat="false" ht="15" hidden="false" customHeight="false" outlineLevel="0" collapsed="false">
      <c r="A6985" s="0" t="n">
        <v>6984</v>
      </c>
      <c r="B6985" s="18" t="n">
        <v>1131959.08731837</v>
      </c>
      <c r="C6985" s="18" t="n">
        <v>0</v>
      </c>
      <c r="D6985" s="0" t="n">
        <v>0</v>
      </c>
      <c r="E6985" s="19" t="n">
        <v>39.8333333333333</v>
      </c>
    </row>
    <row r="6986" customFormat="false" ht="15" hidden="false" customHeight="false" outlineLevel="0" collapsed="false">
      <c r="A6986" s="0" t="n">
        <v>6985</v>
      </c>
      <c r="B6986" s="18" t="n">
        <v>1074203.67410101</v>
      </c>
      <c r="C6986" s="18" t="n">
        <v>5323202.62953898</v>
      </c>
      <c r="D6986" s="0" t="n">
        <v>1</v>
      </c>
    </row>
    <row r="6987" customFormat="false" ht="15" hidden="false" customHeight="false" outlineLevel="0" collapsed="false">
      <c r="A6987" s="0" t="n">
        <v>6986</v>
      </c>
      <c r="B6987" s="18" t="n">
        <v>866098.051039012</v>
      </c>
      <c r="C6987" s="18" t="n">
        <v>0</v>
      </c>
      <c r="D6987" s="0" t="n">
        <v>0</v>
      </c>
      <c r="E6987" s="19" t="n">
        <v>40.3333333333333</v>
      </c>
    </row>
    <row r="6988" customFormat="false" ht="15" hidden="false" customHeight="false" outlineLevel="0" collapsed="false">
      <c r="A6988" s="0" t="n">
        <v>6987</v>
      </c>
      <c r="B6988" s="18" t="n">
        <v>1661549.4073873</v>
      </c>
      <c r="C6988" s="18" t="n">
        <v>25562761.9062849</v>
      </c>
      <c r="D6988" s="0" t="n">
        <v>1</v>
      </c>
    </row>
    <row r="6989" customFormat="false" ht="15" hidden="false" customHeight="false" outlineLevel="0" collapsed="false">
      <c r="A6989" s="0" t="n">
        <v>6988</v>
      </c>
      <c r="B6989" s="18" t="n">
        <v>880920.227098525</v>
      </c>
      <c r="C6989" s="18" t="n">
        <v>0</v>
      </c>
      <c r="D6989" s="0" t="n">
        <v>0</v>
      </c>
      <c r="E6989" s="19" t="n">
        <v>52.6666666666667</v>
      </c>
    </row>
    <row r="6990" customFormat="false" ht="15" hidden="false" customHeight="false" outlineLevel="0" collapsed="false">
      <c r="A6990" s="0" t="n">
        <v>6989</v>
      </c>
      <c r="B6990" s="18" t="n">
        <v>1949255.36170567</v>
      </c>
      <c r="C6990" s="18" t="n">
        <v>12987053.3528291</v>
      </c>
      <c r="D6990" s="0" t="n">
        <v>1</v>
      </c>
    </row>
    <row r="6991" customFormat="false" ht="15" hidden="false" customHeight="false" outlineLevel="0" collapsed="false">
      <c r="A6991" s="0" t="n">
        <v>6990</v>
      </c>
      <c r="B6991" s="18" t="n">
        <v>2292953.48194662</v>
      </c>
      <c r="C6991" s="18" t="n">
        <v>13629676.0034339</v>
      </c>
      <c r="D6991" s="0" t="n">
        <v>1</v>
      </c>
    </row>
    <row r="6992" customFormat="false" ht="15" hidden="false" customHeight="false" outlineLevel="0" collapsed="false">
      <c r="A6992" s="0" t="n">
        <v>6991</v>
      </c>
      <c r="B6992" s="18" t="n">
        <v>2234987.0746398</v>
      </c>
      <c r="C6992" s="18" t="n">
        <v>49958790.6489718</v>
      </c>
      <c r="D6992" s="0" t="n">
        <v>1</v>
      </c>
    </row>
    <row r="6993" customFormat="false" ht="15" hidden="false" customHeight="false" outlineLevel="0" collapsed="false">
      <c r="A6993" s="0" t="n">
        <v>6992</v>
      </c>
      <c r="B6993" s="18" t="n">
        <v>489541.845959565</v>
      </c>
      <c r="C6993" s="18" t="n">
        <v>0</v>
      </c>
      <c r="D6993" s="0" t="n">
        <v>0</v>
      </c>
      <c r="E6993" s="19" t="n">
        <v>37.0833333333333</v>
      </c>
    </row>
    <row r="6994" customFormat="false" ht="15" hidden="false" customHeight="false" outlineLevel="0" collapsed="false">
      <c r="A6994" s="0" t="n">
        <v>6993</v>
      </c>
      <c r="B6994" s="18" t="n">
        <v>910424.58776334</v>
      </c>
      <c r="C6994" s="18" t="n">
        <v>0</v>
      </c>
      <c r="D6994" s="0" t="n">
        <v>0</v>
      </c>
      <c r="E6994" s="19" t="n">
        <v>53.3333333333333</v>
      </c>
    </row>
    <row r="6995" customFormat="false" ht="15" hidden="false" customHeight="false" outlineLevel="0" collapsed="false">
      <c r="A6995" s="0" t="n">
        <v>6994</v>
      </c>
      <c r="B6995" s="18" t="n">
        <v>1082275.46982063</v>
      </c>
      <c r="C6995" s="18" t="n">
        <v>0</v>
      </c>
      <c r="D6995" s="0" t="n">
        <v>0</v>
      </c>
      <c r="E6995" s="19" t="n">
        <v>43.4166666666667</v>
      </c>
    </row>
    <row r="6996" customFormat="false" ht="15" hidden="false" customHeight="false" outlineLevel="0" collapsed="false">
      <c r="A6996" s="0" t="n">
        <v>6995</v>
      </c>
      <c r="B6996" s="18" t="n">
        <v>803580.519062033</v>
      </c>
      <c r="C6996" s="18" t="n">
        <v>0</v>
      </c>
      <c r="D6996" s="0" t="n">
        <v>0</v>
      </c>
      <c r="E6996" s="19" t="n">
        <v>34.0833333333333</v>
      </c>
    </row>
    <row r="6997" customFormat="false" ht="15" hidden="false" customHeight="false" outlineLevel="0" collapsed="false">
      <c r="A6997" s="0" t="n">
        <v>6996</v>
      </c>
      <c r="B6997" s="18" t="n">
        <v>904972.450080713</v>
      </c>
      <c r="C6997" s="18" t="n">
        <v>0</v>
      </c>
      <c r="D6997" s="0" t="n">
        <v>0</v>
      </c>
      <c r="E6997" s="19" t="n">
        <v>38.1666666666667</v>
      </c>
    </row>
    <row r="6998" customFormat="false" ht="15" hidden="false" customHeight="false" outlineLevel="0" collapsed="false">
      <c r="A6998" s="0" t="n">
        <v>6997</v>
      </c>
      <c r="B6998" s="18" t="n">
        <v>1500875.23789925</v>
      </c>
      <c r="C6998" s="18" t="n">
        <v>0</v>
      </c>
      <c r="D6998" s="0" t="n">
        <v>0</v>
      </c>
      <c r="E6998" s="19" t="n">
        <v>53.1666666666667</v>
      </c>
    </row>
    <row r="6999" customFormat="false" ht="15" hidden="false" customHeight="false" outlineLevel="0" collapsed="false">
      <c r="A6999" s="0" t="n">
        <v>6998</v>
      </c>
      <c r="B6999" s="18" t="n">
        <v>929460.269868901</v>
      </c>
      <c r="C6999" s="18" t="n">
        <v>805032.118143188</v>
      </c>
      <c r="D6999" s="0" t="n">
        <v>1</v>
      </c>
    </row>
    <row r="7000" customFormat="false" ht="15" hidden="false" customHeight="false" outlineLevel="0" collapsed="false">
      <c r="A7000" s="0" t="n">
        <v>6999</v>
      </c>
      <c r="B7000" s="18" t="n">
        <v>2272668.9350773</v>
      </c>
      <c r="C7000" s="18" t="n">
        <v>3514880.27956113</v>
      </c>
      <c r="D7000" s="0" t="n">
        <v>1</v>
      </c>
    </row>
    <row r="7001" customFormat="false" ht="15" hidden="false" customHeight="false" outlineLevel="0" collapsed="false">
      <c r="A7001" s="0" t="n">
        <v>7000</v>
      </c>
      <c r="B7001" s="18" t="n">
        <v>551269.569786796</v>
      </c>
      <c r="C7001" s="18" t="n">
        <v>0</v>
      </c>
      <c r="D7001" s="0" t="n">
        <v>0</v>
      </c>
      <c r="E7001" s="19" t="n">
        <v>31.25</v>
      </c>
    </row>
    <row r="7002" customFormat="false" ht="15" hidden="false" customHeight="false" outlineLevel="0" collapsed="false">
      <c r="A7002" s="0" t="n">
        <v>7001</v>
      </c>
      <c r="B7002" s="18" t="n">
        <v>1044910.38972733</v>
      </c>
      <c r="C7002" s="18" t="n">
        <v>0</v>
      </c>
      <c r="D7002" s="0" t="n">
        <v>0</v>
      </c>
      <c r="E7002" s="19" t="n">
        <v>45.8333333333333</v>
      </c>
    </row>
    <row r="7003" customFormat="false" ht="15" hidden="false" customHeight="false" outlineLevel="0" collapsed="false">
      <c r="A7003" s="0" t="n">
        <v>7002</v>
      </c>
      <c r="B7003" s="18" t="n">
        <v>568667.189948852</v>
      </c>
      <c r="C7003" s="18" t="n">
        <v>0</v>
      </c>
      <c r="D7003" s="0" t="n">
        <v>0</v>
      </c>
      <c r="E7003" s="19" t="n">
        <v>33.75</v>
      </c>
    </row>
    <row r="7004" customFormat="false" ht="15" hidden="false" customHeight="false" outlineLevel="0" collapsed="false">
      <c r="A7004" s="0" t="n">
        <v>7003</v>
      </c>
      <c r="B7004" s="18" t="n">
        <v>661739.686157431</v>
      </c>
      <c r="C7004" s="18" t="n">
        <v>271106.466560527</v>
      </c>
      <c r="D7004" s="0" t="n">
        <v>1</v>
      </c>
    </row>
    <row r="7005" customFormat="false" ht="15" hidden="false" customHeight="false" outlineLevel="0" collapsed="false">
      <c r="A7005" s="0" t="n">
        <v>7004</v>
      </c>
      <c r="B7005" s="18" t="n">
        <v>1129518.51467348</v>
      </c>
      <c r="C7005" s="18" t="n">
        <v>0</v>
      </c>
      <c r="D7005" s="0" t="n">
        <v>0</v>
      </c>
      <c r="E7005" s="19" t="n">
        <v>44.5833333333333</v>
      </c>
    </row>
    <row r="7006" customFormat="false" ht="15" hidden="false" customHeight="false" outlineLevel="0" collapsed="false">
      <c r="A7006" s="0" t="n">
        <v>7005</v>
      </c>
      <c r="B7006" s="18" t="n">
        <v>1223241.53436749</v>
      </c>
      <c r="C7006" s="18" t="n">
        <v>0</v>
      </c>
      <c r="D7006" s="0" t="n">
        <v>0</v>
      </c>
      <c r="E7006" s="19" t="n">
        <v>48.75</v>
      </c>
    </row>
    <row r="7007" customFormat="false" ht="15" hidden="false" customHeight="false" outlineLevel="0" collapsed="false">
      <c r="A7007" s="0" t="n">
        <v>7006</v>
      </c>
      <c r="B7007" s="18" t="n">
        <v>455594.919231172</v>
      </c>
      <c r="C7007" s="18" t="n">
        <v>0</v>
      </c>
      <c r="D7007" s="0" t="n">
        <v>0</v>
      </c>
      <c r="E7007" s="19" t="n">
        <v>33</v>
      </c>
    </row>
    <row r="7008" customFormat="false" ht="15" hidden="false" customHeight="false" outlineLevel="0" collapsed="false">
      <c r="A7008" s="0" t="n">
        <v>7007</v>
      </c>
      <c r="B7008" s="18" t="n">
        <v>801463.984113641</v>
      </c>
      <c r="C7008" s="18" t="n">
        <v>0</v>
      </c>
      <c r="D7008" s="0" t="n">
        <v>0</v>
      </c>
      <c r="E7008" s="19" t="n">
        <v>38.8333333333333</v>
      </c>
    </row>
    <row r="7009" customFormat="false" ht="15" hidden="false" customHeight="false" outlineLevel="0" collapsed="false">
      <c r="A7009" s="0" t="n">
        <v>7008</v>
      </c>
      <c r="B7009" s="18" t="n">
        <v>1336938.65391981</v>
      </c>
      <c r="C7009" s="18" t="n">
        <v>0</v>
      </c>
      <c r="D7009" s="0" t="n">
        <v>0</v>
      </c>
      <c r="E7009" s="19" t="n">
        <v>48</v>
      </c>
    </row>
    <row r="7010" customFormat="false" ht="15" hidden="false" customHeight="false" outlineLevel="0" collapsed="false">
      <c r="A7010" s="0" t="n">
        <v>7009</v>
      </c>
      <c r="B7010" s="18" t="n">
        <v>2329456.39864531</v>
      </c>
      <c r="C7010" s="18" t="n">
        <v>1608218.68771121</v>
      </c>
      <c r="D7010" s="0" t="n">
        <v>1</v>
      </c>
    </row>
    <row r="7011" customFormat="false" ht="15" hidden="false" customHeight="false" outlineLevel="0" collapsed="false">
      <c r="A7011" s="0" t="n">
        <v>7010</v>
      </c>
      <c r="B7011" s="18" t="n">
        <v>820471.140692403</v>
      </c>
      <c r="C7011" s="18" t="n">
        <v>0</v>
      </c>
      <c r="D7011" s="0" t="n">
        <v>0</v>
      </c>
      <c r="E7011" s="19" t="n">
        <v>35.0833333333333</v>
      </c>
    </row>
    <row r="7012" customFormat="false" ht="15" hidden="false" customHeight="false" outlineLevel="0" collapsed="false">
      <c r="A7012" s="0" t="n">
        <v>7011</v>
      </c>
      <c r="B7012" s="18" t="n">
        <v>821401.893016064</v>
      </c>
      <c r="C7012" s="18" t="n">
        <v>0</v>
      </c>
      <c r="D7012" s="0" t="n">
        <v>0</v>
      </c>
      <c r="E7012" s="19" t="n">
        <v>46.9166666666667</v>
      </c>
    </row>
    <row r="7013" customFormat="false" ht="15" hidden="false" customHeight="false" outlineLevel="0" collapsed="false">
      <c r="A7013" s="0" t="n">
        <v>7012</v>
      </c>
      <c r="B7013" s="18" t="n">
        <v>1116208.79859072</v>
      </c>
      <c r="C7013" s="18" t="n">
        <v>623996.954817785</v>
      </c>
      <c r="D7013" s="0" t="n">
        <v>1</v>
      </c>
    </row>
    <row r="7014" customFormat="false" ht="15" hidden="false" customHeight="false" outlineLevel="0" collapsed="false">
      <c r="A7014" s="0" t="n">
        <v>7013</v>
      </c>
      <c r="B7014" s="18" t="n">
        <v>410134.717788019</v>
      </c>
      <c r="C7014" s="18" t="n">
        <v>0</v>
      </c>
      <c r="D7014" s="0" t="n">
        <v>0</v>
      </c>
      <c r="E7014" s="19" t="n">
        <v>35.75</v>
      </c>
    </row>
    <row r="7015" customFormat="false" ht="15" hidden="false" customHeight="false" outlineLevel="0" collapsed="false">
      <c r="A7015" s="0" t="n">
        <v>7014</v>
      </c>
      <c r="B7015" s="18" t="n">
        <v>1045386.99312309</v>
      </c>
      <c r="C7015" s="18" t="n">
        <v>0</v>
      </c>
      <c r="D7015" s="0" t="n">
        <v>0</v>
      </c>
      <c r="E7015" s="19" t="n">
        <v>49.75</v>
      </c>
    </row>
    <row r="7016" customFormat="false" ht="15" hidden="false" customHeight="false" outlineLevel="0" collapsed="false">
      <c r="A7016" s="0" t="n">
        <v>7015</v>
      </c>
      <c r="B7016" s="18" t="n">
        <v>453413.162610253</v>
      </c>
      <c r="C7016" s="18" t="n">
        <v>0</v>
      </c>
      <c r="D7016" s="0" t="n">
        <v>0</v>
      </c>
      <c r="E7016" s="19" t="n">
        <v>32.4166666666667</v>
      </c>
    </row>
    <row r="7017" customFormat="false" ht="15" hidden="false" customHeight="false" outlineLevel="0" collapsed="false">
      <c r="A7017" s="0" t="n">
        <v>7016</v>
      </c>
      <c r="B7017" s="18" t="n">
        <v>416398.550073747</v>
      </c>
      <c r="C7017" s="18" t="n">
        <v>0</v>
      </c>
      <c r="D7017" s="0" t="n">
        <v>0</v>
      </c>
      <c r="E7017" s="19" t="n">
        <v>31.8333333333333</v>
      </c>
    </row>
    <row r="7018" customFormat="false" ht="15" hidden="false" customHeight="false" outlineLevel="0" collapsed="false">
      <c r="A7018" s="0" t="n">
        <v>7017</v>
      </c>
      <c r="B7018" s="18" t="n">
        <v>1239684.10252942</v>
      </c>
      <c r="C7018" s="18" t="n">
        <v>0</v>
      </c>
      <c r="D7018" s="0" t="n">
        <v>0</v>
      </c>
      <c r="E7018" s="19" t="n">
        <v>37.3333333333333</v>
      </c>
    </row>
    <row r="7019" customFormat="false" ht="15" hidden="false" customHeight="false" outlineLevel="0" collapsed="false">
      <c r="A7019" s="0" t="n">
        <v>7018</v>
      </c>
      <c r="B7019" s="18" t="n">
        <v>1115210.42116936</v>
      </c>
      <c r="C7019" s="18" t="n">
        <v>0</v>
      </c>
      <c r="D7019" s="0" t="n">
        <v>0</v>
      </c>
      <c r="E7019" s="19" t="n">
        <v>39.8333333333333</v>
      </c>
    </row>
    <row r="7020" customFormat="false" ht="15" hidden="false" customHeight="false" outlineLevel="0" collapsed="false">
      <c r="A7020" s="0" t="n">
        <v>7019</v>
      </c>
      <c r="B7020" s="18" t="n">
        <v>1002981.16199677</v>
      </c>
      <c r="C7020" s="18" t="n">
        <v>1794018.20812558</v>
      </c>
      <c r="D7020" s="0" t="n">
        <v>1</v>
      </c>
    </row>
    <row r="7021" customFormat="false" ht="15" hidden="false" customHeight="false" outlineLevel="0" collapsed="false">
      <c r="A7021" s="0" t="n">
        <v>7020</v>
      </c>
      <c r="B7021" s="18" t="n">
        <v>1365164.17017851</v>
      </c>
      <c r="C7021" s="18" t="n">
        <v>1918162.14549</v>
      </c>
      <c r="D7021" s="0" t="n">
        <v>1</v>
      </c>
    </row>
    <row r="7022" customFormat="false" ht="15" hidden="false" customHeight="false" outlineLevel="0" collapsed="false">
      <c r="A7022" s="0" t="n">
        <v>7021</v>
      </c>
      <c r="B7022" s="18" t="n">
        <v>765195.398163811</v>
      </c>
      <c r="C7022" s="18" t="n">
        <v>0</v>
      </c>
      <c r="D7022" s="0" t="n">
        <v>0</v>
      </c>
      <c r="E7022" s="19" t="n">
        <v>47.0833333333333</v>
      </c>
    </row>
    <row r="7023" customFormat="false" ht="15" hidden="false" customHeight="false" outlineLevel="0" collapsed="false">
      <c r="A7023" s="0" t="n">
        <v>7022</v>
      </c>
      <c r="B7023" s="18" t="n">
        <v>1152218.92640141</v>
      </c>
      <c r="C7023" s="18" t="n">
        <v>0</v>
      </c>
      <c r="D7023" s="0" t="n">
        <v>0</v>
      </c>
      <c r="E7023" s="19" t="n">
        <v>54.6666666666667</v>
      </c>
    </row>
    <row r="7024" customFormat="false" ht="15" hidden="false" customHeight="false" outlineLevel="0" collapsed="false">
      <c r="A7024" s="0" t="n">
        <v>7023</v>
      </c>
      <c r="B7024" s="18" t="n">
        <v>1089059.9013242</v>
      </c>
      <c r="C7024" s="18" t="n">
        <v>0</v>
      </c>
      <c r="D7024" s="0" t="n">
        <v>0</v>
      </c>
      <c r="E7024" s="19" t="n">
        <v>43.75</v>
      </c>
    </row>
    <row r="7025" customFormat="false" ht="15" hidden="false" customHeight="false" outlineLevel="0" collapsed="false">
      <c r="A7025" s="0" t="n">
        <v>7024</v>
      </c>
      <c r="B7025" s="18" t="n">
        <v>1088282.6979351</v>
      </c>
      <c r="C7025" s="18" t="n">
        <v>0</v>
      </c>
      <c r="D7025" s="0" t="n">
        <v>0</v>
      </c>
      <c r="E7025" s="19" t="n">
        <v>48.9166666666667</v>
      </c>
    </row>
    <row r="7026" customFormat="false" ht="15" hidden="false" customHeight="false" outlineLevel="0" collapsed="false">
      <c r="A7026" s="0" t="n">
        <v>7025</v>
      </c>
      <c r="B7026" s="18" t="n">
        <v>1049497.41275713</v>
      </c>
      <c r="C7026" s="18" t="n">
        <v>0</v>
      </c>
      <c r="D7026" s="0" t="n">
        <v>0</v>
      </c>
      <c r="E7026" s="19" t="n">
        <v>45.9166666666667</v>
      </c>
    </row>
    <row r="7027" customFormat="false" ht="15" hidden="false" customHeight="false" outlineLevel="0" collapsed="false">
      <c r="A7027" s="0" t="n">
        <v>7026</v>
      </c>
      <c r="B7027" s="18" t="n">
        <v>525138.08612188</v>
      </c>
      <c r="C7027" s="18" t="n">
        <v>0</v>
      </c>
      <c r="D7027" s="0" t="n">
        <v>0</v>
      </c>
      <c r="E7027" s="19" t="n">
        <v>37.1666666666667</v>
      </c>
    </row>
    <row r="7028" customFormat="false" ht="15" hidden="false" customHeight="false" outlineLevel="0" collapsed="false">
      <c r="A7028" s="0" t="n">
        <v>7027</v>
      </c>
      <c r="B7028" s="18" t="n">
        <v>2310009.2614977</v>
      </c>
      <c r="C7028" s="18" t="n">
        <v>802672.310510338</v>
      </c>
      <c r="D7028" s="0" t="n">
        <v>1</v>
      </c>
    </row>
    <row r="7029" customFormat="false" ht="15" hidden="false" customHeight="false" outlineLevel="0" collapsed="false">
      <c r="A7029" s="0" t="n">
        <v>7028</v>
      </c>
      <c r="B7029" s="18" t="n">
        <v>1388055.23118168</v>
      </c>
      <c r="C7029" s="18" t="n">
        <v>0</v>
      </c>
      <c r="D7029" s="0" t="n">
        <v>0</v>
      </c>
      <c r="E7029" s="19" t="n">
        <v>51.75</v>
      </c>
    </row>
    <row r="7030" customFormat="false" ht="15" hidden="false" customHeight="false" outlineLevel="0" collapsed="false">
      <c r="A7030" s="0" t="n">
        <v>7029</v>
      </c>
      <c r="B7030" s="18" t="n">
        <v>697940.330047535</v>
      </c>
      <c r="C7030" s="18" t="n">
        <v>0</v>
      </c>
      <c r="D7030" s="0" t="n">
        <v>0</v>
      </c>
      <c r="E7030" s="19" t="n">
        <v>33.5833333333333</v>
      </c>
    </row>
    <row r="7031" customFormat="false" ht="15" hidden="false" customHeight="false" outlineLevel="0" collapsed="false">
      <c r="A7031" s="0" t="n">
        <v>7030</v>
      </c>
      <c r="B7031" s="18" t="n">
        <v>835964.689707695</v>
      </c>
      <c r="C7031" s="18" t="n">
        <v>0</v>
      </c>
      <c r="D7031" s="0" t="n">
        <v>0</v>
      </c>
      <c r="E7031" s="19" t="n">
        <v>38.75</v>
      </c>
    </row>
    <row r="7032" customFormat="false" ht="15" hidden="false" customHeight="false" outlineLevel="0" collapsed="false">
      <c r="A7032" s="0" t="n">
        <v>7031</v>
      </c>
      <c r="B7032" s="18" t="n">
        <v>1060160.95748068</v>
      </c>
      <c r="C7032" s="18" t="n">
        <v>0</v>
      </c>
      <c r="D7032" s="0" t="n">
        <v>0</v>
      </c>
      <c r="E7032" s="19" t="n">
        <v>43.25</v>
      </c>
    </row>
    <row r="7033" customFormat="false" ht="15" hidden="false" customHeight="false" outlineLevel="0" collapsed="false">
      <c r="A7033" s="0" t="n">
        <v>7032</v>
      </c>
      <c r="B7033" s="18" t="n">
        <v>907583.032786765</v>
      </c>
      <c r="C7033" s="18" t="n">
        <v>0</v>
      </c>
      <c r="D7033" s="0" t="n">
        <v>0</v>
      </c>
      <c r="E7033" s="19" t="n">
        <v>46.3333333333333</v>
      </c>
    </row>
    <row r="7034" customFormat="false" ht="15" hidden="false" customHeight="false" outlineLevel="0" collapsed="false">
      <c r="A7034" s="0" t="n">
        <v>7033</v>
      </c>
      <c r="B7034" s="18" t="n">
        <v>975864.599788122</v>
      </c>
      <c r="C7034" s="18" t="n">
        <v>8447458.19113652</v>
      </c>
      <c r="D7034" s="0" t="n">
        <v>1</v>
      </c>
    </row>
    <row r="7035" customFormat="false" ht="15" hidden="false" customHeight="false" outlineLevel="0" collapsed="false">
      <c r="A7035" s="0" t="n">
        <v>7034</v>
      </c>
      <c r="B7035" s="18" t="n">
        <v>435827.234573339</v>
      </c>
      <c r="C7035" s="18" t="n">
        <v>0</v>
      </c>
      <c r="D7035" s="0" t="n">
        <v>0</v>
      </c>
      <c r="E7035" s="19" t="n">
        <v>34</v>
      </c>
    </row>
    <row r="7036" customFormat="false" ht="15" hidden="false" customHeight="false" outlineLevel="0" collapsed="false">
      <c r="A7036" s="0" t="n">
        <v>7035</v>
      </c>
      <c r="B7036" s="18" t="n">
        <v>388856.917295346</v>
      </c>
      <c r="C7036" s="18" t="n">
        <v>0</v>
      </c>
      <c r="D7036" s="0" t="n">
        <v>0</v>
      </c>
      <c r="E7036" s="19" t="n">
        <v>34.0833333333333</v>
      </c>
    </row>
    <row r="7037" customFormat="false" ht="15" hidden="false" customHeight="false" outlineLevel="0" collapsed="false">
      <c r="A7037" s="0" t="n">
        <v>7036</v>
      </c>
      <c r="B7037" s="18" t="n">
        <v>1581457.08125663</v>
      </c>
      <c r="C7037" s="18" t="n">
        <v>7437263.39004449</v>
      </c>
      <c r="D7037" s="0" t="n">
        <v>1</v>
      </c>
    </row>
    <row r="7038" customFormat="false" ht="15" hidden="false" customHeight="false" outlineLevel="0" collapsed="false">
      <c r="A7038" s="0" t="n">
        <v>7037</v>
      </c>
      <c r="B7038" s="18" t="n">
        <v>1228615.32184091</v>
      </c>
      <c r="C7038" s="18" t="n">
        <v>0</v>
      </c>
      <c r="D7038" s="0" t="n">
        <v>0</v>
      </c>
      <c r="E7038" s="19" t="n">
        <v>49.3333333333333</v>
      </c>
    </row>
    <row r="7039" customFormat="false" ht="15" hidden="false" customHeight="false" outlineLevel="0" collapsed="false">
      <c r="A7039" s="0" t="n">
        <v>7038</v>
      </c>
      <c r="B7039" s="18" t="n">
        <v>882330.436759061</v>
      </c>
      <c r="C7039" s="18" t="n">
        <v>3568885.45642175</v>
      </c>
      <c r="D7039" s="0" t="n">
        <v>1</v>
      </c>
    </row>
    <row r="7040" customFormat="false" ht="15" hidden="false" customHeight="false" outlineLevel="0" collapsed="false">
      <c r="A7040" s="0" t="n">
        <v>7039</v>
      </c>
      <c r="B7040" s="18" t="n">
        <v>1325440.77883994</v>
      </c>
      <c r="C7040" s="18" t="n">
        <v>0</v>
      </c>
      <c r="D7040" s="0" t="n">
        <v>0</v>
      </c>
      <c r="E7040" s="19" t="n">
        <v>54.8333333333333</v>
      </c>
    </row>
    <row r="7041" customFormat="false" ht="15" hidden="false" customHeight="false" outlineLevel="0" collapsed="false">
      <c r="A7041" s="0" t="n">
        <v>7040</v>
      </c>
      <c r="B7041" s="18" t="n">
        <v>827331.290061557</v>
      </c>
      <c r="C7041" s="18" t="n">
        <v>0</v>
      </c>
      <c r="D7041" s="0" t="n">
        <v>0</v>
      </c>
      <c r="E7041" s="19" t="n">
        <v>40</v>
      </c>
    </row>
    <row r="7042" customFormat="false" ht="15" hidden="false" customHeight="false" outlineLevel="0" collapsed="false">
      <c r="A7042" s="0" t="n">
        <v>7041</v>
      </c>
      <c r="B7042" s="18" t="n">
        <v>872809.272849193</v>
      </c>
      <c r="C7042" s="18" t="n">
        <v>1797007.64189086</v>
      </c>
      <c r="D7042" s="0" t="n">
        <v>1</v>
      </c>
    </row>
    <row r="7043" customFormat="false" ht="15" hidden="false" customHeight="false" outlineLevel="0" collapsed="false">
      <c r="A7043" s="0" t="n">
        <v>7042</v>
      </c>
      <c r="B7043" s="18" t="n">
        <v>700555.787460868</v>
      </c>
      <c r="C7043" s="18" t="n">
        <v>0</v>
      </c>
      <c r="D7043" s="0" t="n">
        <v>0</v>
      </c>
      <c r="E7043" s="19" t="n">
        <v>43.5</v>
      </c>
    </row>
    <row r="7044" customFormat="false" ht="15" hidden="false" customHeight="false" outlineLevel="0" collapsed="false">
      <c r="A7044" s="0" t="n">
        <v>7043</v>
      </c>
      <c r="B7044" s="18" t="n">
        <v>742751.585347647</v>
      </c>
      <c r="C7044" s="18" t="n">
        <v>0</v>
      </c>
      <c r="D7044" s="0" t="n">
        <v>0</v>
      </c>
      <c r="E7044" s="19" t="n">
        <v>36.5</v>
      </c>
    </row>
    <row r="7045" customFormat="false" ht="15" hidden="false" customHeight="false" outlineLevel="0" collapsed="false">
      <c r="A7045" s="0" t="n">
        <v>7044</v>
      </c>
      <c r="B7045" s="18" t="n">
        <v>1125054.96218005</v>
      </c>
      <c r="C7045" s="18" t="n">
        <v>1536331.51842486</v>
      </c>
      <c r="D7045" s="0" t="n">
        <v>1</v>
      </c>
    </row>
    <row r="7046" customFormat="false" ht="15" hidden="false" customHeight="false" outlineLevel="0" collapsed="false">
      <c r="A7046" s="0" t="n">
        <v>7045</v>
      </c>
      <c r="B7046" s="18" t="n">
        <v>841334.857835207</v>
      </c>
      <c r="C7046" s="18" t="n">
        <v>3284054.72307498</v>
      </c>
      <c r="D7046" s="0" t="n">
        <v>1</v>
      </c>
    </row>
    <row r="7047" customFormat="false" ht="15" hidden="false" customHeight="false" outlineLevel="0" collapsed="false">
      <c r="A7047" s="0" t="n">
        <v>7046</v>
      </c>
      <c r="B7047" s="18" t="n">
        <v>511411.433350242</v>
      </c>
      <c r="C7047" s="18" t="n">
        <v>0</v>
      </c>
      <c r="D7047" s="0" t="n">
        <v>0</v>
      </c>
      <c r="E7047" s="19" t="n">
        <v>32.0833333333333</v>
      </c>
    </row>
    <row r="7048" customFormat="false" ht="15" hidden="false" customHeight="false" outlineLevel="0" collapsed="false">
      <c r="A7048" s="0" t="n">
        <v>7047</v>
      </c>
      <c r="B7048" s="18" t="n">
        <v>762324.187523455</v>
      </c>
      <c r="C7048" s="18" t="n">
        <v>0</v>
      </c>
      <c r="D7048" s="0" t="n">
        <v>0</v>
      </c>
      <c r="E7048" s="19" t="n">
        <v>40.25</v>
      </c>
    </row>
    <row r="7049" customFormat="false" ht="15" hidden="false" customHeight="false" outlineLevel="0" collapsed="false">
      <c r="A7049" s="0" t="n">
        <v>7048</v>
      </c>
      <c r="B7049" s="18" t="n">
        <v>1903596.67386438</v>
      </c>
      <c r="C7049" s="18" t="n">
        <v>2130070.29265411</v>
      </c>
      <c r="D7049" s="0" t="n">
        <v>1</v>
      </c>
    </row>
    <row r="7050" customFormat="false" ht="15" hidden="false" customHeight="false" outlineLevel="0" collapsed="false">
      <c r="A7050" s="0" t="n">
        <v>7049</v>
      </c>
      <c r="B7050" s="18" t="n">
        <v>1619059.65869308</v>
      </c>
      <c r="C7050" s="18" t="n">
        <v>0</v>
      </c>
      <c r="D7050" s="0" t="n">
        <v>0</v>
      </c>
      <c r="E7050" s="19" t="n">
        <v>41.0833333333333</v>
      </c>
    </row>
    <row r="7051" customFormat="false" ht="15" hidden="false" customHeight="false" outlineLevel="0" collapsed="false">
      <c r="A7051" s="0" t="n">
        <v>7050</v>
      </c>
      <c r="B7051" s="18" t="n">
        <v>1140601.05410153</v>
      </c>
      <c r="C7051" s="18" t="n">
        <v>128397.535283116</v>
      </c>
      <c r="D7051" s="0" t="n">
        <v>1</v>
      </c>
    </row>
    <row r="7052" customFormat="false" ht="15" hidden="false" customHeight="false" outlineLevel="0" collapsed="false">
      <c r="A7052" s="0" t="n">
        <v>7051</v>
      </c>
      <c r="B7052" s="18" t="n">
        <v>1487793.70336048</v>
      </c>
      <c r="C7052" s="18" t="n">
        <v>3869313.19218345</v>
      </c>
      <c r="D7052" s="0" t="n">
        <v>1</v>
      </c>
    </row>
    <row r="7053" customFormat="false" ht="15" hidden="false" customHeight="false" outlineLevel="0" collapsed="false">
      <c r="A7053" s="0" t="n">
        <v>7052</v>
      </c>
      <c r="B7053" s="18" t="n">
        <v>1497709.20569506</v>
      </c>
      <c r="C7053" s="18" t="n">
        <v>5516803.82014841</v>
      </c>
      <c r="D7053" s="0" t="n">
        <v>1</v>
      </c>
    </row>
    <row r="7054" customFormat="false" ht="15" hidden="false" customHeight="false" outlineLevel="0" collapsed="false">
      <c r="A7054" s="0" t="n">
        <v>7053</v>
      </c>
      <c r="B7054" s="18" t="n">
        <v>629016.618553708</v>
      </c>
      <c r="C7054" s="18" t="n">
        <v>0</v>
      </c>
      <c r="D7054" s="0" t="n">
        <v>0</v>
      </c>
      <c r="E7054" s="19" t="n">
        <v>36.8333333333333</v>
      </c>
    </row>
    <row r="7055" customFormat="false" ht="15" hidden="false" customHeight="false" outlineLevel="0" collapsed="false">
      <c r="A7055" s="0" t="n">
        <v>7054</v>
      </c>
      <c r="B7055" s="18" t="n">
        <v>870402.347428657</v>
      </c>
      <c r="C7055" s="18" t="n">
        <v>0</v>
      </c>
      <c r="D7055" s="0" t="n">
        <v>0</v>
      </c>
      <c r="E7055" s="19" t="n">
        <v>36.1666666666667</v>
      </c>
    </row>
    <row r="7056" customFormat="false" ht="15" hidden="false" customHeight="false" outlineLevel="0" collapsed="false">
      <c r="A7056" s="0" t="n">
        <v>7055</v>
      </c>
      <c r="B7056" s="18" t="n">
        <v>1387222.62367308</v>
      </c>
      <c r="C7056" s="18" t="n">
        <v>0</v>
      </c>
      <c r="D7056" s="0" t="n">
        <v>0</v>
      </c>
      <c r="E7056" s="19" t="n">
        <v>43.25</v>
      </c>
    </row>
    <row r="7057" customFormat="false" ht="15" hidden="false" customHeight="false" outlineLevel="0" collapsed="false">
      <c r="A7057" s="0" t="n">
        <v>7056</v>
      </c>
      <c r="B7057" s="18" t="n">
        <v>3382178.70461756</v>
      </c>
      <c r="C7057" s="18" t="n">
        <v>23822415.2797727</v>
      </c>
      <c r="D7057" s="0" t="n">
        <v>1</v>
      </c>
    </row>
    <row r="7058" customFormat="false" ht="15" hidden="false" customHeight="false" outlineLevel="0" collapsed="false">
      <c r="A7058" s="0" t="n">
        <v>7057</v>
      </c>
      <c r="B7058" s="18" t="n">
        <v>1247007.34126779</v>
      </c>
      <c r="C7058" s="18" t="n">
        <v>0</v>
      </c>
      <c r="D7058" s="0" t="n">
        <v>0</v>
      </c>
      <c r="E7058" s="19" t="n">
        <v>50.0833333333333</v>
      </c>
    </row>
    <row r="7059" customFormat="false" ht="15" hidden="false" customHeight="false" outlineLevel="0" collapsed="false">
      <c r="A7059" s="0" t="n">
        <v>7058</v>
      </c>
      <c r="B7059" s="18" t="n">
        <v>478920.805417612</v>
      </c>
      <c r="C7059" s="18" t="n">
        <v>0</v>
      </c>
      <c r="D7059" s="0" t="n">
        <v>0</v>
      </c>
      <c r="E7059" s="19" t="n">
        <v>32.9166666666667</v>
      </c>
    </row>
    <row r="7060" customFormat="false" ht="15" hidden="false" customHeight="false" outlineLevel="0" collapsed="false">
      <c r="A7060" s="0" t="n">
        <v>7059</v>
      </c>
      <c r="B7060" s="18" t="n">
        <v>1056923.83332971</v>
      </c>
      <c r="C7060" s="18" t="n">
        <v>1123143.65783751</v>
      </c>
      <c r="D7060" s="0" t="n">
        <v>1</v>
      </c>
    </row>
    <row r="7061" customFormat="false" ht="15" hidden="false" customHeight="false" outlineLevel="0" collapsed="false">
      <c r="A7061" s="0" t="n">
        <v>7060</v>
      </c>
      <c r="B7061" s="18" t="n">
        <v>1730909.4562742</v>
      </c>
      <c r="C7061" s="18" t="n">
        <v>13612857.8820537</v>
      </c>
      <c r="D7061" s="0" t="n">
        <v>1</v>
      </c>
    </row>
    <row r="7062" customFormat="false" ht="15" hidden="false" customHeight="false" outlineLevel="0" collapsed="false">
      <c r="A7062" s="0" t="n">
        <v>7061</v>
      </c>
      <c r="B7062" s="18" t="n">
        <v>977261.203540077</v>
      </c>
      <c r="C7062" s="18" t="n">
        <v>4343234.16138188</v>
      </c>
      <c r="D7062" s="0" t="n">
        <v>1</v>
      </c>
    </row>
    <row r="7063" customFormat="false" ht="15" hidden="false" customHeight="false" outlineLevel="0" collapsed="false">
      <c r="A7063" s="0" t="n">
        <v>7062</v>
      </c>
      <c r="B7063" s="18" t="n">
        <v>1858106.73253761</v>
      </c>
      <c r="C7063" s="18" t="n">
        <v>2587635.71742161</v>
      </c>
      <c r="D7063" s="0" t="n">
        <v>1</v>
      </c>
    </row>
    <row r="7064" customFormat="false" ht="15" hidden="false" customHeight="false" outlineLevel="0" collapsed="false">
      <c r="A7064" s="0" t="n">
        <v>7063</v>
      </c>
      <c r="B7064" s="18" t="n">
        <v>1070602.84634455</v>
      </c>
      <c r="C7064" s="18" t="n">
        <v>927653.785475557</v>
      </c>
      <c r="D7064" s="0" t="n">
        <v>1</v>
      </c>
    </row>
    <row r="7065" customFormat="false" ht="15" hidden="false" customHeight="false" outlineLevel="0" collapsed="false">
      <c r="A7065" s="0" t="n">
        <v>7064</v>
      </c>
      <c r="B7065" s="18" t="n">
        <v>717233.832542356</v>
      </c>
      <c r="C7065" s="18" t="n">
        <v>0</v>
      </c>
      <c r="D7065" s="0" t="n">
        <v>0</v>
      </c>
      <c r="E7065" s="19" t="n">
        <v>51.3333333333333</v>
      </c>
    </row>
    <row r="7066" customFormat="false" ht="15" hidden="false" customHeight="false" outlineLevel="0" collapsed="false">
      <c r="A7066" s="0" t="n">
        <v>7065</v>
      </c>
      <c r="B7066" s="18" t="n">
        <v>1309408.21800432</v>
      </c>
      <c r="C7066" s="18" t="n">
        <v>0</v>
      </c>
      <c r="D7066" s="0" t="n">
        <v>0</v>
      </c>
      <c r="E7066" s="19" t="n">
        <v>46.8333333333333</v>
      </c>
    </row>
    <row r="7067" customFormat="false" ht="15" hidden="false" customHeight="false" outlineLevel="0" collapsed="false">
      <c r="A7067" s="0" t="n">
        <v>7066</v>
      </c>
      <c r="B7067" s="18" t="n">
        <v>501869.251544244</v>
      </c>
      <c r="C7067" s="18" t="n">
        <v>0</v>
      </c>
      <c r="D7067" s="0" t="n">
        <v>0</v>
      </c>
      <c r="E7067" s="19" t="n">
        <v>37.75</v>
      </c>
    </row>
    <row r="7068" customFormat="false" ht="15" hidden="false" customHeight="false" outlineLevel="0" collapsed="false">
      <c r="A7068" s="0" t="n">
        <v>7067</v>
      </c>
      <c r="B7068" s="18" t="n">
        <v>329750.789356876</v>
      </c>
      <c r="C7068" s="18" t="n">
        <v>0</v>
      </c>
      <c r="D7068" s="0" t="n">
        <v>0</v>
      </c>
      <c r="E7068" s="19" t="n">
        <v>29.8333333333333</v>
      </c>
    </row>
    <row r="7069" customFormat="false" ht="15" hidden="false" customHeight="false" outlineLevel="0" collapsed="false">
      <c r="A7069" s="0" t="n">
        <v>7068</v>
      </c>
      <c r="B7069" s="18" t="n">
        <v>880010.461046956</v>
      </c>
      <c r="C7069" s="18" t="n">
        <v>0</v>
      </c>
      <c r="D7069" s="0" t="n">
        <v>0</v>
      </c>
      <c r="E7069" s="19" t="n">
        <v>37.5</v>
      </c>
    </row>
    <row r="7070" customFormat="false" ht="15" hidden="false" customHeight="false" outlineLevel="0" collapsed="false">
      <c r="A7070" s="0" t="n">
        <v>7069</v>
      </c>
      <c r="B7070" s="18" t="n">
        <v>1179172.86587211</v>
      </c>
      <c r="C7070" s="18" t="n">
        <v>1666861.76170052</v>
      </c>
      <c r="D7070" s="0" t="n">
        <v>1</v>
      </c>
    </row>
    <row r="7071" customFormat="false" ht="15" hidden="false" customHeight="false" outlineLevel="0" collapsed="false">
      <c r="A7071" s="0" t="n">
        <v>7070</v>
      </c>
      <c r="B7071" s="18" t="n">
        <v>4253978.88208636</v>
      </c>
      <c r="C7071" s="18" t="n">
        <v>67112698.3557226</v>
      </c>
      <c r="D7071" s="0" t="n">
        <v>1</v>
      </c>
    </row>
    <row r="7072" customFormat="false" ht="15" hidden="false" customHeight="false" outlineLevel="0" collapsed="false">
      <c r="A7072" s="0" t="n">
        <v>7071</v>
      </c>
      <c r="B7072" s="18" t="n">
        <v>492084.546808142</v>
      </c>
      <c r="C7072" s="18" t="n">
        <v>0</v>
      </c>
      <c r="D7072" s="0" t="n">
        <v>0</v>
      </c>
      <c r="E7072" s="19" t="n">
        <v>37</v>
      </c>
    </row>
    <row r="7073" customFormat="false" ht="15" hidden="false" customHeight="false" outlineLevel="0" collapsed="false">
      <c r="A7073" s="0" t="n">
        <v>7072</v>
      </c>
      <c r="B7073" s="18" t="n">
        <v>1924648.42866274</v>
      </c>
      <c r="C7073" s="18" t="n">
        <v>3695598.48260365</v>
      </c>
      <c r="D7073" s="0" t="n">
        <v>1</v>
      </c>
    </row>
    <row r="7074" customFormat="false" ht="15" hidden="false" customHeight="false" outlineLevel="0" collapsed="false">
      <c r="A7074" s="0" t="n">
        <v>7073</v>
      </c>
      <c r="B7074" s="18" t="n">
        <v>2336342.8486344</v>
      </c>
      <c r="C7074" s="18" t="n">
        <v>34378447.0710857</v>
      </c>
      <c r="D7074" s="0" t="n">
        <v>1</v>
      </c>
    </row>
    <row r="7075" customFormat="false" ht="15" hidden="false" customHeight="false" outlineLevel="0" collapsed="false">
      <c r="A7075" s="0" t="n">
        <v>7074</v>
      </c>
      <c r="B7075" s="18" t="n">
        <v>1742321.80673484</v>
      </c>
      <c r="C7075" s="18" t="n">
        <v>4556254.45518251</v>
      </c>
      <c r="D7075" s="0" t="n">
        <v>1</v>
      </c>
    </row>
    <row r="7076" customFormat="false" ht="15" hidden="false" customHeight="false" outlineLevel="0" collapsed="false">
      <c r="A7076" s="0" t="n">
        <v>7075</v>
      </c>
      <c r="B7076" s="18" t="n">
        <v>523509.473754926</v>
      </c>
      <c r="C7076" s="18" t="n">
        <v>0</v>
      </c>
      <c r="D7076" s="0" t="n">
        <v>0</v>
      </c>
      <c r="E7076" s="19" t="n">
        <v>35.8333333333333</v>
      </c>
    </row>
    <row r="7077" customFormat="false" ht="15" hidden="false" customHeight="false" outlineLevel="0" collapsed="false">
      <c r="A7077" s="0" t="n">
        <v>7076</v>
      </c>
      <c r="B7077" s="18" t="n">
        <v>346081.943202466</v>
      </c>
      <c r="C7077" s="18" t="n">
        <v>0</v>
      </c>
      <c r="D7077" s="0" t="n">
        <v>0</v>
      </c>
      <c r="E7077" s="19" t="n">
        <v>32.1666666666667</v>
      </c>
    </row>
    <row r="7078" customFormat="false" ht="15" hidden="false" customHeight="false" outlineLevel="0" collapsed="false">
      <c r="A7078" s="0" t="n">
        <v>7077</v>
      </c>
      <c r="B7078" s="18" t="n">
        <v>1045861.47762232</v>
      </c>
      <c r="C7078" s="18" t="n">
        <v>0</v>
      </c>
      <c r="D7078" s="0" t="n">
        <v>0</v>
      </c>
      <c r="E7078" s="19" t="n">
        <v>37.3333333333333</v>
      </c>
    </row>
    <row r="7079" customFormat="false" ht="15" hidden="false" customHeight="false" outlineLevel="0" collapsed="false">
      <c r="A7079" s="0" t="n">
        <v>7078</v>
      </c>
      <c r="B7079" s="18" t="n">
        <v>551402.108734815</v>
      </c>
      <c r="C7079" s="18" t="n">
        <v>0</v>
      </c>
      <c r="D7079" s="0" t="n">
        <v>0</v>
      </c>
      <c r="E7079" s="19" t="n">
        <v>36.1666666666667</v>
      </c>
    </row>
    <row r="7080" customFormat="false" ht="15" hidden="false" customHeight="false" outlineLevel="0" collapsed="false">
      <c r="A7080" s="0" t="n">
        <v>7079</v>
      </c>
      <c r="B7080" s="18" t="n">
        <v>248914.148143979</v>
      </c>
      <c r="C7080" s="18" t="n">
        <v>0</v>
      </c>
      <c r="D7080" s="0" t="n">
        <v>0</v>
      </c>
      <c r="E7080" s="19" t="n">
        <v>30.1666666666667</v>
      </c>
    </row>
    <row r="7081" customFormat="false" ht="15" hidden="false" customHeight="false" outlineLevel="0" collapsed="false">
      <c r="A7081" s="0" t="n">
        <v>7080</v>
      </c>
      <c r="B7081" s="18" t="n">
        <v>2207232.891981</v>
      </c>
      <c r="C7081" s="18" t="n">
        <v>6188710.60855878</v>
      </c>
      <c r="D7081" s="0" t="n">
        <v>1</v>
      </c>
    </row>
    <row r="7082" customFormat="false" ht="15" hidden="false" customHeight="false" outlineLevel="0" collapsed="false">
      <c r="A7082" s="0" t="n">
        <v>7081</v>
      </c>
      <c r="B7082" s="18" t="n">
        <v>1432904.5712741</v>
      </c>
      <c r="C7082" s="18" t="n">
        <v>272829.926286692</v>
      </c>
      <c r="D7082" s="0" t="n">
        <v>1</v>
      </c>
    </row>
    <row r="7083" customFormat="false" ht="15" hidden="false" customHeight="false" outlineLevel="0" collapsed="false">
      <c r="A7083" s="0" t="n">
        <v>7082</v>
      </c>
      <c r="B7083" s="18" t="n">
        <v>1461219.17906287</v>
      </c>
      <c r="C7083" s="18" t="n">
        <v>21251661.9625709</v>
      </c>
      <c r="D7083" s="0" t="n">
        <v>1</v>
      </c>
    </row>
    <row r="7084" customFormat="false" ht="15" hidden="false" customHeight="false" outlineLevel="0" collapsed="false">
      <c r="A7084" s="0" t="n">
        <v>7083</v>
      </c>
      <c r="B7084" s="18" t="n">
        <v>602094.051232391</v>
      </c>
      <c r="C7084" s="18" t="n">
        <v>0</v>
      </c>
      <c r="D7084" s="0" t="n">
        <v>0</v>
      </c>
      <c r="E7084" s="19" t="n">
        <v>38.0833333333333</v>
      </c>
    </row>
    <row r="7085" customFormat="false" ht="15" hidden="false" customHeight="false" outlineLevel="0" collapsed="false">
      <c r="A7085" s="0" t="n">
        <v>7084</v>
      </c>
      <c r="B7085" s="18" t="n">
        <v>1816379.88969707</v>
      </c>
      <c r="C7085" s="18" t="n">
        <v>4963361.34854912</v>
      </c>
      <c r="D7085" s="0" t="n">
        <v>1</v>
      </c>
    </row>
    <row r="7086" customFormat="false" ht="15" hidden="false" customHeight="false" outlineLevel="0" collapsed="false">
      <c r="A7086" s="0" t="n">
        <v>7085</v>
      </c>
      <c r="B7086" s="18" t="n">
        <v>800616.921364577</v>
      </c>
      <c r="C7086" s="18" t="n">
        <v>0</v>
      </c>
      <c r="D7086" s="0" t="n">
        <v>0</v>
      </c>
      <c r="E7086" s="19" t="n">
        <v>34.5833333333333</v>
      </c>
    </row>
    <row r="7087" customFormat="false" ht="15" hidden="false" customHeight="false" outlineLevel="0" collapsed="false">
      <c r="A7087" s="0" t="n">
        <v>7086</v>
      </c>
      <c r="B7087" s="18" t="n">
        <v>1160134.15551899</v>
      </c>
      <c r="C7087" s="18" t="n">
        <v>2070001.47054757</v>
      </c>
      <c r="D7087" s="0" t="n">
        <v>1</v>
      </c>
    </row>
    <row r="7088" customFormat="false" ht="15" hidden="false" customHeight="false" outlineLevel="0" collapsed="false">
      <c r="A7088" s="0" t="n">
        <v>7087</v>
      </c>
      <c r="B7088" s="18" t="n">
        <v>378973.052411736</v>
      </c>
      <c r="C7088" s="18" t="n">
        <v>0</v>
      </c>
      <c r="D7088" s="0" t="n">
        <v>0</v>
      </c>
      <c r="E7088" s="19" t="n">
        <v>36.1666666666667</v>
      </c>
    </row>
    <row r="7089" customFormat="false" ht="15" hidden="false" customHeight="false" outlineLevel="0" collapsed="false">
      <c r="A7089" s="0" t="n">
        <v>7088</v>
      </c>
      <c r="B7089" s="18" t="n">
        <v>1884181.82385037</v>
      </c>
      <c r="C7089" s="18" t="n">
        <v>3969478.86908324</v>
      </c>
      <c r="D7089" s="0" t="n">
        <v>1</v>
      </c>
    </row>
    <row r="7090" customFormat="false" ht="15" hidden="false" customHeight="false" outlineLevel="0" collapsed="false">
      <c r="A7090" s="0" t="n">
        <v>7089</v>
      </c>
      <c r="B7090" s="18" t="n">
        <v>2240283.86089642</v>
      </c>
      <c r="C7090" s="18" t="n">
        <v>5026125.29480888</v>
      </c>
      <c r="D7090" s="0" t="n">
        <v>1</v>
      </c>
    </row>
    <row r="7091" customFormat="false" ht="15" hidden="false" customHeight="false" outlineLevel="0" collapsed="false">
      <c r="A7091" s="0" t="n">
        <v>7090</v>
      </c>
      <c r="B7091" s="18" t="n">
        <v>1905498.99032399</v>
      </c>
      <c r="C7091" s="18" t="n">
        <v>2971857.61297366</v>
      </c>
      <c r="D7091" s="0" t="n">
        <v>1</v>
      </c>
    </row>
    <row r="7092" customFormat="false" ht="15" hidden="false" customHeight="false" outlineLevel="0" collapsed="false">
      <c r="A7092" s="0" t="n">
        <v>7091</v>
      </c>
      <c r="B7092" s="18" t="n">
        <v>657223.543066278</v>
      </c>
      <c r="C7092" s="18" t="n">
        <v>0</v>
      </c>
      <c r="D7092" s="0" t="n">
        <v>0</v>
      </c>
      <c r="E7092" s="19" t="n">
        <v>37.1666666666667</v>
      </c>
    </row>
    <row r="7093" customFormat="false" ht="15" hidden="false" customHeight="false" outlineLevel="0" collapsed="false">
      <c r="A7093" s="0" t="n">
        <v>7092</v>
      </c>
      <c r="B7093" s="18" t="n">
        <v>384014.514128613</v>
      </c>
      <c r="C7093" s="18" t="n">
        <v>0</v>
      </c>
      <c r="D7093" s="0" t="n">
        <v>0</v>
      </c>
      <c r="E7093" s="19" t="n">
        <v>31.3333333333333</v>
      </c>
    </row>
    <row r="7094" customFormat="false" ht="15" hidden="false" customHeight="false" outlineLevel="0" collapsed="false">
      <c r="A7094" s="0" t="n">
        <v>7093</v>
      </c>
      <c r="B7094" s="18" t="n">
        <v>988058.690466351</v>
      </c>
      <c r="C7094" s="18" t="n">
        <v>2582481.27839425</v>
      </c>
      <c r="D7094" s="0" t="n">
        <v>1</v>
      </c>
    </row>
    <row r="7095" customFormat="false" ht="15" hidden="false" customHeight="false" outlineLevel="0" collapsed="false">
      <c r="A7095" s="0" t="n">
        <v>7094</v>
      </c>
      <c r="B7095" s="18" t="n">
        <v>1016997.7196822</v>
      </c>
      <c r="C7095" s="18" t="n">
        <v>0</v>
      </c>
      <c r="D7095" s="0" t="n">
        <v>0</v>
      </c>
      <c r="E7095" s="19" t="n">
        <v>39.8333333333333</v>
      </c>
    </row>
    <row r="7096" customFormat="false" ht="15" hidden="false" customHeight="false" outlineLevel="0" collapsed="false">
      <c r="A7096" s="0" t="n">
        <v>7095</v>
      </c>
      <c r="B7096" s="18" t="n">
        <v>2052825.70170694</v>
      </c>
      <c r="C7096" s="18" t="n">
        <v>849995.529922646</v>
      </c>
      <c r="D7096" s="0" t="n">
        <v>1</v>
      </c>
    </row>
    <row r="7097" customFormat="false" ht="15" hidden="false" customHeight="false" outlineLevel="0" collapsed="false">
      <c r="A7097" s="0" t="n">
        <v>7096</v>
      </c>
      <c r="B7097" s="18" t="n">
        <v>641826.077633576</v>
      </c>
      <c r="C7097" s="18" t="n">
        <v>0</v>
      </c>
      <c r="D7097" s="0" t="n">
        <v>0</v>
      </c>
      <c r="E7097" s="19" t="n">
        <v>42.75</v>
      </c>
    </row>
    <row r="7098" customFormat="false" ht="15" hidden="false" customHeight="false" outlineLevel="0" collapsed="false">
      <c r="A7098" s="0" t="n">
        <v>7097</v>
      </c>
      <c r="B7098" s="18" t="n">
        <v>902269.791855381</v>
      </c>
      <c r="C7098" s="18" t="n">
        <v>0</v>
      </c>
      <c r="D7098" s="0" t="n">
        <v>0</v>
      </c>
      <c r="E7098" s="19" t="n">
        <v>38.1666666666667</v>
      </c>
    </row>
    <row r="7099" customFormat="false" ht="15" hidden="false" customHeight="false" outlineLevel="0" collapsed="false">
      <c r="A7099" s="0" t="n">
        <v>7098</v>
      </c>
      <c r="B7099" s="18" t="n">
        <v>941964.847617841</v>
      </c>
      <c r="C7099" s="18" t="n">
        <v>0</v>
      </c>
      <c r="D7099" s="0" t="n">
        <v>0</v>
      </c>
      <c r="E7099" s="19" t="n">
        <v>50.75</v>
      </c>
    </row>
    <row r="7100" customFormat="false" ht="15" hidden="false" customHeight="false" outlineLevel="0" collapsed="false">
      <c r="A7100" s="0" t="n">
        <v>7099</v>
      </c>
      <c r="B7100" s="18" t="n">
        <v>603865.297664322</v>
      </c>
      <c r="C7100" s="18" t="n">
        <v>0</v>
      </c>
      <c r="D7100" s="0" t="n">
        <v>0</v>
      </c>
      <c r="E7100" s="19" t="n">
        <v>43.5</v>
      </c>
    </row>
    <row r="7101" customFormat="false" ht="15" hidden="false" customHeight="false" outlineLevel="0" collapsed="false">
      <c r="A7101" s="0" t="n">
        <v>7100</v>
      </c>
      <c r="B7101" s="18" t="n">
        <v>679113.73398381</v>
      </c>
      <c r="C7101" s="18" t="n">
        <v>0</v>
      </c>
      <c r="D7101" s="0" t="n">
        <v>0</v>
      </c>
      <c r="E7101" s="19" t="n">
        <v>37.0833333333333</v>
      </c>
    </row>
    <row r="7102" customFormat="false" ht="15" hidden="false" customHeight="false" outlineLevel="0" collapsed="false">
      <c r="A7102" s="0" t="n">
        <v>7101</v>
      </c>
      <c r="B7102" s="18" t="n">
        <v>256964.959669273</v>
      </c>
      <c r="C7102" s="18" t="n">
        <v>0</v>
      </c>
      <c r="D7102" s="0" t="n">
        <v>0</v>
      </c>
      <c r="E7102" s="19" t="n">
        <v>30</v>
      </c>
    </row>
    <row r="7103" customFormat="false" ht="15" hidden="false" customHeight="false" outlineLevel="0" collapsed="false">
      <c r="A7103" s="0" t="n">
        <v>7102</v>
      </c>
      <c r="B7103" s="18" t="n">
        <v>650266.172254126</v>
      </c>
      <c r="C7103" s="18" t="n">
        <v>0</v>
      </c>
      <c r="D7103" s="0" t="n">
        <v>0</v>
      </c>
      <c r="E7103" s="19" t="n">
        <v>38.25</v>
      </c>
    </row>
    <row r="7104" customFormat="false" ht="15" hidden="false" customHeight="false" outlineLevel="0" collapsed="false">
      <c r="A7104" s="0" t="n">
        <v>7103</v>
      </c>
      <c r="B7104" s="18" t="n">
        <v>915077.312844551</v>
      </c>
      <c r="C7104" s="18" t="n">
        <v>0</v>
      </c>
      <c r="D7104" s="0" t="n">
        <v>0</v>
      </c>
      <c r="E7104" s="19" t="n">
        <v>50</v>
      </c>
    </row>
    <row r="7105" customFormat="false" ht="15" hidden="false" customHeight="false" outlineLevel="0" collapsed="false">
      <c r="A7105" s="0" t="n">
        <v>7104</v>
      </c>
      <c r="B7105" s="18" t="n">
        <v>341174.438704801</v>
      </c>
      <c r="C7105" s="18" t="n">
        <v>0</v>
      </c>
      <c r="D7105" s="0" t="n">
        <v>0</v>
      </c>
      <c r="E7105" s="19" t="n">
        <v>30.0833333333333</v>
      </c>
    </row>
    <row r="7106" customFormat="false" ht="15" hidden="false" customHeight="false" outlineLevel="0" collapsed="false">
      <c r="A7106" s="0" t="n">
        <v>7105</v>
      </c>
      <c r="B7106" s="18" t="n">
        <v>970793.298571327</v>
      </c>
      <c r="C7106" s="18" t="n">
        <v>0</v>
      </c>
      <c r="D7106" s="0" t="n">
        <v>0</v>
      </c>
      <c r="E7106" s="19" t="n">
        <v>47.5</v>
      </c>
    </row>
    <row r="7107" customFormat="false" ht="15" hidden="false" customHeight="false" outlineLevel="0" collapsed="false">
      <c r="A7107" s="0" t="n">
        <v>7106</v>
      </c>
      <c r="B7107" s="18" t="n">
        <v>635380.897322565</v>
      </c>
      <c r="C7107" s="18" t="n">
        <v>0</v>
      </c>
      <c r="D7107" s="0" t="n">
        <v>0</v>
      </c>
      <c r="E7107" s="19" t="n">
        <v>36.5833333333333</v>
      </c>
    </row>
    <row r="7108" customFormat="false" ht="15" hidden="false" customHeight="false" outlineLevel="0" collapsed="false">
      <c r="A7108" s="0" t="n">
        <v>7107</v>
      </c>
      <c r="B7108" s="18" t="n">
        <v>1128498.96752948</v>
      </c>
      <c r="C7108" s="18" t="n">
        <v>2896269.83454544</v>
      </c>
      <c r="D7108" s="0" t="n">
        <v>1</v>
      </c>
    </row>
    <row r="7109" customFormat="false" ht="15" hidden="false" customHeight="false" outlineLevel="0" collapsed="false">
      <c r="A7109" s="0" t="n">
        <v>7108</v>
      </c>
      <c r="B7109" s="18" t="n">
        <v>1209034.04399169</v>
      </c>
      <c r="C7109" s="18" t="n">
        <v>1495024.02512352</v>
      </c>
      <c r="D7109" s="0" t="n">
        <v>1</v>
      </c>
    </row>
    <row r="7110" customFormat="false" ht="15" hidden="false" customHeight="false" outlineLevel="0" collapsed="false">
      <c r="A7110" s="0" t="n">
        <v>7109</v>
      </c>
      <c r="B7110" s="18" t="n">
        <v>668638.745252463</v>
      </c>
      <c r="C7110" s="18" t="n">
        <v>0</v>
      </c>
      <c r="D7110" s="0" t="n">
        <v>0</v>
      </c>
      <c r="E7110" s="19" t="n">
        <v>38.5</v>
      </c>
    </row>
    <row r="7111" customFormat="false" ht="15" hidden="false" customHeight="false" outlineLevel="0" collapsed="false">
      <c r="A7111" s="0" t="n">
        <v>7110</v>
      </c>
      <c r="B7111" s="18" t="n">
        <v>1408841.40102132</v>
      </c>
      <c r="C7111" s="18" t="n">
        <v>2640741.03946183</v>
      </c>
      <c r="D7111" s="0" t="n">
        <v>1</v>
      </c>
    </row>
    <row r="7112" customFormat="false" ht="15" hidden="false" customHeight="false" outlineLevel="0" collapsed="false">
      <c r="A7112" s="0" t="n">
        <v>7111</v>
      </c>
      <c r="B7112" s="18" t="n">
        <v>1062278.15146664</v>
      </c>
      <c r="C7112" s="18" t="n">
        <v>0</v>
      </c>
      <c r="D7112" s="0" t="n">
        <v>0</v>
      </c>
      <c r="E7112" s="19" t="n">
        <v>46.8333333333333</v>
      </c>
    </row>
    <row r="7113" customFormat="false" ht="15" hidden="false" customHeight="false" outlineLevel="0" collapsed="false">
      <c r="A7113" s="0" t="n">
        <v>7112</v>
      </c>
      <c r="B7113" s="18" t="n">
        <v>507394.580571039</v>
      </c>
      <c r="C7113" s="18" t="n">
        <v>0</v>
      </c>
      <c r="D7113" s="0" t="n">
        <v>0</v>
      </c>
      <c r="E7113" s="19" t="n">
        <v>33</v>
      </c>
    </row>
    <row r="7114" customFormat="false" ht="15" hidden="false" customHeight="false" outlineLevel="0" collapsed="false">
      <c r="A7114" s="0" t="n">
        <v>7113</v>
      </c>
      <c r="B7114" s="18" t="n">
        <v>1964332.28961398</v>
      </c>
      <c r="C7114" s="18" t="n">
        <v>0</v>
      </c>
      <c r="D7114" s="0" t="n">
        <v>0</v>
      </c>
      <c r="E7114" s="19" t="n">
        <v>47.8333333333333</v>
      </c>
    </row>
    <row r="7115" customFormat="false" ht="15" hidden="false" customHeight="false" outlineLevel="0" collapsed="false">
      <c r="A7115" s="0" t="n">
        <v>7114</v>
      </c>
      <c r="B7115" s="18" t="n">
        <v>1654929.15092338</v>
      </c>
      <c r="C7115" s="18" t="n">
        <v>6268840.30439071</v>
      </c>
      <c r="D7115" s="0" t="n">
        <v>1</v>
      </c>
    </row>
    <row r="7116" customFormat="false" ht="15" hidden="false" customHeight="false" outlineLevel="0" collapsed="false">
      <c r="A7116" s="0" t="n">
        <v>7115</v>
      </c>
      <c r="B7116" s="18" t="n">
        <v>926504.19465333</v>
      </c>
      <c r="C7116" s="18" t="n">
        <v>271127.35816203</v>
      </c>
      <c r="D7116" s="0" t="n">
        <v>1</v>
      </c>
    </row>
    <row r="7117" customFormat="false" ht="15" hidden="false" customHeight="false" outlineLevel="0" collapsed="false">
      <c r="A7117" s="0" t="n">
        <v>7116</v>
      </c>
      <c r="B7117" s="18" t="n">
        <v>515045.92643885</v>
      </c>
      <c r="C7117" s="18" t="n">
        <v>0</v>
      </c>
      <c r="D7117" s="0" t="n">
        <v>0</v>
      </c>
      <c r="E7117" s="19" t="n">
        <v>32.25</v>
      </c>
    </row>
    <row r="7118" customFormat="false" ht="15" hidden="false" customHeight="false" outlineLevel="0" collapsed="false">
      <c r="A7118" s="0" t="n">
        <v>7117</v>
      </c>
      <c r="B7118" s="18" t="n">
        <v>738768.963719862</v>
      </c>
      <c r="C7118" s="18" t="n">
        <v>0</v>
      </c>
      <c r="D7118" s="0" t="n">
        <v>0</v>
      </c>
      <c r="E7118" s="19" t="n">
        <v>41.25</v>
      </c>
    </row>
    <row r="7119" customFormat="false" ht="15" hidden="false" customHeight="false" outlineLevel="0" collapsed="false">
      <c r="A7119" s="0" t="n">
        <v>7118</v>
      </c>
      <c r="B7119" s="18" t="n">
        <v>1406764.99132398</v>
      </c>
      <c r="C7119" s="18" t="n">
        <v>0</v>
      </c>
      <c r="D7119" s="0" t="n">
        <v>0</v>
      </c>
      <c r="E7119" s="19" t="n">
        <v>50.3333333333333</v>
      </c>
    </row>
    <row r="7120" customFormat="false" ht="15" hidden="false" customHeight="false" outlineLevel="0" collapsed="false">
      <c r="A7120" s="0" t="n">
        <v>7119</v>
      </c>
      <c r="B7120" s="18" t="n">
        <v>1192845.493334</v>
      </c>
      <c r="C7120" s="18" t="n">
        <v>0</v>
      </c>
      <c r="D7120" s="0" t="n">
        <v>0</v>
      </c>
      <c r="E7120" s="19" t="n">
        <v>48.3333333333333</v>
      </c>
    </row>
    <row r="7121" customFormat="false" ht="15" hidden="false" customHeight="false" outlineLevel="0" collapsed="false">
      <c r="A7121" s="0" t="n">
        <v>7120</v>
      </c>
      <c r="B7121" s="18" t="n">
        <v>413192.173268516</v>
      </c>
      <c r="C7121" s="18" t="n">
        <v>0</v>
      </c>
      <c r="D7121" s="0" t="n">
        <v>0</v>
      </c>
      <c r="E7121" s="19" t="n">
        <v>31.6666666666667</v>
      </c>
    </row>
    <row r="7122" customFormat="false" ht="15" hidden="false" customHeight="false" outlineLevel="0" collapsed="false">
      <c r="A7122" s="0" t="n">
        <v>7121</v>
      </c>
      <c r="B7122" s="18" t="n">
        <v>1015983.39032326</v>
      </c>
      <c r="C7122" s="18" t="n">
        <v>0</v>
      </c>
      <c r="D7122" s="0" t="n">
        <v>0</v>
      </c>
      <c r="E7122" s="19" t="n">
        <v>43.6666666666667</v>
      </c>
    </row>
    <row r="7123" customFormat="false" ht="15" hidden="false" customHeight="false" outlineLevel="0" collapsed="false">
      <c r="A7123" s="0" t="n">
        <v>7122</v>
      </c>
      <c r="B7123" s="18" t="n">
        <v>930807.608152227</v>
      </c>
      <c r="C7123" s="18" t="n">
        <v>0</v>
      </c>
      <c r="D7123" s="0" t="n">
        <v>0</v>
      </c>
      <c r="E7123" s="19" t="n">
        <v>46.75</v>
      </c>
    </row>
    <row r="7124" customFormat="false" ht="15" hidden="false" customHeight="false" outlineLevel="0" collapsed="false">
      <c r="A7124" s="0" t="n">
        <v>7123</v>
      </c>
      <c r="B7124" s="18" t="n">
        <v>1635782.4353796</v>
      </c>
      <c r="C7124" s="18" t="n">
        <v>4982493.93932483</v>
      </c>
      <c r="D7124" s="0" t="n">
        <v>1</v>
      </c>
    </row>
    <row r="7125" customFormat="false" ht="15" hidden="false" customHeight="false" outlineLevel="0" collapsed="false">
      <c r="A7125" s="0" t="n">
        <v>7124</v>
      </c>
      <c r="B7125" s="18" t="n">
        <v>1011597.07706188</v>
      </c>
      <c r="C7125" s="18" t="n">
        <v>631452.860175966</v>
      </c>
      <c r="D7125" s="0" t="n">
        <v>1</v>
      </c>
    </row>
    <row r="7126" customFormat="false" ht="15" hidden="false" customHeight="false" outlineLevel="0" collapsed="false">
      <c r="A7126" s="0" t="n">
        <v>7125</v>
      </c>
      <c r="B7126" s="18" t="n">
        <v>518431.283884145</v>
      </c>
      <c r="C7126" s="18" t="n">
        <v>0</v>
      </c>
      <c r="D7126" s="0" t="n">
        <v>0</v>
      </c>
      <c r="E7126" s="19" t="n">
        <v>48</v>
      </c>
    </row>
    <row r="7127" customFormat="false" ht="15" hidden="false" customHeight="false" outlineLevel="0" collapsed="false">
      <c r="A7127" s="0" t="n">
        <v>7126</v>
      </c>
      <c r="B7127" s="18" t="n">
        <v>463784.276544269</v>
      </c>
      <c r="C7127" s="18" t="n">
        <v>0</v>
      </c>
      <c r="D7127" s="0" t="n">
        <v>0</v>
      </c>
      <c r="E7127" s="19" t="n">
        <v>35.75</v>
      </c>
    </row>
    <row r="7128" customFormat="false" ht="15" hidden="false" customHeight="false" outlineLevel="0" collapsed="false">
      <c r="A7128" s="0" t="n">
        <v>7127</v>
      </c>
      <c r="B7128" s="18" t="n">
        <v>1816348.83727787</v>
      </c>
      <c r="C7128" s="18" t="n">
        <v>6925412.50468025</v>
      </c>
      <c r="D7128" s="0" t="n">
        <v>1</v>
      </c>
    </row>
    <row r="7129" customFormat="false" ht="15" hidden="false" customHeight="false" outlineLevel="0" collapsed="false">
      <c r="A7129" s="0" t="n">
        <v>7128</v>
      </c>
      <c r="B7129" s="18" t="n">
        <v>2796976.96267667</v>
      </c>
      <c r="C7129" s="18" t="n">
        <v>13897897.1128067</v>
      </c>
      <c r="D7129" s="0" t="n">
        <v>1</v>
      </c>
    </row>
    <row r="7130" customFormat="false" ht="15" hidden="false" customHeight="false" outlineLevel="0" collapsed="false">
      <c r="A7130" s="0" t="n">
        <v>7129</v>
      </c>
      <c r="B7130" s="18" t="n">
        <v>317783.758603268</v>
      </c>
      <c r="C7130" s="18" t="n">
        <v>0</v>
      </c>
      <c r="D7130" s="0" t="n">
        <v>0</v>
      </c>
      <c r="E7130" s="19" t="n">
        <v>29.9166666666667</v>
      </c>
    </row>
    <row r="7131" customFormat="false" ht="15" hidden="false" customHeight="false" outlineLevel="0" collapsed="false">
      <c r="A7131" s="0" t="n">
        <v>7130</v>
      </c>
      <c r="B7131" s="18" t="n">
        <v>1399495.74817467</v>
      </c>
      <c r="C7131" s="18" t="n">
        <v>2120686.69246563</v>
      </c>
      <c r="D7131" s="0" t="n">
        <v>1</v>
      </c>
    </row>
    <row r="7132" customFormat="false" ht="15" hidden="false" customHeight="false" outlineLevel="0" collapsed="false">
      <c r="A7132" s="0" t="n">
        <v>7131</v>
      </c>
      <c r="B7132" s="18" t="n">
        <v>1147532.79167396</v>
      </c>
      <c r="C7132" s="18" t="n">
        <v>2214661.06152399</v>
      </c>
      <c r="D7132" s="0" t="n">
        <v>1</v>
      </c>
    </row>
    <row r="7133" customFormat="false" ht="15" hidden="false" customHeight="false" outlineLevel="0" collapsed="false">
      <c r="A7133" s="0" t="n">
        <v>7132</v>
      </c>
      <c r="B7133" s="18" t="n">
        <v>339953.070675979</v>
      </c>
      <c r="C7133" s="18" t="n">
        <v>0</v>
      </c>
      <c r="D7133" s="0" t="n">
        <v>0</v>
      </c>
      <c r="E7133" s="19" t="n">
        <v>34.4166666666667</v>
      </c>
    </row>
    <row r="7134" customFormat="false" ht="15" hidden="false" customHeight="false" outlineLevel="0" collapsed="false">
      <c r="A7134" s="0" t="n">
        <v>7133</v>
      </c>
      <c r="B7134" s="18" t="n">
        <v>689001.062572511</v>
      </c>
      <c r="C7134" s="18" t="n">
        <v>0</v>
      </c>
      <c r="D7134" s="0" t="n">
        <v>0</v>
      </c>
      <c r="E7134" s="19" t="n">
        <v>38.75</v>
      </c>
    </row>
    <row r="7135" customFormat="false" ht="15" hidden="false" customHeight="false" outlineLevel="0" collapsed="false">
      <c r="A7135" s="0" t="n">
        <v>7134</v>
      </c>
      <c r="B7135" s="18" t="n">
        <v>572049.269609826</v>
      </c>
      <c r="C7135" s="18" t="n">
        <v>0</v>
      </c>
      <c r="D7135" s="0" t="n">
        <v>0</v>
      </c>
      <c r="E7135" s="19" t="n">
        <v>41.0833333333333</v>
      </c>
    </row>
    <row r="7136" customFormat="false" ht="15" hidden="false" customHeight="false" outlineLevel="0" collapsed="false">
      <c r="A7136" s="0" t="n">
        <v>7135</v>
      </c>
      <c r="B7136" s="18" t="n">
        <v>414053.522372944</v>
      </c>
      <c r="C7136" s="18" t="n">
        <v>0</v>
      </c>
      <c r="D7136" s="0" t="n">
        <v>0</v>
      </c>
      <c r="E7136" s="19" t="n">
        <v>35.1666666666667</v>
      </c>
    </row>
    <row r="7137" customFormat="false" ht="15" hidden="false" customHeight="false" outlineLevel="0" collapsed="false">
      <c r="A7137" s="0" t="n">
        <v>7136</v>
      </c>
      <c r="B7137" s="18" t="n">
        <v>944703.180534353</v>
      </c>
      <c r="C7137" s="18" t="n">
        <v>0</v>
      </c>
      <c r="D7137" s="0" t="n">
        <v>0</v>
      </c>
      <c r="E7137" s="19" t="n">
        <v>50.9166666666667</v>
      </c>
    </row>
    <row r="7138" customFormat="false" ht="15" hidden="false" customHeight="false" outlineLevel="0" collapsed="false">
      <c r="A7138" s="0" t="n">
        <v>7137</v>
      </c>
      <c r="B7138" s="18" t="n">
        <v>722579.53783041</v>
      </c>
      <c r="C7138" s="18" t="n">
        <v>0</v>
      </c>
      <c r="D7138" s="0" t="n">
        <v>0</v>
      </c>
      <c r="E7138" s="19" t="n">
        <v>54.9166666666667</v>
      </c>
    </row>
    <row r="7139" customFormat="false" ht="15" hidden="false" customHeight="false" outlineLevel="0" collapsed="false">
      <c r="A7139" s="0" t="n">
        <v>7138</v>
      </c>
      <c r="B7139" s="18" t="n">
        <v>883763.036641143</v>
      </c>
      <c r="C7139" s="18" t="n">
        <v>0</v>
      </c>
      <c r="D7139" s="0" t="n">
        <v>0</v>
      </c>
      <c r="E7139" s="19" t="n">
        <v>45</v>
      </c>
    </row>
    <row r="7140" customFormat="false" ht="15" hidden="false" customHeight="false" outlineLevel="0" collapsed="false">
      <c r="A7140" s="0" t="n">
        <v>7139</v>
      </c>
      <c r="B7140" s="18" t="n">
        <v>290192.279533496</v>
      </c>
      <c r="C7140" s="18" t="n">
        <v>0</v>
      </c>
      <c r="D7140" s="0" t="n">
        <v>0</v>
      </c>
      <c r="E7140" s="19" t="n">
        <v>31.9166666666667</v>
      </c>
    </row>
    <row r="7141" customFormat="false" ht="15" hidden="false" customHeight="false" outlineLevel="0" collapsed="false">
      <c r="A7141" s="0" t="n">
        <v>7140</v>
      </c>
      <c r="B7141" s="18" t="n">
        <v>343470.874563446</v>
      </c>
      <c r="C7141" s="18" t="n">
        <v>0</v>
      </c>
      <c r="D7141" s="0" t="n">
        <v>0</v>
      </c>
      <c r="E7141" s="19" t="n">
        <v>31.75</v>
      </c>
    </row>
    <row r="7142" customFormat="false" ht="15" hidden="false" customHeight="false" outlineLevel="0" collapsed="false">
      <c r="A7142" s="0" t="n">
        <v>7141</v>
      </c>
      <c r="B7142" s="18" t="n">
        <v>508406.579358993</v>
      </c>
      <c r="C7142" s="18" t="n">
        <v>0</v>
      </c>
      <c r="D7142" s="0" t="n">
        <v>0</v>
      </c>
      <c r="E7142" s="19" t="n">
        <v>37.8333333333333</v>
      </c>
    </row>
    <row r="7143" customFormat="false" ht="15" hidden="false" customHeight="false" outlineLevel="0" collapsed="false">
      <c r="A7143" s="0" t="n">
        <v>7142</v>
      </c>
      <c r="B7143" s="18" t="n">
        <v>961466.385634697</v>
      </c>
      <c r="C7143" s="18" t="n">
        <v>0</v>
      </c>
      <c r="D7143" s="0" t="n">
        <v>0</v>
      </c>
      <c r="E7143" s="19" t="n">
        <v>45.4166666666667</v>
      </c>
    </row>
    <row r="7144" customFormat="false" ht="15" hidden="false" customHeight="false" outlineLevel="0" collapsed="false">
      <c r="A7144" s="0" t="n">
        <v>7143</v>
      </c>
      <c r="B7144" s="18" t="n">
        <v>1369129.1341077</v>
      </c>
      <c r="C7144" s="18" t="n">
        <v>0</v>
      </c>
      <c r="D7144" s="0" t="n">
        <v>0</v>
      </c>
      <c r="E7144" s="19" t="n">
        <v>47.4166666666667</v>
      </c>
    </row>
    <row r="7145" customFormat="false" ht="15" hidden="false" customHeight="false" outlineLevel="0" collapsed="false">
      <c r="A7145" s="0" t="n">
        <v>7144</v>
      </c>
      <c r="B7145" s="18" t="n">
        <v>673827.331819488</v>
      </c>
      <c r="C7145" s="18" t="n">
        <v>0</v>
      </c>
      <c r="D7145" s="0" t="n">
        <v>0</v>
      </c>
      <c r="E7145" s="19" t="n">
        <v>37.1666666666667</v>
      </c>
    </row>
    <row r="7146" customFormat="false" ht="15" hidden="false" customHeight="false" outlineLevel="0" collapsed="false">
      <c r="A7146" s="0" t="n">
        <v>7145</v>
      </c>
      <c r="B7146" s="18" t="n">
        <v>606078.236266196</v>
      </c>
      <c r="C7146" s="18" t="n">
        <v>0</v>
      </c>
      <c r="D7146" s="0" t="n">
        <v>0</v>
      </c>
      <c r="E7146" s="19" t="n">
        <v>34.8333333333333</v>
      </c>
    </row>
    <row r="7147" customFormat="false" ht="15" hidden="false" customHeight="false" outlineLevel="0" collapsed="false">
      <c r="A7147" s="0" t="n">
        <v>7146</v>
      </c>
      <c r="B7147" s="18" t="n">
        <v>590168.653590461</v>
      </c>
      <c r="C7147" s="18" t="n">
        <v>0</v>
      </c>
      <c r="D7147" s="0" t="n">
        <v>0</v>
      </c>
      <c r="E7147" s="19" t="n">
        <v>40.3333333333333</v>
      </c>
    </row>
    <row r="7148" customFormat="false" ht="15" hidden="false" customHeight="false" outlineLevel="0" collapsed="false">
      <c r="A7148" s="0" t="n">
        <v>7147</v>
      </c>
      <c r="B7148" s="18" t="n">
        <v>476552.608781841</v>
      </c>
      <c r="C7148" s="18" t="n">
        <v>0</v>
      </c>
      <c r="D7148" s="0" t="n">
        <v>0</v>
      </c>
      <c r="E7148" s="19" t="n">
        <v>36.75</v>
      </c>
    </row>
    <row r="7149" customFormat="false" ht="15" hidden="false" customHeight="false" outlineLevel="0" collapsed="false">
      <c r="A7149" s="0" t="n">
        <v>7148</v>
      </c>
      <c r="B7149" s="18" t="n">
        <v>332708.939488387</v>
      </c>
      <c r="C7149" s="18" t="n">
        <v>0</v>
      </c>
      <c r="D7149" s="0" t="n">
        <v>0</v>
      </c>
      <c r="E7149" s="19" t="n">
        <v>32.3333333333333</v>
      </c>
    </row>
    <row r="7150" customFormat="false" ht="15" hidden="false" customHeight="false" outlineLevel="0" collapsed="false">
      <c r="A7150" s="0" t="n">
        <v>7149</v>
      </c>
      <c r="B7150" s="18" t="n">
        <v>2341936.22172303</v>
      </c>
      <c r="C7150" s="18" t="n">
        <v>11423092.4223018</v>
      </c>
      <c r="D7150" s="0" t="n">
        <v>1</v>
      </c>
    </row>
    <row r="7151" customFormat="false" ht="15" hidden="false" customHeight="false" outlineLevel="0" collapsed="false">
      <c r="A7151" s="0" t="n">
        <v>7150</v>
      </c>
      <c r="B7151" s="18" t="n">
        <v>444931.803861401</v>
      </c>
      <c r="C7151" s="18" t="n">
        <v>0</v>
      </c>
      <c r="D7151" s="0" t="n">
        <v>0</v>
      </c>
      <c r="E7151" s="19" t="n">
        <v>37.6666666666667</v>
      </c>
    </row>
    <row r="7152" customFormat="false" ht="15" hidden="false" customHeight="false" outlineLevel="0" collapsed="false">
      <c r="A7152" s="0" t="n">
        <v>7151</v>
      </c>
      <c r="B7152" s="18" t="n">
        <v>684275.684311581</v>
      </c>
      <c r="C7152" s="18" t="n">
        <v>0</v>
      </c>
      <c r="D7152" s="0" t="n">
        <v>0</v>
      </c>
      <c r="E7152" s="19" t="n">
        <v>41.9166666666667</v>
      </c>
    </row>
    <row r="7153" customFormat="false" ht="15" hidden="false" customHeight="false" outlineLevel="0" collapsed="false">
      <c r="A7153" s="0" t="n">
        <v>7152</v>
      </c>
      <c r="B7153" s="18" t="n">
        <v>636899.55165471</v>
      </c>
      <c r="C7153" s="18" t="n">
        <v>0</v>
      </c>
      <c r="D7153" s="0" t="n">
        <v>0</v>
      </c>
      <c r="E7153" s="19" t="n">
        <v>40.6666666666667</v>
      </c>
    </row>
    <row r="7154" customFormat="false" ht="15" hidden="false" customHeight="false" outlineLevel="0" collapsed="false">
      <c r="A7154" s="0" t="n">
        <v>7153</v>
      </c>
      <c r="B7154" s="18" t="n">
        <v>1204017.01573019</v>
      </c>
      <c r="C7154" s="18" t="n">
        <v>11643495.0504042</v>
      </c>
      <c r="D7154" s="0" t="n">
        <v>1</v>
      </c>
    </row>
    <row r="7155" customFormat="false" ht="15" hidden="false" customHeight="false" outlineLevel="0" collapsed="false">
      <c r="A7155" s="0" t="n">
        <v>7154</v>
      </c>
      <c r="B7155" s="18" t="n">
        <v>1395713.26912629</v>
      </c>
      <c r="C7155" s="18" t="n">
        <v>0</v>
      </c>
      <c r="D7155" s="0" t="n">
        <v>0</v>
      </c>
      <c r="E7155" s="19" t="n">
        <v>41.1666666666667</v>
      </c>
    </row>
    <row r="7156" customFormat="false" ht="15" hidden="false" customHeight="false" outlineLevel="0" collapsed="false">
      <c r="A7156" s="0" t="n">
        <v>7155</v>
      </c>
      <c r="B7156" s="18" t="n">
        <v>875850.710981969</v>
      </c>
      <c r="C7156" s="18" t="n">
        <v>0</v>
      </c>
      <c r="D7156" s="0" t="n">
        <v>0</v>
      </c>
      <c r="E7156" s="19" t="n">
        <v>50.0833333333333</v>
      </c>
    </row>
    <row r="7157" customFormat="false" ht="15" hidden="false" customHeight="false" outlineLevel="0" collapsed="false">
      <c r="A7157" s="0" t="n">
        <v>7156</v>
      </c>
      <c r="B7157" s="18" t="n">
        <v>676144.863676986</v>
      </c>
      <c r="C7157" s="18" t="n">
        <v>0</v>
      </c>
      <c r="D7157" s="0" t="n">
        <v>0</v>
      </c>
      <c r="E7157" s="19" t="n">
        <v>38.75</v>
      </c>
    </row>
    <row r="7158" customFormat="false" ht="15" hidden="false" customHeight="false" outlineLevel="0" collapsed="false">
      <c r="A7158" s="0" t="n">
        <v>7157</v>
      </c>
      <c r="B7158" s="18" t="n">
        <v>282754.155282851</v>
      </c>
      <c r="C7158" s="18" t="n">
        <v>0</v>
      </c>
      <c r="D7158" s="0" t="n">
        <v>0</v>
      </c>
      <c r="E7158" s="19" t="n">
        <v>31.75</v>
      </c>
    </row>
    <row r="7159" customFormat="false" ht="15" hidden="false" customHeight="false" outlineLevel="0" collapsed="false">
      <c r="A7159" s="0" t="n">
        <v>7158</v>
      </c>
      <c r="B7159" s="18" t="n">
        <v>603416.85553598</v>
      </c>
      <c r="C7159" s="18" t="n">
        <v>0</v>
      </c>
      <c r="D7159" s="0" t="n">
        <v>0</v>
      </c>
      <c r="E7159" s="19" t="n">
        <v>39.5833333333333</v>
      </c>
    </row>
    <row r="7160" customFormat="false" ht="15" hidden="false" customHeight="false" outlineLevel="0" collapsed="false">
      <c r="A7160" s="0" t="n">
        <v>7159</v>
      </c>
      <c r="B7160" s="18" t="n">
        <v>600805.65858284</v>
      </c>
      <c r="C7160" s="18" t="n">
        <v>0</v>
      </c>
      <c r="D7160" s="0" t="n">
        <v>0</v>
      </c>
      <c r="E7160" s="19" t="n">
        <v>35.8333333333333</v>
      </c>
    </row>
    <row r="7161" customFormat="false" ht="15" hidden="false" customHeight="false" outlineLevel="0" collapsed="false">
      <c r="A7161" s="0" t="n">
        <v>7160</v>
      </c>
      <c r="B7161" s="18" t="n">
        <v>725308.565470828</v>
      </c>
      <c r="C7161" s="18" t="n">
        <v>0</v>
      </c>
      <c r="D7161" s="0" t="n">
        <v>0</v>
      </c>
      <c r="E7161" s="19" t="n">
        <v>39</v>
      </c>
    </row>
    <row r="7162" customFormat="false" ht="15" hidden="false" customHeight="false" outlineLevel="0" collapsed="false">
      <c r="A7162" s="0" t="n">
        <v>7161</v>
      </c>
      <c r="B7162" s="18" t="n">
        <v>759919.562485491</v>
      </c>
      <c r="C7162" s="18" t="n">
        <v>0</v>
      </c>
      <c r="D7162" s="0" t="n">
        <v>0</v>
      </c>
      <c r="E7162" s="19" t="n">
        <v>43.5</v>
      </c>
    </row>
    <row r="7163" customFormat="false" ht="15" hidden="false" customHeight="false" outlineLevel="0" collapsed="false">
      <c r="A7163" s="0" t="n">
        <v>7162</v>
      </c>
      <c r="B7163" s="18" t="n">
        <v>778263.893098333</v>
      </c>
      <c r="C7163" s="18" t="n">
        <v>0</v>
      </c>
      <c r="D7163" s="0" t="n">
        <v>0</v>
      </c>
      <c r="E7163" s="19" t="n">
        <v>39.4166666666667</v>
      </c>
    </row>
    <row r="7164" customFormat="false" ht="15" hidden="false" customHeight="false" outlineLevel="0" collapsed="false">
      <c r="A7164" s="0" t="n">
        <v>7163</v>
      </c>
      <c r="B7164" s="18" t="n">
        <v>513754.76460398</v>
      </c>
      <c r="C7164" s="18" t="n">
        <v>0</v>
      </c>
      <c r="D7164" s="0" t="n">
        <v>0</v>
      </c>
      <c r="E7164" s="19" t="n">
        <v>39.0833333333333</v>
      </c>
    </row>
    <row r="7165" customFormat="false" ht="15" hidden="false" customHeight="false" outlineLevel="0" collapsed="false">
      <c r="A7165" s="0" t="n">
        <v>7164</v>
      </c>
      <c r="B7165" s="18" t="n">
        <v>413033.898468177</v>
      </c>
      <c r="C7165" s="18" t="n">
        <v>0</v>
      </c>
      <c r="D7165" s="0" t="n">
        <v>0</v>
      </c>
      <c r="E7165" s="19" t="n">
        <v>30.25</v>
      </c>
    </row>
    <row r="7166" customFormat="false" ht="15" hidden="false" customHeight="false" outlineLevel="0" collapsed="false">
      <c r="A7166" s="0" t="n">
        <v>7165</v>
      </c>
      <c r="B7166" s="18" t="n">
        <v>990730.3082008</v>
      </c>
      <c r="C7166" s="18" t="n">
        <v>0</v>
      </c>
      <c r="D7166" s="0" t="n">
        <v>0</v>
      </c>
      <c r="E7166" s="19" t="n">
        <v>49.5</v>
      </c>
    </row>
    <row r="7167" customFormat="false" ht="15" hidden="false" customHeight="false" outlineLevel="0" collapsed="false">
      <c r="A7167" s="0" t="n">
        <v>7166</v>
      </c>
      <c r="B7167" s="18" t="n">
        <v>1470181.97404742</v>
      </c>
      <c r="C7167" s="18" t="n">
        <v>1639293.38268563</v>
      </c>
      <c r="D7167" s="0" t="n">
        <v>1</v>
      </c>
    </row>
    <row r="7168" customFormat="false" ht="15" hidden="false" customHeight="false" outlineLevel="0" collapsed="false">
      <c r="A7168" s="0" t="n">
        <v>7167</v>
      </c>
      <c r="B7168" s="18" t="n">
        <v>584602.897305348</v>
      </c>
      <c r="C7168" s="18" t="n">
        <v>0</v>
      </c>
      <c r="D7168" s="0" t="n">
        <v>0</v>
      </c>
      <c r="E7168" s="19" t="n">
        <v>37.8333333333333</v>
      </c>
    </row>
    <row r="7169" customFormat="false" ht="15" hidden="false" customHeight="false" outlineLevel="0" collapsed="false">
      <c r="A7169" s="0" t="n">
        <v>7168</v>
      </c>
      <c r="B7169" s="18" t="n">
        <v>668671.10048882</v>
      </c>
      <c r="C7169" s="18" t="n">
        <v>0</v>
      </c>
      <c r="D7169" s="0" t="n">
        <v>0</v>
      </c>
      <c r="E7169" s="19" t="n">
        <v>39.3333333333333</v>
      </c>
    </row>
    <row r="7170" customFormat="false" ht="15" hidden="false" customHeight="false" outlineLevel="0" collapsed="false">
      <c r="A7170" s="0" t="n">
        <v>7169</v>
      </c>
      <c r="B7170" s="18" t="n">
        <v>1198148.84285337</v>
      </c>
      <c r="C7170" s="18" t="n">
        <v>2089989.84995862</v>
      </c>
      <c r="D7170" s="0" t="n">
        <v>1</v>
      </c>
    </row>
    <row r="7171" customFormat="false" ht="15" hidden="false" customHeight="false" outlineLevel="0" collapsed="false">
      <c r="A7171" s="0" t="n">
        <v>7170</v>
      </c>
      <c r="B7171" s="18" t="n">
        <v>1091230.01727249</v>
      </c>
      <c r="C7171" s="18" t="n">
        <v>3240252.7638707</v>
      </c>
      <c r="D7171" s="0" t="n">
        <v>1</v>
      </c>
    </row>
    <row r="7172" customFormat="false" ht="15" hidden="false" customHeight="false" outlineLevel="0" collapsed="false">
      <c r="A7172" s="0" t="n">
        <v>7171</v>
      </c>
      <c r="B7172" s="18" t="n">
        <v>654039.295332045</v>
      </c>
      <c r="C7172" s="18" t="n">
        <v>0</v>
      </c>
      <c r="D7172" s="0" t="n">
        <v>0</v>
      </c>
      <c r="E7172" s="19" t="n">
        <v>37.0833333333333</v>
      </c>
    </row>
    <row r="7173" customFormat="false" ht="15" hidden="false" customHeight="false" outlineLevel="0" collapsed="false">
      <c r="A7173" s="0" t="n">
        <v>7172</v>
      </c>
      <c r="B7173" s="18" t="n">
        <v>545664.355676068</v>
      </c>
      <c r="C7173" s="18" t="n">
        <v>0</v>
      </c>
      <c r="D7173" s="0" t="n">
        <v>0</v>
      </c>
      <c r="E7173" s="19" t="n">
        <v>37.5</v>
      </c>
    </row>
    <row r="7174" customFormat="false" ht="15" hidden="false" customHeight="false" outlineLevel="0" collapsed="false">
      <c r="A7174" s="0" t="n">
        <v>7173</v>
      </c>
      <c r="B7174" s="18" t="n">
        <v>675742.273677087</v>
      </c>
      <c r="C7174" s="18" t="n">
        <v>0</v>
      </c>
      <c r="D7174" s="0" t="n">
        <v>0</v>
      </c>
      <c r="E7174" s="19" t="n">
        <v>46.4166666666667</v>
      </c>
    </row>
    <row r="7175" customFormat="false" ht="15" hidden="false" customHeight="false" outlineLevel="0" collapsed="false">
      <c r="A7175" s="0" t="n">
        <v>7174</v>
      </c>
      <c r="B7175" s="18" t="n">
        <v>1242701.90590113</v>
      </c>
      <c r="C7175" s="18" t="n">
        <v>0</v>
      </c>
      <c r="D7175" s="0" t="n">
        <v>0</v>
      </c>
      <c r="E7175" s="19" t="n">
        <v>46.6666666666667</v>
      </c>
    </row>
    <row r="7176" customFormat="false" ht="15" hidden="false" customHeight="false" outlineLevel="0" collapsed="false">
      <c r="A7176" s="0" t="n">
        <v>7175</v>
      </c>
      <c r="B7176" s="18" t="n">
        <v>1101652.52523952</v>
      </c>
      <c r="C7176" s="18" t="n">
        <v>0</v>
      </c>
      <c r="D7176" s="0" t="n">
        <v>0</v>
      </c>
      <c r="E7176" s="19" t="n">
        <v>49.6666666666667</v>
      </c>
    </row>
    <row r="7177" customFormat="false" ht="15" hidden="false" customHeight="false" outlineLevel="0" collapsed="false">
      <c r="A7177" s="0" t="n">
        <v>7176</v>
      </c>
      <c r="B7177" s="18" t="n">
        <v>353412.505501507</v>
      </c>
      <c r="C7177" s="18" t="n">
        <v>0</v>
      </c>
      <c r="D7177" s="0" t="n">
        <v>0</v>
      </c>
      <c r="E7177" s="19" t="n">
        <v>31.25</v>
      </c>
    </row>
    <row r="7178" customFormat="false" ht="15" hidden="false" customHeight="false" outlineLevel="0" collapsed="false">
      <c r="A7178" s="0" t="n">
        <v>7177</v>
      </c>
      <c r="B7178" s="18" t="n">
        <v>425448.933599593</v>
      </c>
      <c r="C7178" s="18" t="n">
        <v>0</v>
      </c>
      <c r="D7178" s="0" t="n">
        <v>0</v>
      </c>
      <c r="E7178" s="19" t="n">
        <v>29.4166666666667</v>
      </c>
    </row>
    <row r="7179" customFormat="false" ht="15" hidden="false" customHeight="false" outlineLevel="0" collapsed="false">
      <c r="A7179" s="0" t="n">
        <v>7178</v>
      </c>
      <c r="B7179" s="18" t="n">
        <v>534348.588599863</v>
      </c>
      <c r="C7179" s="18" t="n">
        <v>0</v>
      </c>
      <c r="D7179" s="0" t="n">
        <v>0</v>
      </c>
      <c r="E7179" s="19" t="n">
        <v>36.5833333333333</v>
      </c>
    </row>
    <row r="7180" customFormat="false" ht="15" hidden="false" customHeight="false" outlineLevel="0" collapsed="false">
      <c r="A7180" s="0" t="n">
        <v>7179</v>
      </c>
      <c r="B7180" s="18" t="n">
        <v>1154343.52342855</v>
      </c>
      <c r="C7180" s="18" t="n">
        <v>0</v>
      </c>
      <c r="D7180" s="0" t="n">
        <v>0</v>
      </c>
      <c r="E7180" s="19" t="n">
        <v>51.0833333333333</v>
      </c>
    </row>
    <row r="7181" customFormat="false" ht="15" hidden="false" customHeight="false" outlineLevel="0" collapsed="false">
      <c r="A7181" s="0" t="n">
        <v>7180</v>
      </c>
      <c r="B7181" s="18" t="n">
        <v>760848.433491451</v>
      </c>
      <c r="C7181" s="18" t="n">
        <v>0</v>
      </c>
      <c r="D7181" s="0" t="n">
        <v>0</v>
      </c>
      <c r="E7181" s="19" t="n">
        <v>46.8333333333333</v>
      </c>
    </row>
    <row r="7182" customFormat="false" ht="15" hidden="false" customHeight="false" outlineLevel="0" collapsed="false">
      <c r="A7182" s="0" t="n">
        <v>7181</v>
      </c>
      <c r="B7182" s="18" t="n">
        <v>376224.425572342</v>
      </c>
      <c r="C7182" s="18" t="n">
        <v>0</v>
      </c>
      <c r="D7182" s="0" t="n">
        <v>0</v>
      </c>
      <c r="E7182" s="19" t="n">
        <v>31.4166666666667</v>
      </c>
    </row>
    <row r="7183" customFormat="false" ht="15" hidden="false" customHeight="false" outlineLevel="0" collapsed="false">
      <c r="A7183" s="0" t="n">
        <v>7182</v>
      </c>
      <c r="B7183" s="18" t="n">
        <v>252124.338479093</v>
      </c>
      <c r="C7183" s="18" t="n">
        <v>0</v>
      </c>
      <c r="D7183" s="0" t="n">
        <v>0</v>
      </c>
      <c r="E7183" s="19" t="n">
        <v>29.1666666666667</v>
      </c>
    </row>
    <row r="7184" customFormat="false" ht="15" hidden="false" customHeight="false" outlineLevel="0" collapsed="false">
      <c r="A7184" s="0" t="n">
        <v>7183</v>
      </c>
      <c r="B7184" s="18" t="n">
        <v>2867877.55163563</v>
      </c>
      <c r="C7184" s="18" t="n">
        <v>4929562.42152658</v>
      </c>
      <c r="D7184" s="0" t="n">
        <v>1</v>
      </c>
    </row>
    <row r="7185" customFormat="false" ht="15" hidden="false" customHeight="false" outlineLevel="0" collapsed="false">
      <c r="A7185" s="0" t="n">
        <v>7184</v>
      </c>
      <c r="B7185" s="18" t="n">
        <v>2369046.02160403</v>
      </c>
      <c r="C7185" s="18" t="n">
        <v>5418586.73747209</v>
      </c>
      <c r="D7185" s="0" t="n">
        <v>1</v>
      </c>
    </row>
    <row r="7186" customFormat="false" ht="15" hidden="false" customHeight="false" outlineLevel="0" collapsed="false">
      <c r="A7186" s="0" t="n">
        <v>7185</v>
      </c>
      <c r="B7186" s="18" t="n">
        <v>344479.41992221</v>
      </c>
      <c r="C7186" s="18" t="n">
        <v>0</v>
      </c>
      <c r="D7186" s="0" t="n">
        <v>0</v>
      </c>
      <c r="E7186" s="19" t="n">
        <v>30.8333333333333</v>
      </c>
    </row>
    <row r="7187" customFormat="false" ht="15" hidden="false" customHeight="false" outlineLevel="0" collapsed="false">
      <c r="A7187" s="0" t="n">
        <v>7186</v>
      </c>
      <c r="B7187" s="18" t="n">
        <v>854925.031648795</v>
      </c>
      <c r="C7187" s="18" t="n">
        <v>0</v>
      </c>
      <c r="D7187" s="0" t="n">
        <v>0</v>
      </c>
      <c r="E7187" s="19" t="n">
        <v>44.9166666666667</v>
      </c>
    </row>
    <row r="7188" customFormat="false" ht="15" hidden="false" customHeight="false" outlineLevel="0" collapsed="false">
      <c r="A7188" s="0" t="n">
        <v>7187</v>
      </c>
      <c r="B7188" s="18" t="n">
        <v>1551866.67233641</v>
      </c>
      <c r="C7188" s="18" t="n">
        <v>11500324.3369894</v>
      </c>
      <c r="D7188" s="0" t="n">
        <v>1</v>
      </c>
    </row>
    <row r="7189" customFormat="false" ht="15" hidden="false" customHeight="false" outlineLevel="0" collapsed="false">
      <c r="A7189" s="0" t="n">
        <v>7188</v>
      </c>
      <c r="B7189" s="18" t="n">
        <v>1151399.30558046</v>
      </c>
      <c r="C7189" s="18" t="n">
        <v>3462143.97457753</v>
      </c>
      <c r="D7189" s="0" t="n">
        <v>1</v>
      </c>
    </row>
    <row r="7190" customFormat="false" ht="15" hidden="false" customHeight="false" outlineLevel="0" collapsed="false">
      <c r="A7190" s="0" t="n">
        <v>7189</v>
      </c>
      <c r="B7190" s="18" t="n">
        <v>839437.301067283</v>
      </c>
      <c r="C7190" s="18" t="n">
        <v>0</v>
      </c>
      <c r="D7190" s="0" t="n">
        <v>0</v>
      </c>
      <c r="E7190" s="19" t="n">
        <v>38.4166666666667</v>
      </c>
    </row>
    <row r="7191" customFormat="false" ht="15" hidden="false" customHeight="false" outlineLevel="0" collapsed="false">
      <c r="A7191" s="0" t="n">
        <v>7190</v>
      </c>
      <c r="B7191" s="18" t="n">
        <v>758997.773872906</v>
      </c>
      <c r="C7191" s="18" t="n">
        <v>0</v>
      </c>
      <c r="D7191" s="0" t="n">
        <v>0</v>
      </c>
      <c r="E7191" s="19" t="n">
        <v>45.5</v>
      </c>
    </row>
    <row r="7192" customFormat="false" ht="15" hidden="false" customHeight="false" outlineLevel="0" collapsed="false">
      <c r="A7192" s="0" t="n">
        <v>7191</v>
      </c>
      <c r="B7192" s="18" t="n">
        <v>597946.317712088</v>
      </c>
      <c r="C7192" s="18" t="n">
        <v>0</v>
      </c>
      <c r="D7192" s="0" t="n">
        <v>0</v>
      </c>
      <c r="E7192" s="19" t="n">
        <v>54.6666666666667</v>
      </c>
    </row>
    <row r="7193" customFormat="false" ht="15" hidden="false" customHeight="false" outlineLevel="0" collapsed="false">
      <c r="A7193" s="0" t="n">
        <v>7192</v>
      </c>
      <c r="B7193" s="18" t="n">
        <v>1623473.99145483</v>
      </c>
      <c r="C7193" s="18" t="n">
        <v>5281642.4570307</v>
      </c>
      <c r="D7193" s="0" t="n">
        <v>1</v>
      </c>
    </row>
    <row r="7194" customFormat="false" ht="15" hidden="false" customHeight="false" outlineLevel="0" collapsed="false">
      <c r="A7194" s="0" t="n">
        <v>7193</v>
      </c>
      <c r="B7194" s="18" t="n">
        <v>518234.910377599</v>
      </c>
      <c r="C7194" s="18" t="n">
        <v>0</v>
      </c>
      <c r="D7194" s="0" t="n">
        <v>0</v>
      </c>
      <c r="E7194" s="19" t="n">
        <v>36</v>
      </c>
    </row>
    <row r="7195" customFormat="false" ht="15" hidden="false" customHeight="false" outlineLevel="0" collapsed="false">
      <c r="A7195" s="0" t="n">
        <v>7194</v>
      </c>
      <c r="B7195" s="18" t="n">
        <v>1375385.04951079</v>
      </c>
      <c r="C7195" s="18" t="n">
        <v>5735810.29091835</v>
      </c>
      <c r="D7195" s="0" t="n">
        <v>1</v>
      </c>
    </row>
    <row r="7196" customFormat="false" ht="15" hidden="false" customHeight="false" outlineLevel="0" collapsed="false">
      <c r="A7196" s="0" t="n">
        <v>7195</v>
      </c>
      <c r="B7196" s="18" t="n">
        <v>415486.614634017</v>
      </c>
      <c r="C7196" s="18" t="n">
        <v>0</v>
      </c>
      <c r="D7196" s="0" t="n">
        <v>0</v>
      </c>
      <c r="E7196" s="19" t="n">
        <v>32.5</v>
      </c>
    </row>
    <row r="7197" customFormat="false" ht="15" hidden="false" customHeight="false" outlineLevel="0" collapsed="false">
      <c r="A7197" s="0" t="n">
        <v>7196</v>
      </c>
      <c r="B7197" s="18" t="n">
        <v>821625.20325403</v>
      </c>
      <c r="C7197" s="18" t="n">
        <v>0</v>
      </c>
      <c r="D7197" s="0" t="n">
        <v>0</v>
      </c>
      <c r="E7197" s="19" t="n">
        <v>45.9166666666667</v>
      </c>
    </row>
    <row r="7198" customFormat="false" ht="15" hidden="false" customHeight="false" outlineLevel="0" collapsed="false">
      <c r="A7198" s="0" t="n">
        <v>7197</v>
      </c>
      <c r="B7198" s="18" t="n">
        <v>603436.066822915</v>
      </c>
      <c r="C7198" s="18" t="n">
        <v>0</v>
      </c>
      <c r="D7198" s="0" t="n">
        <v>0</v>
      </c>
      <c r="E7198" s="19" t="n">
        <v>31.8333333333333</v>
      </c>
    </row>
    <row r="7199" customFormat="false" ht="15" hidden="false" customHeight="false" outlineLevel="0" collapsed="false">
      <c r="A7199" s="0" t="n">
        <v>7198</v>
      </c>
      <c r="B7199" s="18" t="n">
        <v>815210.319199835</v>
      </c>
      <c r="C7199" s="18" t="n">
        <v>0</v>
      </c>
      <c r="D7199" s="0" t="n">
        <v>0</v>
      </c>
      <c r="E7199" s="19" t="n">
        <v>41.5</v>
      </c>
    </row>
    <row r="7200" customFormat="false" ht="15" hidden="false" customHeight="false" outlineLevel="0" collapsed="false">
      <c r="A7200" s="0" t="n">
        <v>7199</v>
      </c>
      <c r="B7200" s="18" t="n">
        <v>464118.329398576</v>
      </c>
      <c r="C7200" s="18" t="n">
        <v>0</v>
      </c>
      <c r="D7200" s="0" t="n">
        <v>0</v>
      </c>
      <c r="E7200" s="19" t="n">
        <v>53.0833333333333</v>
      </c>
    </row>
    <row r="7201" customFormat="false" ht="15" hidden="false" customHeight="false" outlineLevel="0" collapsed="false">
      <c r="A7201" s="0" t="n">
        <v>7200</v>
      </c>
      <c r="B7201" s="18" t="n">
        <v>522727.697325801</v>
      </c>
      <c r="C7201" s="18" t="n">
        <v>0</v>
      </c>
      <c r="D7201" s="0" t="n">
        <v>0</v>
      </c>
      <c r="E7201" s="19" t="n">
        <v>34.1666666666667</v>
      </c>
    </row>
    <row r="7202" customFormat="false" ht="15" hidden="false" customHeight="false" outlineLevel="0" collapsed="false">
      <c r="A7202" s="0" t="n">
        <v>7201</v>
      </c>
      <c r="B7202" s="18" t="n">
        <v>583158.803102348</v>
      </c>
      <c r="C7202" s="18" t="n">
        <v>0</v>
      </c>
      <c r="D7202" s="0" t="n">
        <v>0</v>
      </c>
      <c r="E7202" s="19" t="n">
        <v>35.3333333333333</v>
      </c>
    </row>
    <row r="7203" customFormat="false" ht="15" hidden="false" customHeight="false" outlineLevel="0" collapsed="false">
      <c r="A7203" s="0" t="n">
        <v>7202</v>
      </c>
      <c r="B7203" s="18" t="n">
        <v>1041621.69258169</v>
      </c>
      <c r="C7203" s="18" t="n">
        <v>0</v>
      </c>
      <c r="D7203" s="0" t="n">
        <v>0</v>
      </c>
      <c r="E7203" s="19" t="n">
        <v>39.5</v>
      </c>
    </row>
    <row r="7204" customFormat="false" ht="15" hidden="false" customHeight="false" outlineLevel="0" collapsed="false">
      <c r="A7204" s="0" t="n">
        <v>7203</v>
      </c>
      <c r="B7204" s="18" t="n">
        <v>1611567.46749484</v>
      </c>
      <c r="C7204" s="18" t="n">
        <v>0</v>
      </c>
      <c r="D7204" s="0" t="n">
        <v>0</v>
      </c>
      <c r="E7204" s="19" t="n">
        <v>49.1666666666667</v>
      </c>
    </row>
    <row r="7205" customFormat="false" ht="15" hidden="false" customHeight="false" outlineLevel="0" collapsed="false">
      <c r="A7205" s="0" t="n">
        <v>7204</v>
      </c>
      <c r="B7205" s="18" t="n">
        <v>721318.051516709</v>
      </c>
      <c r="C7205" s="18" t="n">
        <v>0</v>
      </c>
      <c r="D7205" s="0" t="n">
        <v>0</v>
      </c>
      <c r="E7205" s="19" t="n">
        <v>41.3333333333333</v>
      </c>
    </row>
    <row r="7206" customFormat="false" ht="15" hidden="false" customHeight="false" outlineLevel="0" collapsed="false">
      <c r="A7206" s="0" t="n">
        <v>7205</v>
      </c>
      <c r="B7206" s="18" t="n">
        <v>840555.449875441</v>
      </c>
      <c r="C7206" s="18" t="n">
        <v>0</v>
      </c>
      <c r="D7206" s="0" t="n">
        <v>0</v>
      </c>
      <c r="E7206" s="19" t="n">
        <v>37.8333333333333</v>
      </c>
    </row>
    <row r="7207" customFormat="false" ht="15" hidden="false" customHeight="false" outlineLevel="0" collapsed="false">
      <c r="A7207" s="0" t="n">
        <v>7206</v>
      </c>
      <c r="B7207" s="18" t="n">
        <v>697073.334980879</v>
      </c>
      <c r="C7207" s="18" t="n">
        <v>0</v>
      </c>
      <c r="D7207" s="0" t="n">
        <v>0</v>
      </c>
      <c r="E7207" s="19" t="n">
        <v>41.3333333333333</v>
      </c>
    </row>
    <row r="7208" customFormat="false" ht="15" hidden="false" customHeight="false" outlineLevel="0" collapsed="false">
      <c r="A7208" s="0" t="n">
        <v>7207</v>
      </c>
      <c r="B7208" s="18" t="n">
        <v>1545532.34645536</v>
      </c>
      <c r="C7208" s="18" t="n">
        <v>0</v>
      </c>
      <c r="D7208" s="0" t="n">
        <v>0</v>
      </c>
      <c r="E7208" s="19" t="n">
        <v>48.5</v>
      </c>
    </row>
    <row r="7209" customFormat="false" ht="15" hidden="false" customHeight="false" outlineLevel="0" collapsed="false">
      <c r="A7209" s="0" t="n">
        <v>7208</v>
      </c>
      <c r="B7209" s="18" t="n">
        <v>1963587.6119253</v>
      </c>
      <c r="C7209" s="18" t="n">
        <v>1934537.12351218</v>
      </c>
      <c r="D7209" s="0" t="n">
        <v>1</v>
      </c>
    </row>
    <row r="7210" customFormat="false" ht="15" hidden="false" customHeight="false" outlineLevel="0" collapsed="false">
      <c r="A7210" s="0" t="n">
        <v>7209</v>
      </c>
      <c r="B7210" s="18" t="n">
        <v>1541517.22859458</v>
      </c>
      <c r="C7210" s="18" t="n">
        <v>6787735.43064897</v>
      </c>
      <c r="D7210" s="0" t="n">
        <v>1</v>
      </c>
    </row>
    <row r="7211" customFormat="false" ht="15" hidden="false" customHeight="false" outlineLevel="0" collapsed="false">
      <c r="A7211" s="0" t="n">
        <v>7210</v>
      </c>
      <c r="B7211" s="18" t="n">
        <v>2607355.24021905</v>
      </c>
      <c r="C7211" s="18" t="n">
        <v>6970311.93542421</v>
      </c>
      <c r="D7211" s="0" t="n">
        <v>1</v>
      </c>
    </row>
    <row r="7212" customFormat="false" ht="15" hidden="false" customHeight="false" outlineLevel="0" collapsed="false">
      <c r="A7212" s="0" t="n">
        <v>7211</v>
      </c>
      <c r="B7212" s="18" t="n">
        <v>1285434.46548866</v>
      </c>
      <c r="C7212" s="18" t="n">
        <v>7721445.43730687</v>
      </c>
      <c r="D7212" s="0" t="n">
        <v>1</v>
      </c>
    </row>
    <row r="7213" customFormat="false" ht="15" hidden="false" customHeight="false" outlineLevel="0" collapsed="false">
      <c r="A7213" s="0" t="n">
        <v>7212</v>
      </c>
      <c r="B7213" s="18" t="n">
        <v>1461496.51646901</v>
      </c>
      <c r="C7213" s="18" t="n">
        <v>0</v>
      </c>
      <c r="D7213" s="0" t="n">
        <v>0</v>
      </c>
      <c r="E7213" s="19" t="n">
        <v>39.3333333333333</v>
      </c>
    </row>
    <row r="7214" customFormat="false" ht="15" hidden="false" customHeight="false" outlineLevel="0" collapsed="false">
      <c r="A7214" s="0" t="n">
        <v>7213</v>
      </c>
      <c r="B7214" s="18" t="n">
        <v>443256.355776458</v>
      </c>
      <c r="C7214" s="18" t="n">
        <v>0</v>
      </c>
      <c r="D7214" s="0" t="n">
        <v>0</v>
      </c>
      <c r="E7214" s="19" t="n">
        <v>32.4166666666667</v>
      </c>
    </row>
    <row r="7215" customFormat="false" ht="15" hidden="false" customHeight="false" outlineLevel="0" collapsed="false">
      <c r="A7215" s="0" t="n">
        <v>7214</v>
      </c>
      <c r="B7215" s="18" t="n">
        <v>738693.890666087</v>
      </c>
      <c r="C7215" s="18" t="n">
        <v>0</v>
      </c>
      <c r="D7215" s="0" t="n">
        <v>0</v>
      </c>
      <c r="E7215" s="19" t="n">
        <v>35.5833333333333</v>
      </c>
    </row>
    <row r="7216" customFormat="false" ht="15" hidden="false" customHeight="false" outlineLevel="0" collapsed="false">
      <c r="A7216" s="0" t="n">
        <v>7215</v>
      </c>
      <c r="B7216" s="18" t="n">
        <v>739362.580618201</v>
      </c>
      <c r="C7216" s="18" t="n">
        <v>0</v>
      </c>
      <c r="D7216" s="0" t="n">
        <v>0</v>
      </c>
      <c r="E7216" s="19" t="n">
        <v>43.9166666666667</v>
      </c>
    </row>
    <row r="7217" customFormat="false" ht="15" hidden="false" customHeight="false" outlineLevel="0" collapsed="false">
      <c r="A7217" s="0" t="n">
        <v>7216</v>
      </c>
      <c r="B7217" s="18" t="n">
        <v>1882782.20820414</v>
      </c>
      <c r="C7217" s="18" t="n">
        <v>5542574.05552979</v>
      </c>
      <c r="D7217" s="0" t="n">
        <v>1</v>
      </c>
    </row>
    <row r="7218" customFormat="false" ht="15" hidden="false" customHeight="false" outlineLevel="0" collapsed="false">
      <c r="A7218" s="0" t="n">
        <v>7217</v>
      </c>
      <c r="B7218" s="18" t="n">
        <v>1411043.7902738</v>
      </c>
      <c r="C7218" s="18" t="n">
        <v>2063842.49520514</v>
      </c>
      <c r="D7218" s="0" t="n">
        <v>1</v>
      </c>
    </row>
    <row r="7219" customFormat="false" ht="15" hidden="false" customHeight="false" outlineLevel="0" collapsed="false">
      <c r="A7219" s="0" t="n">
        <v>7218</v>
      </c>
      <c r="B7219" s="18" t="n">
        <v>987087.79642453</v>
      </c>
      <c r="C7219" s="18" t="n">
        <v>1412772.04369004</v>
      </c>
      <c r="D7219" s="0" t="n">
        <v>1</v>
      </c>
    </row>
    <row r="7220" customFormat="false" ht="15" hidden="false" customHeight="false" outlineLevel="0" collapsed="false">
      <c r="A7220" s="0" t="n">
        <v>7219</v>
      </c>
      <c r="B7220" s="18" t="n">
        <v>717955.739111933</v>
      </c>
      <c r="C7220" s="18" t="n">
        <v>0</v>
      </c>
      <c r="D7220" s="0" t="n">
        <v>0</v>
      </c>
      <c r="E7220" s="19" t="n">
        <v>32.4166666666667</v>
      </c>
    </row>
    <row r="7221" customFormat="false" ht="15" hidden="false" customHeight="false" outlineLevel="0" collapsed="false">
      <c r="A7221" s="0" t="n">
        <v>7220</v>
      </c>
      <c r="B7221" s="18" t="n">
        <v>675247.679433795</v>
      </c>
      <c r="C7221" s="18" t="n">
        <v>0</v>
      </c>
      <c r="D7221" s="0" t="n">
        <v>0</v>
      </c>
      <c r="E7221" s="19" t="n">
        <v>39.3333333333333</v>
      </c>
    </row>
    <row r="7222" customFormat="false" ht="15" hidden="false" customHeight="false" outlineLevel="0" collapsed="false">
      <c r="A7222" s="0" t="n">
        <v>7221</v>
      </c>
      <c r="B7222" s="18" t="n">
        <v>2446184.99726514</v>
      </c>
      <c r="C7222" s="18" t="n">
        <v>26654631.9399682</v>
      </c>
      <c r="D7222" s="0" t="n">
        <v>1</v>
      </c>
    </row>
    <row r="7223" customFormat="false" ht="15" hidden="false" customHeight="false" outlineLevel="0" collapsed="false">
      <c r="A7223" s="0" t="n">
        <v>7222</v>
      </c>
      <c r="B7223" s="18" t="n">
        <v>1485010.90142995</v>
      </c>
      <c r="C7223" s="18" t="n">
        <v>0</v>
      </c>
      <c r="D7223" s="0" t="n">
        <v>0</v>
      </c>
      <c r="E7223" s="19" t="n">
        <v>54.3333333333333</v>
      </c>
    </row>
    <row r="7224" customFormat="false" ht="15" hidden="false" customHeight="false" outlineLevel="0" collapsed="false">
      <c r="A7224" s="0" t="n">
        <v>7223</v>
      </c>
      <c r="B7224" s="18" t="n">
        <v>398904.867548845</v>
      </c>
      <c r="C7224" s="18" t="n">
        <v>0</v>
      </c>
      <c r="D7224" s="0" t="n">
        <v>0</v>
      </c>
      <c r="E7224" s="19" t="n">
        <v>31.4166666666667</v>
      </c>
    </row>
    <row r="7225" customFormat="false" ht="15" hidden="false" customHeight="false" outlineLevel="0" collapsed="false">
      <c r="A7225" s="0" t="n">
        <v>7224</v>
      </c>
      <c r="B7225" s="18" t="n">
        <v>524879.180349993</v>
      </c>
      <c r="C7225" s="18" t="n">
        <v>0</v>
      </c>
      <c r="D7225" s="0" t="n">
        <v>0</v>
      </c>
      <c r="E7225" s="19" t="n">
        <v>35.75</v>
      </c>
    </row>
    <row r="7226" customFormat="false" ht="15" hidden="false" customHeight="false" outlineLevel="0" collapsed="false">
      <c r="A7226" s="0" t="n">
        <v>7225</v>
      </c>
      <c r="B7226" s="18" t="n">
        <v>2865439.58259331</v>
      </c>
      <c r="C7226" s="18" t="n">
        <v>3215595.23336535</v>
      </c>
      <c r="D7226" s="0" t="n">
        <v>1</v>
      </c>
    </row>
    <row r="7227" customFormat="false" ht="15" hidden="false" customHeight="false" outlineLevel="0" collapsed="false">
      <c r="A7227" s="0" t="n">
        <v>7226</v>
      </c>
      <c r="B7227" s="18" t="n">
        <v>813189.083592108</v>
      </c>
      <c r="C7227" s="18" t="n">
        <v>0</v>
      </c>
      <c r="D7227" s="0" t="n">
        <v>0</v>
      </c>
      <c r="E7227" s="19" t="n">
        <v>36.4166666666667</v>
      </c>
    </row>
    <row r="7228" customFormat="false" ht="15" hidden="false" customHeight="false" outlineLevel="0" collapsed="false">
      <c r="A7228" s="0" t="n">
        <v>7227</v>
      </c>
      <c r="B7228" s="18" t="n">
        <v>2039102.35300503</v>
      </c>
      <c r="C7228" s="18" t="n">
        <v>2129486.68751196</v>
      </c>
      <c r="D7228" s="0" t="n">
        <v>1</v>
      </c>
    </row>
    <row r="7229" customFormat="false" ht="15" hidden="false" customHeight="false" outlineLevel="0" collapsed="false">
      <c r="A7229" s="0" t="n">
        <v>7228</v>
      </c>
      <c r="B7229" s="18" t="n">
        <v>1162262.47525115</v>
      </c>
      <c r="C7229" s="18" t="n">
        <v>0</v>
      </c>
      <c r="D7229" s="0" t="n">
        <v>0</v>
      </c>
      <c r="E7229" s="19" t="n">
        <v>47.1666666666667</v>
      </c>
    </row>
    <row r="7230" customFormat="false" ht="15" hidden="false" customHeight="false" outlineLevel="0" collapsed="false">
      <c r="A7230" s="0" t="n">
        <v>7229</v>
      </c>
      <c r="B7230" s="18" t="n">
        <v>539412.704614093</v>
      </c>
      <c r="C7230" s="18" t="n">
        <v>0</v>
      </c>
      <c r="D7230" s="0" t="n">
        <v>0</v>
      </c>
      <c r="E7230" s="19" t="n">
        <v>33.1666666666667</v>
      </c>
    </row>
    <row r="7231" customFormat="false" ht="15" hidden="false" customHeight="false" outlineLevel="0" collapsed="false">
      <c r="A7231" s="0" t="n">
        <v>7230</v>
      </c>
      <c r="B7231" s="18" t="n">
        <v>874302.24933525</v>
      </c>
      <c r="C7231" s="18" t="n">
        <v>0</v>
      </c>
      <c r="D7231" s="0" t="n">
        <v>0</v>
      </c>
      <c r="E7231" s="19" t="n">
        <v>39.75</v>
      </c>
    </row>
    <row r="7232" customFormat="false" ht="15" hidden="false" customHeight="false" outlineLevel="0" collapsed="false">
      <c r="A7232" s="0" t="n">
        <v>7231</v>
      </c>
      <c r="B7232" s="18" t="n">
        <v>1385406.1392472</v>
      </c>
      <c r="C7232" s="18" t="n">
        <v>0</v>
      </c>
      <c r="D7232" s="0" t="n">
        <v>0</v>
      </c>
      <c r="E7232" s="19" t="n">
        <v>43.5</v>
      </c>
    </row>
    <row r="7233" customFormat="false" ht="15" hidden="false" customHeight="false" outlineLevel="0" collapsed="false">
      <c r="A7233" s="0" t="n">
        <v>7232</v>
      </c>
      <c r="B7233" s="18" t="n">
        <v>1090648.00752154</v>
      </c>
      <c r="C7233" s="18" t="n">
        <v>0</v>
      </c>
      <c r="D7233" s="0" t="n">
        <v>0</v>
      </c>
      <c r="E7233" s="19" t="n">
        <v>40.75</v>
      </c>
    </row>
    <row r="7234" customFormat="false" ht="15" hidden="false" customHeight="false" outlineLevel="0" collapsed="false">
      <c r="A7234" s="0" t="n">
        <v>7233</v>
      </c>
      <c r="B7234" s="18" t="n">
        <v>1394297.82655049</v>
      </c>
      <c r="C7234" s="18" t="n">
        <v>0</v>
      </c>
      <c r="D7234" s="0" t="n">
        <v>0</v>
      </c>
      <c r="E7234" s="19" t="n">
        <v>54.5</v>
      </c>
    </row>
    <row r="7235" customFormat="false" ht="15" hidden="false" customHeight="false" outlineLevel="0" collapsed="false">
      <c r="A7235" s="0" t="n">
        <v>7234</v>
      </c>
      <c r="B7235" s="18" t="n">
        <v>719924.957448964</v>
      </c>
      <c r="C7235" s="18" t="n">
        <v>0</v>
      </c>
      <c r="D7235" s="0" t="n">
        <v>0</v>
      </c>
      <c r="E7235" s="19" t="n">
        <v>34.0833333333333</v>
      </c>
    </row>
    <row r="7236" customFormat="false" ht="15" hidden="false" customHeight="false" outlineLevel="0" collapsed="false">
      <c r="A7236" s="0" t="n">
        <v>7235</v>
      </c>
      <c r="B7236" s="18" t="n">
        <v>2584462.09812547</v>
      </c>
      <c r="C7236" s="18" t="n">
        <v>24420931.587403</v>
      </c>
      <c r="D7236" s="0" t="n">
        <v>1</v>
      </c>
    </row>
    <row r="7237" customFormat="false" ht="15" hidden="false" customHeight="false" outlineLevel="0" collapsed="false">
      <c r="A7237" s="0" t="n">
        <v>7236</v>
      </c>
      <c r="B7237" s="18" t="n">
        <v>688944.243046653</v>
      </c>
      <c r="C7237" s="18" t="n">
        <v>0</v>
      </c>
      <c r="D7237" s="0" t="n">
        <v>0</v>
      </c>
      <c r="E7237" s="19" t="n">
        <v>36.0833333333333</v>
      </c>
    </row>
    <row r="7238" customFormat="false" ht="15" hidden="false" customHeight="false" outlineLevel="0" collapsed="false">
      <c r="A7238" s="0" t="n">
        <v>7237</v>
      </c>
      <c r="B7238" s="18" t="n">
        <v>756388.563467131</v>
      </c>
      <c r="C7238" s="18" t="n">
        <v>0</v>
      </c>
      <c r="D7238" s="0" t="n">
        <v>0</v>
      </c>
      <c r="E7238" s="19" t="n">
        <v>36.6666666666667</v>
      </c>
    </row>
    <row r="7239" customFormat="false" ht="15" hidden="false" customHeight="false" outlineLevel="0" collapsed="false">
      <c r="A7239" s="0" t="n">
        <v>7238</v>
      </c>
      <c r="B7239" s="18" t="n">
        <v>547878.383503082</v>
      </c>
      <c r="C7239" s="18" t="n">
        <v>0</v>
      </c>
      <c r="D7239" s="0" t="n">
        <v>0</v>
      </c>
      <c r="E7239" s="19" t="n">
        <v>35.25</v>
      </c>
    </row>
    <row r="7240" customFormat="false" ht="15" hidden="false" customHeight="false" outlineLevel="0" collapsed="false">
      <c r="A7240" s="0" t="n">
        <v>7239</v>
      </c>
      <c r="B7240" s="18" t="n">
        <v>483172.826851464</v>
      </c>
      <c r="C7240" s="18" t="n">
        <v>0</v>
      </c>
      <c r="D7240" s="0" t="n">
        <v>0</v>
      </c>
      <c r="E7240" s="19" t="n">
        <v>37.8333333333333</v>
      </c>
    </row>
    <row r="7241" customFormat="false" ht="15" hidden="false" customHeight="false" outlineLevel="0" collapsed="false">
      <c r="A7241" s="0" t="n">
        <v>7240</v>
      </c>
      <c r="B7241" s="18" t="n">
        <v>745133.543624718</v>
      </c>
      <c r="C7241" s="18" t="n">
        <v>0</v>
      </c>
      <c r="D7241" s="0" t="n">
        <v>0</v>
      </c>
      <c r="E7241" s="19" t="n">
        <v>38.6666666666667</v>
      </c>
    </row>
    <row r="7242" customFormat="false" ht="15" hidden="false" customHeight="false" outlineLevel="0" collapsed="false">
      <c r="A7242" s="0" t="n">
        <v>7241</v>
      </c>
      <c r="B7242" s="18" t="n">
        <v>2579457.47212098</v>
      </c>
      <c r="C7242" s="18" t="n">
        <v>25661717.2399096</v>
      </c>
      <c r="D7242" s="0" t="n">
        <v>1</v>
      </c>
    </row>
    <row r="7243" customFormat="false" ht="15" hidden="false" customHeight="false" outlineLevel="0" collapsed="false">
      <c r="A7243" s="0" t="n">
        <v>7242</v>
      </c>
      <c r="B7243" s="18" t="n">
        <v>376784.293529817</v>
      </c>
      <c r="C7243" s="18" t="n">
        <v>0</v>
      </c>
      <c r="D7243" s="0" t="n">
        <v>0</v>
      </c>
      <c r="E7243" s="19" t="n">
        <v>32.25</v>
      </c>
    </row>
    <row r="7244" customFormat="false" ht="15" hidden="false" customHeight="false" outlineLevel="0" collapsed="false">
      <c r="A7244" s="0" t="n">
        <v>7243</v>
      </c>
      <c r="B7244" s="18" t="n">
        <v>1491632.13597483</v>
      </c>
      <c r="C7244" s="18" t="n">
        <v>1994499.493155</v>
      </c>
      <c r="D7244" s="0" t="n">
        <v>1</v>
      </c>
    </row>
    <row r="7245" customFormat="false" ht="15" hidden="false" customHeight="false" outlineLevel="0" collapsed="false">
      <c r="A7245" s="0" t="n">
        <v>7244</v>
      </c>
      <c r="B7245" s="18" t="n">
        <v>551170.606611517</v>
      </c>
      <c r="C7245" s="18" t="n">
        <v>0</v>
      </c>
      <c r="D7245" s="0" t="n">
        <v>0</v>
      </c>
      <c r="E7245" s="19" t="n">
        <v>32.4166666666667</v>
      </c>
    </row>
    <row r="7246" customFormat="false" ht="15" hidden="false" customHeight="false" outlineLevel="0" collapsed="false">
      <c r="A7246" s="0" t="n">
        <v>7245</v>
      </c>
      <c r="B7246" s="18" t="n">
        <v>584515.530597508</v>
      </c>
      <c r="C7246" s="18" t="n">
        <v>0</v>
      </c>
      <c r="D7246" s="0" t="n">
        <v>0</v>
      </c>
      <c r="E7246" s="19" t="n">
        <v>40.6666666666667</v>
      </c>
    </row>
    <row r="7247" customFormat="false" ht="15" hidden="false" customHeight="false" outlineLevel="0" collapsed="false">
      <c r="A7247" s="0" t="n">
        <v>7246</v>
      </c>
      <c r="B7247" s="18" t="n">
        <v>1288633.9659652</v>
      </c>
      <c r="C7247" s="18" t="n">
        <v>6423659.04860925</v>
      </c>
      <c r="D7247" s="0" t="n">
        <v>1</v>
      </c>
    </row>
    <row r="7248" customFormat="false" ht="15" hidden="false" customHeight="false" outlineLevel="0" collapsed="false">
      <c r="A7248" s="0" t="n">
        <v>7247</v>
      </c>
      <c r="B7248" s="18" t="n">
        <v>1071189.91806522</v>
      </c>
      <c r="C7248" s="18" t="n">
        <v>0</v>
      </c>
      <c r="D7248" s="0" t="n">
        <v>0</v>
      </c>
      <c r="E7248" s="19" t="n">
        <v>42.4166666666667</v>
      </c>
    </row>
    <row r="7249" customFormat="false" ht="15" hidden="false" customHeight="false" outlineLevel="0" collapsed="false">
      <c r="A7249" s="0" t="n">
        <v>7248</v>
      </c>
      <c r="B7249" s="18" t="n">
        <v>810592.832265024</v>
      </c>
      <c r="C7249" s="18" t="n">
        <v>0</v>
      </c>
      <c r="D7249" s="0" t="n">
        <v>0</v>
      </c>
      <c r="E7249" s="19" t="n">
        <v>36.25</v>
      </c>
    </row>
    <row r="7250" customFormat="false" ht="15" hidden="false" customHeight="false" outlineLevel="0" collapsed="false">
      <c r="A7250" s="0" t="n">
        <v>7249</v>
      </c>
      <c r="B7250" s="18" t="n">
        <v>1157806.56812021</v>
      </c>
      <c r="C7250" s="18" t="n">
        <v>7593797.71758762</v>
      </c>
      <c r="D7250" s="0" t="n">
        <v>1</v>
      </c>
    </row>
    <row r="7251" customFormat="false" ht="15" hidden="false" customHeight="false" outlineLevel="0" collapsed="false">
      <c r="A7251" s="0" t="n">
        <v>7250</v>
      </c>
      <c r="B7251" s="18" t="n">
        <v>309838.62764302</v>
      </c>
      <c r="C7251" s="18" t="n">
        <v>0</v>
      </c>
      <c r="D7251" s="0" t="n">
        <v>0</v>
      </c>
      <c r="E7251" s="19" t="n">
        <v>29.9166666666667</v>
      </c>
    </row>
    <row r="7252" customFormat="false" ht="15" hidden="false" customHeight="false" outlineLevel="0" collapsed="false">
      <c r="A7252" s="0" t="n">
        <v>7251</v>
      </c>
      <c r="B7252" s="18" t="n">
        <v>704864.946040091</v>
      </c>
      <c r="C7252" s="18" t="n">
        <v>0</v>
      </c>
      <c r="D7252" s="0" t="n">
        <v>0</v>
      </c>
      <c r="E7252" s="19" t="n">
        <v>37.8333333333333</v>
      </c>
    </row>
    <row r="7253" customFormat="false" ht="15" hidden="false" customHeight="false" outlineLevel="0" collapsed="false">
      <c r="A7253" s="0" t="n">
        <v>7252</v>
      </c>
      <c r="B7253" s="18" t="n">
        <v>738930.272985274</v>
      </c>
      <c r="C7253" s="18" t="n">
        <v>0</v>
      </c>
      <c r="D7253" s="0" t="n">
        <v>0</v>
      </c>
      <c r="E7253" s="19" t="n">
        <v>38.0833333333333</v>
      </c>
    </row>
    <row r="7254" customFormat="false" ht="15" hidden="false" customHeight="false" outlineLevel="0" collapsed="false">
      <c r="A7254" s="0" t="n">
        <v>7253</v>
      </c>
      <c r="B7254" s="18" t="n">
        <v>1874131.46570771</v>
      </c>
      <c r="C7254" s="18" t="n">
        <v>2431999.45985056</v>
      </c>
      <c r="D7254" s="0" t="n">
        <v>1</v>
      </c>
    </row>
    <row r="7255" customFormat="false" ht="15" hidden="false" customHeight="false" outlineLevel="0" collapsed="false">
      <c r="A7255" s="0" t="n">
        <v>7254</v>
      </c>
      <c r="B7255" s="18" t="n">
        <v>2530540.48908319</v>
      </c>
      <c r="C7255" s="18" t="n">
        <v>1264981.20375733</v>
      </c>
      <c r="D7255" s="0" t="n">
        <v>1</v>
      </c>
    </row>
    <row r="7256" customFormat="false" ht="15" hidden="false" customHeight="false" outlineLevel="0" collapsed="false">
      <c r="A7256" s="0" t="n">
        <v>7255</v>
      </c>
      <c r="B7256" s="18" t="n">
        <v>1270078.85243065</v>
      </c>
      <c r="C7256" s="18" t="n">
        <v>1477125.26079371</v>
      </c>
      <c r="D7256" s="0" t="n">
        <v>1</v>
      </c>
    </row>
    <row r="7257" customFormat="false" ht="15" hidden="false" customHeight="false" outlineLevel="0" collapsed="false">
      <c r="A7257" s="0" t="n">
        <v>7256</v>
      </c>
      <c r="B7257" s="18" t="n">
        <v>1003614.42142256</v>
      </c>
      <c r="C7257" s="18" t="n">
        <v>0</v>
      </c>
      <c r="D7257" s="0" t="n">
        <v>0</v>
      </c>
      <c r="E7257" s="19" t="n">
        <v>46.1666666666667</v>
      </c>
    </row>
    <row r="7258" customFormat="false" ht="15" hidden="false" customHeight="false" outlineLevel="0" collapsed="false">
      <c r="A7258" s="0" t="n">
        <v>7257</v>
      </c>
      <c r="B7258" s="18" t="n">
        <v>876880.502618355</v>
      </c>
      <c r="C7258" s="18" t="n">
        <v>0</v>
      </c>
      <c r="D7258" s="0" t="n">
        <v>0</v>
      </c>
      <c r="E7258" s="19" t="n">
        <v>47.9166666666667</v>
      </c>
    </row>
    <row r="7259" customFormat="false" ht="15" hidden="false" customHeight="false" outlineLevel="0" collapsed="false">
      <c r="A7259" s="0" t="n">
        <v>7258</v>
      </c>
      <c r="B7259" s="18" t="n">
        <v>967390.136866882</v>
      </c>
      <c r="C7259" s="18" t="n">
        <v>0</v>
      </c>
      <c r="D7259" s="0" t="n">
        <v>0</v>
      </c>
      <c r="E7259" s="19" t="n">
        <v>44.4166666666667</v>
      </c>
    </row>
    <row r="7260" customFormat="false" ht="15" hidden="false" customHeight="false" outlineLevel="0" collapsed="false">
      <c r="A7260" s="0" t="n">
        <v>7259</v>
      </c>
      <c r="B7260" s="18" t="n">
        <v>853172.626393936</v>
      </c>
      <c r="C7260" s="18" t="n">
        <v>0</v>
      </c>
      <c r="D7260" s="0" t="n">
        <v>0</v>
      </c>
      <c r="E7260" s="19" t="n">
        <v>40.25</v>
      </c>
    </row>
    <row r="7261" customFormat="false" ht="15" hidden="false" customHeight="false" outlineLevel="0" collapsed="false">
      <c r="A7261" s="0" t="n">
        <v>7260</v>
      </c>
      <c r="B7261" s="18" t="n">
        <v>1596248.30236432</v>
      </c>
      <c r="C7261" s="18" t="n">
        <v>1046271.95741411</v>
      </c>
      <c r="D7261" s="0" t="n">
        <v>1</v>
      </c>
    </row>
    <row r="7262" customFormat="false" ht="15" hidden="false" customHeight="false" outlineLevel="0" collapsed="false">
      <c r="A7262" s="0" t="n">
        <v>7261</v>
      </c>
      <c r="B7262" s="18" t="n">
        <v>478936.650076654</v>
      </c>
      <c r="C7262" s="18" t="n">
        <v>0</v>
      </c>
      <c r="D7262" s="0" t="n">
        <v>0</v>
      </c>
      <c r="E7262" s="19" t="n">
        <v>33.3333333333333</v>
      </c>
    </row>
    <row r="7263" customFormat="false" ht="15" hidden="false" customHeight="false" outlineLevel="0" collapsed="false">
      <c r="A7263" s="0" t="n">
        <v>7262</v>
      </c>
      <c r="B7263" s="18" t="n">
        <v>2187555.31409837</v>
      </c>
      <c r="C7263" s="18" t="n">
        <v>0</v>
      </c>
      <c r="D7263" s="0" t="n">
        <v>0</v>
      </c>
      <c r="E7263" s="19" t="n">
        <v>50</v>
      </c>
    </row>
    <row r="7264" customFormat="false" ht="15" hidden="false" customHeight="false" outlineLevel="0" collapsed="false">
      <c r="A7264" s="0" t="n">
        <v>7263</v>
      </c>
      <c r="B7264" s="18" t="n">
        <v>524674.017894807</v>
      </c>
      <c r="C7264" s="18" t="n">
        <v>0</v>
      </c>
      <c r="D7264" s="0" t="n">
        <v>0</v>
      </c>
      <c r="E7264" s="19" t="n">
        <v>33</v>
      </c>
    </row>
    <row r="7265" customFormat="false" ht="15" hidden="false" customHeight="false" outlineLevel="0" collapsed="false">
      <c r="A7265" s="0" t="n">
        <v>7264</v>
      </c>
      <c r="B7265" s="18" t="n">
        <v>1740139.68513261</v>
      </c>
      <c r="C7265" s="18" t="n">
        <v>25667455.9063657</v>
      </c>
      <c r="D7265" s="0" t="n">
        <v>1</v>
      </c>
    </row>
    <row r="7266" customFormat="false" ht="15" hidden="false" customHeight="false" outlineLevel="0" collapsed="false">
      <c r="A7266" s="0" t="n">
        <v>7265</v>
      </c>
      <c r="B7266" s="18" t="n">
        <v>850614.706628393</v>
      </c>
      <c r="C7266" s="18" t="n">
        <v>0</v>
      </c>
      <c r="D7266" s="0" t="n">
        <v>0</v>
      </c>
      <c r="E7266" s="19" t="n">
        <v>39.4166666666667</v>
      </c>
    </row>
    <row r="7267" customFormat="false" ht="15" hidden="false" customHeight="false" outlineLevel="0" collapsed="false">
      <c r="A7267" s="0" t="n">
        <v>7266</v>
      </c>
      <c r="B7267" s="18" t="n">
        <v>1156261.60047245</v>
      </c>
      <c r="C7267" s="18" t="n">
        <v>0</v>
      </c>
      <c r="D7267" s="0" t="n">
        <v>0</v>
      </c>
      <c r="E7267" s="19" t="n">
        <v>44.5</v>
      </c>
    </row>
    <row r="7268" customFormat="false" ht="15" hidden="false" customHeight="false" outlineLevel="0" collapsed="false">
      <c r="A7268" s="0" t="n">
        <v>7267</v>
      </c>
      <c r="B7268" s="18" t="n">
        <v>943675.85442895</v>
      </c>
      <c r="C7268" s="18" t="n">
        <v>2477760.68529129</v>
      </c>
      <c r="D7268" s="0" t="n">
        <v>1</v>
      </c>
    </row>
    <row r="7269" customFormat="false" ht="15" hidden="false" customHeight="false" outlineLevel="0" collapsed="false">
      <c r="A7269" s="0" t="n">
        <v>7268</v>
      </c>
      <c r="B7269" s="18" t="n">
        <v>1228068.36305228</v>
      </c>
      <c r="C7269" s="18" t="n">
        <v>0</v>
      </c>
      <c r="D7269" s="0" t="n">
        <v>0</v>
      </c>
      <c r="E7269" s="19" t="n">
        <v>54.0833333333333</v>
      </c>
    </row>
    <row r="7270" customFormat="false" ht="15" hidden="false" customHeight="false" outlineLevel="0" collapsed="false">
      <c r="A7270" s="0" t="n">
        <v>7269</v>
      </c>
      <c r="B7270" s="18" t="n">
        <v>701061.129911163</v>
      </c>
      <c r="C7270" s="18" t="n">
        <v>0</v>
      </c>
      <c r="D7270" s="0" t="n">
        <v>0</v>
      </c>
      <c r="E7270" s="19" t="n">
        <v>33.1666666666667</v>
      </c>
    </row>
    <row r="7271" customFormat="false" ht="15" hidden="false" customHeight="false" outlineLevel="0" collapsed="false">
      <c r="A7271" s="0" t="n">
        <v>7270</v>
      </c>
      <c r="B7271" s="18" t="n">
        <v>880580.333562122</v>
      </c>
      <c r="C7271" s="18" t="n">
        <v>0</v>
      </c>
      <c r="D7271" s="0" t="n">
        <v>0</v>
      </c>
      <c r="E7271" s="19" t="n">
        <v>43.3333333333333</v>
      </c>
    </row>
    <row r="7272" customFormat="false" ht="15" hidden="false" customHeight="false" outlineLevel="0" collapsed="false">
      <c r="A7272" s="0" t="n">
        <v>7271</v>
      </c>
      <c r="B7272" s="18" t="n">
        <v>586527.324370986</v>
      </c>
      <c r="C7272" s="18" t="n">
        <v>0</v>
      </c>
      <c r="D7272" s="0" t="n">
        <v>0</v>
      </c>
      <c r="E7272" s="19" t="n">
        <v>30.5</v>
      </c>
    </row>
    <row r="7273" customFormat="false" ht="15" hidden="false" customHeight="false" outlineLevel="0" collapsed="false">
      <c r="A7273" s="0" t="n">
        <v>7272</v>
      </c>
      <c r="B7273" s="18" t="n">
        <v>212061.606238302</v>
      </c>
      <c r="C7273" s="18" t="n">
        <v>0</v>
      </c>
      <c r="D7273" s="0" t="n">
        <v>0</v>
      </c>
      <c r="E7273" s="19" t="n">
        <v>29.75</v>
      </c>
    </row>
    <row r="7274" customFormat="false" ht="15" hidden="false" customHeight="false" outlineLevel="0" collapsed="false">
      <c r="A7274" s="0" t="n">
        <v>7273</v>
      </c>
      <c r="B7274" s="18" t="n">
        <v>651942.210227786</v>
      </c>
      <c r="C7274" s="18" t="n">
        <v>2587560.1880878</v>
      </c>
      <c r="D7274" s="0" t="n">
        <v>1</v>
      </c>
    </row>
    <row r="7275" customFormat="false" ht="15" hidden="false" customHeight="false" outlineLevel="0" collapsed="false">
      <c r="A7275" s="0" t="n">
        <v>7274</v>
      </c>
      <c r="B7275" s="18" t="n">
        <v>1688311.06118299</v>
      </c>
      <c r="C7275" s="18" t="n">
        <v>0</v>
      </c>
      <c r="D7275" s="0" t="n">
        <v>0</v>
      </c>
      <c r="E7275" s="19" t="n">
        <v>44.4166666666667</v>
      </c>
    </row>
    <row r="7276" customFormat="false" ht="15" hidden="false" customHeight="false" outlineLevel="0" collapsed="false">
      <c r="A7276" s="0" t="n">
        <v>7275</v>
      </c>
      <c r="B7276" s="18" t="n">
        <v>606236.844933461</v>
      </c>
      <c r="C7276" s="18" t="n">
        <v>0</v>
      </c>
      <c r="D7276" s="0" t="n">
        <v>0</v>
      </c>
      <c r="E7276" s="19" t="n">
        <v>31.0833333333333</v>
      </c>
    </row>
    <row r="7277" customFormat="false" ht="15" hidden="false" customHeight="false" outlineLevel="0" collapsed="false">
      <c r="A7277" s="0" t="n">
        <v>7276</v>
      </c>
      <c r="B7277" s="18" t="n">
        <v>663908.072687282</v>
      </c>
      <c r="C7277" s="18" t="n">
        <v>0</v>
      </c>
      <c r="D7277" s="0" t="n">
        <v>0</v>
      </c>
      <c r="E7277" s="19" t="n">
        <v>42.75</v>
      </c>
    </row>
    <row r="7278" customFormat="false" ht="15" hidden="false" customHeight="false" outlineLevel="0" collapsed="false">
      <c r="A7278" s="0" t="n">
        <v>7277</v>
      </c>
      <c r="B7278" s="18" t="n">
        <v>632154.542110607</v>
      </c>
      <c r="C7278" s="18" t="n">
        <v>0</v>
      </c>
      <c r="D7278" s="0" t="n">
        <v>0</v>
      </c>
      <c r="E7278" s="19" t="n">
        <v>38.4166666666667</v>
      </c>
    </row>
    <row r="7279" customFormat="false" ht="15" hidden="false" customHeight="false" outlineLevel="0" collapsed="false">
      <c r="A7279" s="0" t="n">
        <v>7278</v>
      </c>
      <c r="B7279" s="18" t="n">
        <v>553913.182369869</v>
      </c>
      <c r="C7279" s="18" t="n">
        <v>0</v>
      </c>
      <c r="D7279" s="0" t="n">
        <v>0</v>
      </c>
      <c r="E7279" s="19" t="n">
        <v>35.75</v>
      </c>
    </row>
    <row r="7280" customFormat="false" ht="15" hidden="false" customHeight="false" outlineLevel="0" collapsed="false">
      <c r="A7280" s="0" t="n">
        <v>7279</v>
      </c>
      <c r="B7280" s="18" t="n">
        <v>494842.711573124</v>
      </c>
      <c r="C7280" s="18" t="n">
        <v>0</v>
      </c>
      <c r="D7280" s="0" t="n">
        <v>0</v>
      </c>
      <c r="E7280" s="19" t="n">
        <v>33.3333333333333</v>
      </c>
    </row>
    <row r="7281" customFormat="false" ht="15" hidden="false" customHeight="false" outlineLevel="0" collapsed="false">
      <c r="A7281" s="0" t="n">
        <v>7280</v>
      </c>
      <c r="B7281" s="18" t="n">
        <v>313630.750245123</v>
      </c>
      <c r="C7281" s="18" t="n">
        <v>0</v>
      </c>
      <c r="D7281" s="0" t="n">
        <v>0</v>
      </c>
      <c r="E7281" s="19" t="n">
        <v>30.3333333333333</v>
      </c>
    </row>
    <row r="7282" customFormat="false" ht="15" hidden="false" customHeight="false" outlineLevel="0" collapsed="false">
      <c r="A7282" s="0" t="n">
        <v>7281</v>
      </c>
      <c r="B7282" s="18" t="n">
        <v>891356.41117902</v>
      </c>
      <c r="C7282" s="18" t="n">
        <v>0</v>
      </c>
      <c r="D7282" s="0" t="n">
        <v>0</v>
      </c>
      <c r="E7282" s="19" t="n">
        <v>53.3333333333333</v>
      </c>
    </row>
    <row r="7283" customFormat="false" ht="15" hidden="false" customHeight="false" outlineLevel="0" collapsed="false">
      <c r="A7283" s="0" t="n">
        <v>7282</v>
      </c>
      <c r="B7283" s="18" t="n">
        <v>2138054.81695489</v>
      </c>
      <c r="C7283" s="18" t="n">
        <v>0</v>
      </c>
      <c r="D7283" s="0" t="n">
        <v>0</v>
      </c>
      <c r="E7283" s="19" t="n">
        <v>52.25</v>
      </c>
    </row>
    <row r="7284" customFormat="false" ht="15" hidden="false" customHeight="false" outlineLevel="0" collapsed="false">
      <c r="A7284" s="0" t="n">
        <v>7283</v>
      </c>
      <c r="B7284" s="18" t="n">
        <v>677072.185544938</v>
      </c>
      <c r="C7284" s="18" t="n">
        <v>0</v>
      </c>
      <c r="D7284" s="0" t="n">
        <v>0</v>
      </c>
      <c r="E7284" s="19" t="n">
        <v>32.6666666666667</v>
      </c>
    </row>
    <row r="7285" customFormat="false" ht="15" hidden="false" customHeight="false" outlineLevel="0" collapsed="false">
      <c r="A7285" s="0" t="n">
        <v>7284</v>
      </c>
      <c r="B7285" s="18" t="n">
        <v>1180747.97142012</v>
      </c>
      <c r="C7285" s="18" t="n">
        <v>43526.3588099734</v>
      </c>
      <c r="D7285" s="0" t="n">
        <v>1</v>
      </c>
    </row>
    <row r="7286" customFormat="false" ht="15" hidden="false" customHeight="false" outlineLevel="0" collapsed="false">
      <c r="A7286" s="0" t="n">
        <v>7285</v>
      </c>
      <c r="B7286" s="18" t="n">
        <v>1144752.50035115</v>
      </c>
      <c r="C7286" s="18" t="n">
        <v>4080221.07733764</v>
      </c>
      <c r="D7286" s="0" t="n">
        <v>1</v>
      </c>
    </row>
    <row r="7287" customFormat="false" ht="15" hidden="false" customHeight="false" outlineLevel="0" collapsed="false">
      <c r="A7287" s="0" t="n">
        <v>7286</v>
      </c>
      <c r="B7287" s="18" t="n">
        <v>1037117.39591404</v>
      </c>
      <c r="C7287" s="18" t="n">
        <v>317445.330988328</v>
      </c>
      <c r="D7287" s="0" t="n">
        <v>1</v>
      </c>
    </row>
    <row r="7288" customFormat="false" ht="15" hidden="false" customHeight="false" outlineLevel="0" collapsed="false">
      <c r="A7288" s="0" t="n">
        <v>7287</v>
      </c>
      <c r="B7288" s="18" t="n">
        <v>855047.192568325</v>
      </c>
      <c r="C7288" s="18" t="n">
        <v>0</v>
      </c>
      <c r="D7288" s="0" t="n">
        <v>0</v>
      </c>
      <c r="E7288" s="19" t="n">
        <v>37.3333333333333</v>
      </c>
    </row>
    <row r="7289" customFormat="false" ht="15" hidden="false" customHeight="false" outlineLevel="0" collapsed="false">
      <c r="A7289" s="0" t="n">
        <v>7288</v>
      </c>
      <c r="B7289" s="18" t="n">
        <v>896270.9443856</v>
      </c>
      <c r="C7289" s="18" t="n">
        <v>0</v>
      </c>
      <c r="D7289" s="0" t="n">
        <v>0</v>
      </c>
      <c r="E7289" s="19" t="n">
        <v>48.75</v>
      </c>
    </row>
    <row r="7290" customFormat="false" ht="15" hidden="false" customHeight="false" outlineLevel="0" collapsed="false">
      <c r="A7290" s="0" t="n">
        <v>7289</v>
      </c>
      <c r="B7290" s="18" t="n">
        <v>512816.308893419</v>
      </c>
      <c r="C7290" s="18" t="n">
        <v>0</v>
      </c>
      <c r="D7290" s="0" t="n">
        <v>0</v>
      </c>
      <c r="E7290" s="19" t="n">
        <v>36.0833333333333</v>
      </c>
    </row>
    <row r="7291" customFormat="false" ht="15" hidden="false" customHeight="false" outlineLevel="0" collapsed="false">
      <c r="A7291" s="0" t="n">
        <v>7290</v>
      </c>
      <c r="B7291" s="18" t="n">
        <v>669245.8273586</v>
      </c>
      <c r="C7291" s="18" t="n">
        <v>0</v>
      </c>
      <c r="D7291" s="0" t="n">
        <v>0</v>
      </c>
      <c r="E7291" s="19" t="n">
        <v>36.5833333333333</v>
      </c>
    </row>
    <row r="7292" customFormat="false" ht="15" hidden="false" customHeight="false" outlineLevel="0" collapsed="false">
      <c r="A7292" s="0" t="n">
        <v>7291</v>
      </c>
      <c r="B7292" s="18" t="n">
        <v>1671673.9524452</v>
      </c>
      <c r="C7292" s="18" t="n">
        <v>5483728.9372196</v>
      </c>
      <c r="D7292" s="0" t="n">
        <v>1</v>
      </c>
    </row>
    <row r="7293" customFormat="false" ht="15" hidden="false" customHeight="false" outlineLevel="0" collapsed="false">
      <c r="A7293" s="0" t="n">
        <v>7292</v>
      </c>
      <c r="B7293" s="18" t="n">
        <v>1037426.23923369</v>
      </c>
      <c r="C7293" s="18" t="n">
        <v>0</v>
      </c>
      <c r="D7293" s="0" t="n">
        <v>0</v>
      </c>
      <c r="E7293" s="19" t="n">
        <v>53.9166666666667</v>
      </c>
    </row>
    <row r="7294" customFormat="false" ht="15" hidden="false" customHeight="false" outlineLevel="0" collapsed="false">
      <c r="A7294" s="0" t="n">
        <v>7293</v>
      </c>
      <c r="B7294" s="18" t="n">
        <v>457501.031904759</v>
      </c>
      <c r="C7294" s="18" t="n">
        <v>0</v>
      </c>
      <c r="D7294" s="0" t="n">
        <v>0</v>
      </c>
      <c r="E7294" s="19" t="n">
        <v>36.1666666666667</v>
      </c>
    </row>
    <row r="7295" customFormat="false" ht="15" hidden="false" customHeight="false" outlineLevel="0" collapsed="false">
      <c r="A7295" s="0" t="n">
        <v>7294</v>
      </c>
      <c r="B7295" s="18" t="n">
        <v>603484.401088882</v>
      </c>
      <c r="C7295" s="18" t="n">
        <v>0</v>
      </c>
      <c r="D7295" s="0" t="n">
        <v>0</v>
      </c>
      <c r="E7295" s="19" t="n">
        <v>32.0833333333333</v>
      </c>
    </row>
    <row r="7296" customFormat="false" ht="15" hidden="false" customHeight="false" outlineLevel="0" collapsed="false">
      <c r="A7296" s="0" t="n">
        <v>7295</v>
      </c>
      <c r="B7296" s="18" t="n">
        <v>1658460.13524391</v>
      </c>
      <c r="C7296" s="18" t="n">
        <v>0</v>
      </c>
      <c r="D7296" s="0" t="n">
        <v>0</v>
      </c>
      <c r="E7296" s="19" t="n">
        <v>41</v>
      </c>
    </row>
    <row r="7297" customFormat="false" ht="15" hidden="false" customHeight="false" outlineLevel="0" collapsed="false">
      <c r="A7297" s="0" t="n">
        <v>7296</v>
      </c>
      <c r="B7297" s="18" t="n">
        <v>1934777.2377732</v>
      </c>
      <c r="C7297" s="18" t="n">
        <v>8611064.66917897</v>
      </c>
      <c r="D7297" s="0" t="n">
        <v>1</v>
      </c>
    </row>
    <row r="7298" customFormat="false" ht="15" hidden="false" customHeight="false" outlineLevel="0" collapsed="false">
      <c r="A7298" s="0" t="n">
        <v>7297</v>
      </c>
      <c r="B7298" s="18" t="n">
        <v>1382936.75370283</v>
      </c>
      <c r="C7298" s="18" t="n">
        <v>381646.408045524</v>
      </c>
      <c r="D7298" s="0" t="n">
        <v>1</v>
      </c>
    </row>
    <row r="7299" customFormat="false" ht="15" hidden="false" customHeight="false" outlineLevel="0" collapsed="false">
      <c r="A7299" s="0" t="n">
        <v>7298</v>
      </c>
      <c r="B7299" s="18" t="n">
        <v>470349.541572713</v>
      </c>
      <c r="C7299" s="18" t="n">
        <v>0</v>
      </c>
      <c r="D7299" s="0" t="n">
        <v>0</v>
      </c>
      <c r="E7299" s="19" t="n">
        <v>32.0833333333333</v>
      </c>
    </row>
    <row r="7300" customFormat="false" ht="15" hidden="false" customHeight="false" outlineLevel="0" collapsed="false">
      <c r="A7300" s="0" t="n">
        <v>7299</v>
      </c>
      <c r="B7300" s="18" t="n">
        <v>1196470.14426305</v>
      </c>
      <c r="C7300" s="18" t="n">
        <v>0</v>
      </c>
      <c r="D7300" s="0" t="n">
        <v>0</v>
      </c>
      <c r="E7300" s="19" t="n">
        <v>50.5</v>
      </c>
    </row>
    <row r="7301" customFormat="false" ht="15" hidden="false" customHeight="false" outlineLevel="0" collapsed="false">
      <c r="A7301" s="0" t="n">
        <v>7300</v>
      </c>
      <c r="B7301" s="18" t="n">
        <v>1567502.10198906</v>
      </c>
      <c r="C7301" s="18" t="n">
        <v>21501923.1617355</v>
      </c>
      <c r="D7301" s="0" t="n">
        <v>1</v>
      </c>
    </row>
    <row r="7302" customFormat="false" ht="15" hidden="false" customHeight="false" outlineLevel="0" collapsed="false">
      <c r="A7302" s="0" t="n">
        <v>7301</v>
      </c>
      <c r="B7302" s="18" t="n">
        <v>1185706.94250454</v>
      </c>
      <c r="C7302" s="18" t="n">
        <v>10162296.4920888</v>
      </c>
      <c r="D7302" s="0" t="n">
        <v>1</v>
      </c>
    </row>
    <row r="7303" customFormat="false" ht="15" hidden="false" customHeight="false" outlineLevel="0" collapsed="false">
      <c r="A7303" s="0" t="n">
        <v>7302</v>
      </c>
      <c r="B7303" s="18" t="n">
        <v>617671.844866037</v>
      </c>
      <c r="C7303" s="18" t="n">
        <v>0</v>
      </c>
      <c r="D7303" s="0" t="n">
        <v>0</v>
      </c>
      <c r="E7303" s="19" t="n">
        <v>34.5</v>
      </c>
    </row>
    <row r="7304" customFormat="false" ht="15" hidden="false" customHeight="false" outlineLevel="0" collapsed="false">
      <c r="A7304" s="0" t="n">
        <v>7303</v>
      </c>
      <c r="B7304" s="18" t="n">
        <v>879587.958883026</v>
      </c>
      <c r="C7304" s="18" t="n">
        <v>0</v>
      </c>
      <c r="D7304" s="0" t="n">
        <v>0</v>
      </c>
      <c r="E7304" s="19" t="n">
        <v>38.5</v>
      </c>
    </row>
    <row r="7305" customFormat="false" ht="15" hidden="false" customHeight="false" outlineLevel="0" collapsed="false">
      <c r="A7305" s="0" t="n">
        <v>7304</v>
      </c>
      <c r="B7305" s="18" t="n">
        <v>1141988.46162687</v>
      </c>
      <c r="C7305" s="18" t="n">
        <v>0</v>
      </c>
      <c r="D7305" s="0" t="n">
        <v>0</v>
      </c>
      <c r="E7305" s="19" t="n">
        <v>40.25</v>
      </c>
    </row>
    <row r="7306" customFormat="false" ht="15" hidden="false" customHeight="false" outlineLevel="0" collapsed="false">
      <c r="A7306" s="0" t="n">
        <v>7305</v>
      </c>
      <c r="B7306" s="18" t="n">
        <v>960214.293385235</v>
      </c>
      <c r="C7306" s="18" t="n">
        <v>93143.0549670499</v>
      </c>
      <c r="D7306" s="0" t="n">
        <v>1</v>
      </c>
    </row>
    <row r="7307" customFormat="false" ht="15" hidden="false" customHeight="false" outlineLevel="0" collapsed="false">
      <c r="A7307" s="0" t="n">
        <v>7306</v>
      </c>
      <c r="B7307" s="18" t="n">
        <v>917763.743140263</v>
      </c>
      <c r="C7307" s="18" t="n">
        <v>0</v>
      </c>
      <c r="D7307" s="0" t="n">
        <v>0</v>
      </c>
      <c r="E7307" s="19" t="n">
        <v>45.9166666666667</v>
      </c>
    </row>
    <row r="7308" customFormat="false" ht="15" hidden="false" customHeight="false" outlineLevel="0" collapsed="false">
      <c r="A7308" s="0" t="n">
        <v>7307</v>
      </c>
      <c r="B7308" s="18" t="n">
        <v>2837356.06644484</v>
      </c>
      <c r="C7308" s="18" t="n">
        <v>12246892.1837595</v>
      </c>
      <c r="D7308" s="0" t="n">
        <v>1</v>
      </c>
    </row>
    <row r="7309" customFormat="false" ht="15" hidden="false" customHeight="false" outlineLevel="0" collapsed="false">
      <c r="A7309" s="0" t="n">
        <v>7308</v>
      </c>
      <c r="B7309" s="18" t="n">
        <v>868143.724178745</v>
      </c>
      <c r="C7309" s="18" t="n">
        <v>0</v>
      </c>
      <c r="D7309" s="0" t="n">
        <v>0</v>
      </c>
      <c r="E7309" s="19" t="n">
        <v>45.3333333333333</v>
      </c>
    </row>
    <row r="7310" customFormat="false" ht="15" hidden="false" customHeight="false" outlineLevel="0" collapsed="false">
      <c r="A7310" s="0" t="n">
        <v>7309</v>
      </c>
      <c r="B7310" s="18" t="n">
        <v>859971.908119478</v>
      </c>
      <c r="C7310" s="18" t="n">
        <v>0</v>
      </c>
      <c r="D7310" s="0" t="n">
        <v>0</v>
      </c>
      <c r="E7310" s="19" t="n">
        <v>40.6666666666667</v>
      </c>
    </row>
    <row r="7311" customFormat="false" ht="15" hidden="false" customHeight="false" outlineLevel="0" collapsed="false">
      <c r="A7311" s="0" t="n">
        <v>7310</v>
      </c>
      <c r="B7311" s="18" t="n">
        <v>427025.872912805</v>
      </c>
      <c r="C7311" s="18" t="n">
        <v>0</v>
      </c>
      <c r="D7311" s="0" t="n">
        <v>0</v>
      </c>
      <c r="E7311" s="19" t="n">
        <v>37</v>
      </c>
    </row>
    <row r="7312" customFormat="false" ht="15" hidden="false" customHeight="false" outlineLevel="0" collapsed="false">
      <c r="A7312" s="0" t="n">
        <v>7311</v>
      </c>
      <c r="B7312" s="18" t="n">
        <v>819654.1116387</v>
      </c>
      <c r="C7312" s="18" t="n">
        <v>0</v>
      </c>
      <c r="D7312" s="0" t="n">
        <v>0</v>
      </c>
      <c r="E7312" s="19" t="n">
        <v>46.75</v>
      </c>
    </row>
    <row r="7313" customFormat="false" ht="15" hidden="false" customHeight="false" outlineLevel="0" collapsed="false">
      <c r="A7313" s="0" t="n">
        <v>7312</v>
      </c>
      <c r="B7313" s="18" t="n">
        <v>1529750.80219415</v>
      </c>
      <c r="C7313" s="18" t="n">
        <v>19507204.3397024</v>
      </c>
      <c r="D7313" s="0" t="n">
        <v>1</v>
      </c>
    </row>
    <row r="7314" customFormat="false" ht="15" hidden="false" customHeight="false" outlineLevel="0" collapsed="false">
      <c r="A7314" s="0" t="n">
        <v>7313</v>
      </c>
      <c r="B7314" s="18" t="n">
        <v>1282364.94299177</v>
      </c>
      <c r="C7314" s="18" t="n">
        <v>6370465.37973007</v>
      </c>
      <c r="D7314" s="0" t="n">
        <v>1</v>
      </c>
    </row>
    <row r="7315" customFormat="false" ht="15" hidden="false" customHeight="false" outlineLevel="0" collapsed="false">
      <c r="A7315" s="0" t="n">
        <v>7314</v>
      </c>
      <c r="B7315" s="18" t="n">
        <v>947235.895374976</v>
      </c>
      <c r="C7315" s="18" t="n">
        <v>0</v>
      </c>
      <c r="D7315" s="0" t="n">
        <v>0</v>
      </c>
      <c r="E7315" s="19" t="n">
        <v>44.25</v>
      </c>
    </row>
    <row r="7316" customFormat="false" ht="15" hidden="false" customHeight="false" outlineLevel="0" collapsed="false">
      <c r="A7316" s="0" t="n">
        <v>7315</v>
      </c>
      <c r="B7316" s="18" t="n">
        <v>650412.193413159</v>
      </c>
      <c r="C7316" s="18" t="n">
        <v>0</v>
      </c>
      <c r="D7316" s="0" t="n">
        <v>0</v>
      </c>
      <c r="E7316" s="19" t="n">
        <v>39.9166666666667</v>
      </c>
    </row>
    <row r="7317" customFormat="false" ht="15" hidden="false" customHeight="false" outlineLevel="0" collapsed="false">
      <c r="A7317" s="0" t="n">
        <v>7316</v>
      </c>
      <c r="B7317" s="18" t="n">
        <v>449862.999167006</v>
      </c>
      <c r="C7317" s="18" t="n">
        <v>0</v>
      </c>
      <c r="D7317" s="0" t="n">
        <v>0</v>
      </c>
      <c r="E7317" s="19" t="n">
        <v>33.1666666666667</v>
      </c>
    </row>
    <row r="7318" customFormat="false" ht="15" hidden="false" customHeight="false" outlineLevel="0" collapsed="false">
      <c r="A7318" s="0" t="n">
        <v>7317</v>
      </c>
      <c r="B7318" s="18" t="n">
        <v>738815.271242951</v>
      </c>
      <c r="C7318" s="18" t="n">
        <v>0</v>
      </c>
      <c r="D7318" s="0" t="n">
        <v>0</v>
      </c>
      <c r="E7318" s="19" t="n">
        <v>40.6666666666667</v>
      </c>
    </row>
    <row r="7319" customFormat="false" ht="15" hidden="false" customHeight="false" outlineLevel="0" collapsed="false">
      <c r="A7319" s="0" t="n">
        <v>7318</v>
      </c>
      <c r="B7319" s="18" t="n">
        <v>1112708.26008304</v>
      </c>
      <c r="C7319" s="18" t="n">
        <v>3039395.78005274</v>
      </c>
      <c r="D7319" s="0" t="n">
        <v>1</v>
      </c>
    </row>
    <row r="7320" customFormat="false" ht="15" hidden="false" customHeight="false" outlineLevel="0" collapsed="false">
      <c r="A7320" s="0" t="n">
        <v>7319</v>
      </c>
      <c r="B7320" s="18" t="n">
        <v>1191767.10107923</v>
      </c>
      <c r="C7320" s="18" t="n">
        <v>0</v>
      </c>
      <c r="D7320" s="0" t="n">
        <v>0</v>
      </c>
      <c r="E7320" s="19" t="n">
        <v>43.9166666666667</v>
      </c>
    </row>
    <row r="7321" customFormat="false" ht="15" hidden="false" customHeight="false" outlineLevel="0" collapsed="false">
      <c r="A7321" s="0" t="n">
        <v>7320</v>
      </c>
      <c r="B7321" s="18" t="n">
        <v>194091.91170923</v>
      </c>
      <c r="C7321" s="18" t="n">
        <v>0</v>
      </c>
      <c r="D7321" s="0" t="n">
        <v>0</v>
      </c>
      <c r="E7321" s="19" t="n">
        <v>28.1666666666667</v>
      </c>
    </row>
    <row r="7322" customFormat="false" ht="15" hidden="false" customHeight="false" outlineLevel="0" collapsed="false">
      <c r="A7322" s="0" t="n">
        <v>7321</v>
      </c>
      <c r="B7322" s="18" t="n">
        <v>724186.25394004</v>
      </c>
      <c r="C7322" s="18" t="n">
        <v>0</v>
      </c>
      <c r="D7322" s="0" t="n">
        <v>0</v>
      </c>
      <c r="E7322" s="19" t="n">
        <v>36.3333333333333</v>
      </c>
    </row>
    <row r="7323" customFormat="false" ht="15" hidden="false" customHeight="false" outlineLevel="0" collapsed="false">
      <c r="A7323" s="0" t="n">
        <v>7322</v>
      </c>
      <c r="B7323" s="18" t="n">
        <v>538918.041814587</v>
      </c>
      <c r="C7323" s="18" t="n">
        <v>0</v>
      </c>
      <c r="D7323" s="0" t="n">
        <v>0</v>
      </c>
      <c r="E7323" s="19" t="n">
        <v>35.1666666666667</v>
      </c>
    </row>
    <row r="7324" customFormat="false" ht="15" hidden="false" customHeight="false" outlineLevel="0" collapsed="false">
      <c r="A7324" s="0" t="n">
        <v>7323</v>
      </c>
      <c r="B7324" s="18" t="n">
        <v>3258778.10665157</v>
      </c>
      <c r="C7324" s="18" t="n">
        <v>8810389.49936887</v>
      </c>
      <c r="D7324" s="0" t="n">
        <v>1</v>
      </c>
    </row>
    <row r="7325" customFormat="false" ht="15" hidden="false" customHeight="false" outlineLevel="0" collapsed="false">
      <c r="A7325" s="0" t="n">
        <v>7324</v>
      </c>
      <c r="B7325" s="18" t="n">
        <v>728209.220785321</v>
      </c>
      <c r="C7325" s="18" t="n">
        <v>0</v>
      </c>
      <c r="D7325" s="0" t="n">
        <v>0</v>
      </c>
      <c r="E7325" s="19" t="n">
        <v>39.8333333333333</v>
      </c>
    </row>
    <row r="7326" customFormat="false" ht="15" hidden="false" customHeight="false" outlineLevel="0" collapsed="false">
      <c r="A7326" s="0" t="n">
        <v>7325</v>
      </c>
      <c r="B7326" s="18" t="n">
        <v>1591284.91454865</v>
      </c>
      <c r="C7326" s="18" t="n">
        <v>7332438.1278044</v>
      </c>
      <c r="D7326" s="0" t="n">
        <v>1</v>
      </c>
    </row>
    <row r="7327" customFormat="false" ht="15" hidden="false" customHeight="false" outlineLevel="0" collapsed="false">
      <c r="A7327" s="0" t="n">
        <v>7326</v>
      </c>
      <c r="B7327" s="18" t="n">
        <v>313803.663034603</v>
      </c>
      <c r="C7327" s="18" t="n">
        <v>0</v>
      </c>
      <c r="D7327" s="0" t="n">
        <v>0</v>
      </c>
      <c r="E7327" s="19" t="n">
        <v>29.3333333333333</v>
      </c>
    </row>
    <row r="7328" customFormat="false" ht="15" hidden="false" customHeight="false" outlineLevel="0" collapsed="false">
      <c r="A7328" s="0" t="n">
        <v>7327</v>
      </c>
      <c r="B7328" s="18" t="n">
        <v>520996.190261045</v>
      </c>
      <c r="C7328" s="18" t="n">
        <v>0</v>
      </c>
      <c r="D7328" s="0" t="n">
        <v>0</v>
      </c>
      <c r="E7328" s="19" t="n">
        <v>32.0833333333333</v>
      </c>
    </row>
    <row r="7329" customFormat="false" ht="15" hidden="false" customHeight="false" outlineLevel="0" collapsed="false">
      <c r="A7329" s="0" t="n">
        <v>7328</v>
      </c>
      <c r="B7329" s="18" t="n">
        <v>1003654.82610466</v>
      </c>
      <c r="C7329" s="18" t="n">
        <v>0</v>
      </c>
      <c r="D7329" s="0" t="n">
        <v>0</v>
      </c>
      <c r="E7329" s="19" t="n">
        <v>42.5</v>
      </c>
    </row>
    <row r="7330" customFormat="false" ht="15" hidden="false" customHeight="false" outlineLevel="0" collapsed="false">
      <c r="A7330" s="0" t="n">
        <v>7329</v>
      </c>
      <c r="B7330" s="18" t="n">
        <v>973235.631425064</v>
      </c>
      <c r="C7330" s="18" t="n">
        <v>1022151.69219213</v>
      </c>
      <c r="D7330" s="0" t="n">
        <v>1</v>
      </c>
    </row>
    <row r="7331" customFormat="false" ht="15" hidden="false" customHeight="false" outlineLevel="0" collapsed="false">
      <c r="A7331" s="0" t="n">
        <v>7330</v>
      </c>
      <c r="B7331" s="18" t="n">
        <v>1938941.9758139</v>
      </c>
      <c r="C7331" s="18" t="n">
        <v>20188798.6171913</v>
      </c>
      <c r="D7331" s="0" t="n">
        <v>1</v>
      </c>
    </row>
    <row r="7332" customFormat="false" ht="15" hidden="false" customHeight="false" outlineLevel="0" collapsed="false">
      <c r="A7332" s="0" t="n">
        <v>7331</v>
      </c>
      <c r="B7332" s="18" t="n">
        <v>1453412.67360211</v>
      </c>
      <c r="C7332" s="18" t="n">
        <v>0</v>
      </c>
      <c r="D7332" s="0" t="n">
        <v>0</v>
      </c>
      <c r="E7332" s="19" t="n">
        <v>46.3333333333333</v>
      </c>
    </row>
    <row r="7333" customFormat="false" ht="15" hidden="false" customHeight="false" outlineLevel="0" collapsed="false">
      <c r="A7333" s="0" t="n">
        <v>7332</v>
      </c>
      <c r="B7333" s="18" t="n">
        <v>592295.930317909</v>
      </c>
      <c r="C7333" s="18" t="n">
        <v>0</v>
      </c>
      <c r="D7333" s="0" t="n">
        <v>0</v>
      </c>
      <c r="E7333" s="19" t="n">
        <v>37.8333333333333</v>
      </c>
    </row>
    <row r="7334" customFormat="false" ht="15" hidden="false" customHeight="false" outlineLevel="0" collapsed="false">
      <c r="A7334" s="0" t="n">
        <v>7333</v>
      </c>
      <c r="B7334" s="18" t="n">
        <v>479443.878669611</v>
      </c>
      <c r="C7334" s="18" t="n">
        <v>0</v>
      </c>
      <c r="D7334" s="0" t="n">
        <v>0</v>
      </c>
      <c r="E7334" s="19" t="n">
        <v>32.3333333333333</v>
      </c>
    </row>
    <row r="7335" customFormat="false" ht="15" hidden="false" customHeight="false" outlineLevel="0" collapsed="false">
      <c r="A7335" s="0" t="n">
        <v>7334</v>
      </c>
      <c r="B7335" s="18" t="n">
        <v>873608.063822809</v>
      </c>
      <c r="C7335" s="18" t="n">
        <v>0</v>
      </c>
      <c r="D7335" s="0" t="n">
        <v>0</v>
      </c>
      <c r="E7335" s="19" t="n">
        <v>42.5833333333333</v>
      </c>
    </row>
    <row r="7336" customFormat="false" ht="15" hidden="false" customHeight="false" outlineLevel="0" collapsed="false">
      <c r="A7336" s="0" t="n">
        <v>7335</v>
      </c>
      <c r="B7336" s="18" t="n">
        <v>724784.17568887</v>
      </c>
      <c r="C7336" s="18" t="n">
        <v>0</v>
      </c>
      <c r="D7336" s="0" t="n">
        <v>0</v>
      </c>
      <c r="E7336" s="19" t="n">
        <v>36.5833333333333</v>
      </c>
    </row>
    <row r="7337" customFormat="false" ht="15" hidden="false" customHeight="false" outlineLevel="0" collapsed="false">
      <c r="A7337" s="0" t="n">
        <v>7336</v>
      </c>
      <c r="B7337" s="18" t="n">
        <v>367157.774577776</v>
      </c>
      <c r="C7337" s="18" t="n">
        <v>0</v>
      </c>
      <c r="D7337" s="0" t="n">
        <v>0</v>
      </c>
      <c r="E7337" s="19" t="n">
        <v>32.3333333333333</v>
      </c>
    </row>
    <row r="7338" customFormat="false" ht="15" hidden="false" customHeight="false" outlineLevel="0" collapsed="false">
      <c r="A7338" s="0" t="n">
        <v>7337</v>
      </c>
      <c r="B7338" s="18" t="n">
        <v>2204696.10859083</v>
      </c>
      <c r="C7338" s="18" t="n">
        <v>5009518.88779034</v>
      </c>
      <c r="D7338" s="0" t="n">
        <v>1</v>
      </c>
    </row>
    <row r="7339" customFormat="false" ht="15" hidden="false" customHeight="false" outlineLevel="0" collapsed="false">
      <c r="A7339" s="0" t="n">
        <v>7338</v>
      </c>
      <c r="B7339" s="18" t="n">
        <v>733427.622368088</v>
      </c>
      <c r="C7339" s="18" t="n">
        <v>7599422.20189133</v>
      </c>
      <c r="D7339" s="0" t="n">
        <v>1</v>
      </c>
    </row>
    <row r="7340" customFormat="false" ht="15" hidden="false" customHeight="false" outlineLevel="0" collapsed="false">
      <c r="A7340" s="0" t="n">
        <v>7339</v>
      </c>
      <c r="B7340" s="18" t="n">
        <v>1950971.73945073</v>
      </c>
      <c r="C7340" s="18" t="n">
        <v>3650604.93198683</v>
      </c>
      <c r="D7340" s="0" t="n">
        <v>1</v>
      </c>
    </row>
    <row r="7341" customFormat="false" ht="15" hidden="false" customHeight="false" outlineLevel="0" collapsed="false">
      <c r="A7341" s="0" t="n">
        <v>7340</v>
      </c>
      <c r="B7341" s="18" t="n">
        <v>629194.481394917</v>
      </c>
      <c r="C7341" s="18" t="n">
        <v>0</v>
      </c>
      <c r="D7341" s="0" t="n">
        <v>0</v>
      </c>
      <c r="E7341" s="19" t="n">
        <v>36.3333333333333</v>
      </c>
    </row>
    <row r="7342" customFormat="false" ht="15" hidden="false" customHeight="false" outlineLevel="0" collapsed="false">
      <c r="A7342" s="0" t="n">
        <v>7341</v>
      </c>
      <c r="B7342" s="18" t="n">
        <v>707520.244222223</v>
      </c>
      <c r="C7342" s="18" t="n">
        <v>0</v>
      </c>
      <c r="D7342" s="0" t="n">
        <v>0</v>
      </c>
      <c r="E7342" s="19" t="n">
        <v>34.8333333333333</v>
      </c>
    </row>
    <row r="7343" customFormat="false" ht="15" hidden="false" customHeight="false" outlineLevel="0" collapsed="false">
      <c r="A7343" s="0" t="n">
        <v>7342</v>
      </c>
      <c r="B7343" s="18" t="n">
        <v>1344615.82757849</v>
      </c>
      <c r="C7343" s="18" t="n">
        <v>2691666.56781605</v>
      </c>
      <c r="D7343" s="0" t="n">
        <v>1</v>
      </c>
    </row>
    <row r="7344" customFormat="false" ht="15" hidden="false" customHeight="false" outlineLevel="0" collapsed="false">
      <c r="A7344" s="0" t="n">
        <v>7343</v>
      </c>
      <c r="B7344" s="18" t="n">
        <v>1318443.43773866</v>
      </c>
      <c r="C7344" s="18" t="n">
        <v>1192087.05983006</v>
      </c>
      <c r="D7344" s="0" t="n">
        <v>1</v>
      </c>
    </row>
    <row r="7345" customFormat="false" ht="15" hidden="false" customHeight="false" outlineLevel="0" collapsed="false">
      <c r="A7345" s="0" t="n">
        <v>7344</v>
      </c>
      <c r="B7345" s="18" t="n">
        <v>825212.276574553</v>
      </c>
      <c r="C7345" s="18" t="n">
        <v>2073936.28172872</v>
      </c>
      <c r="D7345" s="0" t="n">
        <v>1</v>
      </c>
    </row>
    <row r="7346" customFormat="false" ht="15" hidden="false" customHeight="false" outlineLevel="0" collapsed="false">
      <c r="A7346" s="0" t="n">
        <v>7345</v>
      </c>
      <c r="B7346" s="18" t="n">
        <v>2238764.72325169</v>
      </c>
      <c r="C7346" s="18" t="n">
        <v>8038591.76692764</v>
      </c>
      <c r="D7346" s="0" t="n">
        <v>1</v>
      </c>
    </row>
    <row r="7347" customFormat="false" ht="15" hidden="false" customHeight="false" outlineLevel="0" collapsed="false">
      <c r="A7347" s="0" t="n">
        <v>7346</v>
      </c>
      <c r="B7347" s="18" t="n">
        <v>1394703.03811027</v>
      </c>
      <c r="C7347" s="18" t="n">
        <v>931364.271403163</v>
      </c>
      <c r="D7347" s="0" t="n">
        <v>1</v>
      </c>
    </row>
    <row r="7348" customFormat="false" ht="15" hidden="false" customHeight="false" outlineLevel="0" collapsed="false">
      <c r="A7348" s="0" t="n">
        <v>7347</v>
      </c>
      <c r="B7348" s="18" t="n">
        <v>1431383.56487179</v>
      </c>
      <c r="C7348" s="18" t="n">
        <v>0</v>
      </c>
      <c r="D7348" s="0" t="n">
        <v>0</v>
      </c>
      <c r="E7348" s="19" t="n">
        <v>53.3333333333333</v>
      </c>
    </row>
    <row r="7349" customFormat="false" ht="15" hidden="false" customHeight="false" outlineLevel="0" collapsed="false">
      <c r="A7349" s="0" t="n">
        <v>7348</v>
      </c>
      <c r="B7349" s="18" t="n">
        <v>346418.134943529</v>
      </c>
      <c r="C7349" s="18" t="n">
        <v>0</v>
      </c>
      <c r="D7349" s="0" t="n">
        <v>0</v>
      </c>
      <c r="E7349" s="19" t="n">
        <v>30.25</v>
      </c>
    </row>
    <row r="7350" customFormat="false" ht="15" hidden="false" customHeight="false" outlineLevel="0" collapsed="false">
      <c r="A7350" s="0" t="n">
        <v>7349</v>
      </c>
      <c r="B7350" s="18" t="n">
        <v>1707700.56950691</v>
      </c>
      <c r="C7350" s="18" t="n">
        <v>0</v>
      </c>
      <c r="D7350" s="0" t="n">
        <v>0</v>
      </c>
      <c r="E7350" s="19" t="n">
        <v>48.9166666666667</v>
      </c>
    </row>
    <row r="7351" customFormat="false" ht="15" hidden="false" customHeight="false" outlineLevel="0" collapsed="false">
      <c r="A7351" s="0" t="n">
        <v>7350</v>
      </c>
      <c r="B7351" s="18" t="n">
        <v>698717.757398446</v>
      </c>
      <c r="C7351" s="18" t="n">
        <v>0</v>
      </c>
      <c r="D7351" s="0" t="n">
        <v>0</v>
      </c>
      <c r="E7351" s="19" t="n">
        <v>40.1666666666667</v>
      </c>
    </row>
    <row r="7352" customFormat="false" ht="15" hidden="false" customHeight="false" outlineLevel="0" collapsed="false">
      <c r="A7352" s="0" t="n">
        <v>7351</v>
      </c>
      <c r="B7352" s="18" t="n">
        <v>595008.907212591</v>
      </c>
      <c r="C7352" s="18" t="n">
        <v>0</v>
      </c>
      <c r="D7352" s="0" t="n">
        <v>0</v>
      </c>
      <c r="E7352" s="19" t="n">
        <v>36.8333333333333</v>
      </c>
    </row>
    <row r="7353" customFormat="false" ht="15" hidden="false" customHeight="false" outlineLevel="0" collapsed="false">
      <c r="A7353" s="0" t="n">
        <v>7352</v>
      </c>
      <c r="B7353" s="18" t="n">
        <v>778872.469277908</v>
      </c>
      <c r="C7353" s="18" t="n">
        <v>0</v>
      </c>
      <c r="D7353" s="0" t="n">
        <v>0</v>
      </c>
      <c r="E7353" s="19" t="n">
        <v>37.75</v>
      </c>
    </row>
    <row r="7354" customFormat="false" ht="15" hidden="false" customHeight="false" outlineLevel="0" collapsed="false">
      <c r="A7354" s="0" t="n">
        <v>7353</v>
      </c>
      <c r="B7354" s="18" t="n">
        <v>1411684.73232029</v>
      </c>
      <c r="C7354" s="18" t="n">
        <v>1446805.01424119</v>
      </c>
      <c r="D7354" s="0" t="n">
        <v>1</v>
      </c>
    </row>
    <row r="7355" customFormat="false" ht="15" hidden="false" customHeight="false" outlineLevel="0" collapsed="false">
      <c r="A7355" s="0" t="n">
        <v>7354</v>
      </c>
      <c r="B7355" s="18" t="n">
        <v>384685.759069242</v>
      </c>
      <c r="C7355" s="18" t="n">
        <v>0</v>
      </c>
      <c r="D7355" s="0" t="n">
        <v>0</v>
      </c>
      <c r="E7355" s="19" t="n">
        <v>34.3333333333333</v>
      </c>
    </row>
    <row r="7356" customFormat="false" ht="15" hidden="false" customHeight="false" outlineLevel="0" collapsed="false">
      <c r="A7356" s="0" t="n">
        <v>7355</v>
      </c>
      <c r="B7356" s="18" t="n">
        <v>1262777.40293239</v>
      </c>
      <c r="C7356" s="18" t="n">
        <v>0</v>
      </c>
      <c r="D7356" s="0" t="n">
        <v>0</v>
      </c>
      <c r="E7356" s="19" t="n">
        <v>40.4166666666667</v>
      </c>
    </row>
    <row r="7357" customFormat="false" ht="15" hidden="false" customHeight="false" outlineLevel="0" collapsed="false">
      <c r="A7357" s="0" t="n">
        <v>7356</v>
      </c>
      <c r="B7357" s="18" t="n">
        <v>843671.583890047</v>
      </c>
      <c r="C7357" s="18" t="n">
        <v>8791.39730236091</v>
      </c>
      <c r="D7357" s="0" t="n">
        <v>1</v>
      </c>
    </row>
    <row r="7358" customFormat="false" ht="15" hidden="false" customHeight="false" outlineLevel="0" collapsed="false">
      <c r="A7358" s="0" t="n">
        <v>7357</v>
      </c>
      <c r="B7358" s="18" t="n">
        <v>928133.59780316</v>
      </c>
      <c r="C7358" s="18" t="n">
        <v>0</v>
      </c>
      <c r="D7358" s="0" t="n">
        <v>0</v>
      </c>
      <c r="E7358" s="19" t="n">
        <v>36.8333333333333</v>
      </c>
    </row>
    <row r="7359" customFormat="false" ht="15" hidden="false" customHeight="false" outlineLevel="0" collapsed="false">
      <c r="A7359" s="0" t="n">
        <v>7358</v>
      </c>
      <c r="B7359" s="18" t="n">
        <v>417330.967920728</v>
      </c>
      <c r="C7359" s="18" t="n">
        <v>0</v>
      </c>
      <c r="D7359" s="0" t="n">
        <v>0</v>
      </c>
      <c r="E7359" s="19" t="n">
        <v>36</v>
      </c>
    </row>
    <row r="7360" customFormat="false" ht="15" hidden="false" customHeight="false" outlineLevel="0" collapsed="false">
      <c r="A7360" s="0" t="n">
        <v>7359</v>
      </c>
      <c r="B7360" s="18" t="n">
        <v>1474863.9017232</v>
      </c>
      <c r="C7360" s="18" t="n">
        <v>0</v>
      </c>
      <c r="D7360" s="0" t="n">
        <v>0</v>
      </c>
      <c r="E7360" s="19" t="n">
        <v>40.6666666666667</v>
      </c>
    </row>
    <row r="7361" customFormat="false" ht="15" hidden="false" customHeight="false" outlineLevel="0" collapsed="false">
      <c r="A7361" s="0" t="n">
        <v>7360</v>
      </c>
      <c r="B7361" s="18" t="n">
        <v>5104785.29127293</v>
      </c>
      <c r="C7361" s="18" t="n">
        <v>30003204.4720436</v>
      </c>
      <c r="D7361" s="0" t="n">
        <v>1</v>
      </c>
    </row>
    <row r="7362" customFormat="false" ht="15" hidden="false" customHeight="false" outlineLevel="0" collapsed="false">
      <c r="A7362" s="0" t="n">
        <v>7361</v>
      </c>
      <c r="B7362" s="18" t="n">
        <v>892642.849776536</v>
      </c>
      <c r="C7362" s="18" t="n">
        <v>7318530.67936442</v>
      </c>
      <c r="D7362" s="0" t="n">
        <v>1</v>
      </c>
    </row>
    <row r="7363" customFormat="false" ht="15" hidden="false" customHeight="false" outlineLevel="0" collapsed="false">
      <c r="A7363" s="0" t="n">
        <v>7362</v>
      </c>
      <c r="B7363" s="18" t="n">
        <v>1942308.68909701</v>
      </c>
      <c r="C7363" s="18" t="n">
        <v>1233295.32726941</v>
      </c>
      <c r="D7363" s="0" t="n">
        <v>1</v>
      </c>
    </row>
    <row r="7364" customFormat="false" ht="15" hidden="false" customHeight="false" outlineLevel="0" collapsed="false">
      <c r="A7364" s="0" t="n">
        <v>7363</v>
      </c>
      <c r="B7364" s="18" t="n">
        <v>1933020.74068594</v>
      </c>
      <c r="C7364" s="18" t="n">
        <v>666233.687393891</v>
      </c>
      <c r="D7364" s="0" t="n">
        <v>1</v>
      </c>
    </row>
    <row r="7365" customFormat="false" ht="15" hidden="false" customHeight="false" outlineLevel="0" collapsed="false">
      <c r="A7365" s="0" t="n">
        <v>7364</v>
      </c>
      <c r="B7365" s="18" t="n">
        <v>934322.070393611</v>
      </c>
      <c r="C7365" s="18" t="n">
        <v>2285935.92794012</v>
      </c>
      <c r="D7365" s="0" t="n">
        <v>1</v>
      </c>
    </row>
    <row r="7366" customFormat="false" ht="15" hidden="false" customHeight="false" outlineLevel="0" collapsed="false">
      <c r="A7366" s="0" t="n">
        <v>7365</v>
      </c>
      <c r="B7366" s="18" t="n">
        <v>1423891.29304883</v>
      </c>
      <c r="C7366" s="18" t="n">
        <v>10667637.9255328</v>
      </c>
      <c r="D7366" s="0" t="n">
        <v>1</v>
      </c>
    </row>
    <row r="7367" customFormat="false" ht="15" hidden="false" customHeight="false" outlineLevel="0" collapsed="false">
      <c r="A7367" s="0" t="n">
        <v>7366</v>
      </c>
      <c r="B7367" s="18" t="n">
        <v>708400.582365093</v>
      </c>
      <c r="C7367" s="18" t="n">
        <v>0</v>
      </c>
      <c r="D7367" s="0" t="n">
        <v>0</v>
      </c>
      <c r="E7367" s="19" t="n">
        <v>43.75</v>
      </c>
    </row>
    <row r="7368" customFormat="false" ht="15" hidden="false" customHeight="false" outlineLevel="0" collapsed="false">
      <c r="A7368" s="0" t="n">
        <v>7367</v>
      </c>
      <c r="B7368" s="18" t="n">
        <v>653403.883972943</v>
      </c>
      <c r="C7368" s="18" t="n">
        <v>0</v>
      </c>
      <c r="D7368" s="0" t="n">
        <v>0</v>
      </c>
      <c r="E7368" s="19" t="n">
        <v>35</v>
      </c>
    </row>
    <row r="7369" customFormat="false" ht="15" hidden="false" customHeight="false" outlineLevel="0" collapsed="false">
      <c r="A7369" s="0" t="n">
        <v>7368</v>
      </c>
      <c r="B7369" s="18" t="n">
        <v>1014494.59556315</v>
      </c>
      <c r="C7369" s="18" t="n">
        <v>0</v>
      </c>
      <c r="D7369" s="0" t="n">
        <v>0</v>
      </c>
      <c r="E7369" s="19" t="n">
        <v>43.5</v>
      </c>
    </row>
    <row r="7370" customFormat="false" ht="15" hidden="false" customHeight="false" outlineLevel="0" collapsed="false">
      <c r="A7370" s="0" t="n">
        <v>7369</v>
      </c>
      <c r="B7370" s="18" t="n">
        <v>1612688.08521723</v>
      </c>
      <c r="C7370" s="18" t="n">
        <v>7499367.70296492</v>
      </c>
      <c r="D7370" s="0" t="n">
        <v>1</v>
      </c>
    </row>
    <row r="7371" customFormat="false" ht="15" hidden="false" customHeight="false" outlineLevel="0" collapsed="false">
      <c r="A7371" s="0" t="n">
        <v>7370</v>
      </c>
      <c r="B7371" s="18" t="n">
        <v>1363264.38260027</v>
      </c>
      <c r="C7371" s="18" t="n">
        <v>3662308.04643355</v>
      </c>
      <c r="D7371" s="0" t="n">
        <v>1</v>
      </c>
    </row>
    <row r="7372" customFormat="false" ht="15" hidden="false" customHeight="false" outlineLevel="0" collapsed="false">
      <c r="A7372" s="0" t="n">
        <v>7371</v>
      </c>
      <c r="B7372" s="18" t="n">
        <v>931087.079095081</v>
      </c>
      <c r="C7372" s="18" t="n">
        <v>3226740.341069</v>
      </c>
      <c r="D7372" s="0" t="n">
        <v>1</v>
      </c>
    </row>
    <row r="7373" customFormat="false" ht="15" hidden="false" customHeight="false" outlineLevel="0" collapsed="false">
      <c r="A7373" s="0" t="n">
        <v>7372</v>
      </c>
      <c r="B7373" s="18" t="n">
        <v>783301.769153933</v>
      </c>
      <c r="C7373" s="18" t="n">
        <v>0</v>
      </c>
      <c r="D7373" s="0" t="n">
        <v>0</v>
      </c>
      <c r="E7373" s="19" t="n">
        <v>36.9166666666667</v>
      </c>
    </row>
    <row r="7374" customFormat="false" ht="15" hidden="false" customHeight="false" outlineLevel="0" collapsed="false">
      <c r="A7374" s="0" t="n">
        <v>7373</v>
      </c>
      <c r="B7374" s="18" t="n">
        <v>1065765.90953101</v>
      </c>
      <c r="C7374" s="18" t="n">
        <v>0</v>
      </c>
      <c r="D7374" s="0" t="n">
        <v>0</v>
      </c>
      <c r="E7374" s="19" t="n">
        <v>42.8333333333333</v>
      </c>
    </row>
    <row r="7375" customFormat="false" ht="15" hidden="false" customHeight="false" outlineLevel="0" collapsed="false">
      <c r="A7375" s="0" t="n">
        <v>7374</v>
      </c>
      <c r="B7375" s="18" t="n">
        <v>358583.640928912</v>
      </c>
      <c r="C7375" s="18" t="n">
        <v>0</v>
      </c>
      <c r="D7375" s="0" t="n">
        <v>0</v>
      </c>
      <c r="E7375" s="19" t="n">
        <v>30.75</v>
      </c>
    </row>
    <row r="7376" customFormat="false" ht="15" hidden="false" customHeight="false" outlineLevel="0" collapsed="false">
      <c r="A7376" s="0" t="n">
        <v>7375</v>
      </c>
      <c r="B7376" s="18" t="n">
        <v>762084.352217624</v>
      </c>
      <c r="C7376" s="18" t="n">
        <v>82196.0895821139</v>
      </c>
      <c r="D7376" s="0" t="n">
        <v>1</v>
      </c>
    </row>
    <row r="7377" customFormat="false" ht="15" hidden="false" customHeight="false" outlineLevel="0" collapsed="false">
      <c r="A7377" s="0" t="n">
        <v>7376</v>
      </c>
      <c r="B7377" s="18" t="n">
        <v>968295.350000856</v>
      </c>
      <c r="C7377" s="18" t="n">
        <v>0</v>
      </c>
      <c r="D7377" s="0" t="n">
        <v>0</v>
      </c>
      <c r="E7377" s="19" t="n">
        <v>48.0833333333333</v>
      </c>
    </row>
    <row r="7378" customFormat="false" ht="15" hidden="false" customHeight="false" outlineLevel="0" collapsed="false">
      <c r="A7378" s="0" t="n">
        <v>7377</v>
      </c>
      <c r="B7378" s="18" t="n">
        <v>1587131.62672198</v>
      </c>
      <c r="C7378" s="18" t="n">
        <v>0</v>
      </c>
      <c r="D7378" s="0" t="n">
        <v>0</v>
      </c>
      <c r="E7378" s="19" t="n">
        <v>42.6666666666667</v>
      </c>
    </row>
    <row r="7379" customFormat="false" ht="15" hidden="false" customHeight="false" outlineLevel="0" collapsed="false">
      <c r="A7379" s="0" t="n">
        <v>7378</v>
      </c>
      <c r="B7379" s="18" t="n">
        <v>1319759.61292519</v>
      </c>
      <c r="C7379" s="18" t="n">
        <v>290087.549607922</v>
      </c>
      <c r="D7379" s="0" t="n">
        <v>1</v>
      </c>
    </row>
    <row r="7380" customFormat="false" ht="15" hidden="false" customHeight="false" outlineLevel="0" collapsed="false">
      <c r="A7380" s="0" t="n">
        <v>7379</v>
      </c>
      <c r="B7380" s="18" t="n">
        <v>1180226.97060556</v>
      </c>
      <c r="C7380" s="18" t="n">
        <v>4306970.28959864</v>
      </c>
      <c r="D7380" s="0" t="n">
        <v>1</v>
      </c>
    </row>
    <row r="7381" customFormat="false" ht="15" hidden="false" customHeight="false" outlineLevel="0" collapsed="false">
      <c r="A7381" s="0" t="n">
        <v>7380</v>
      </c>
      <c r="B7381" s="18" t="n">
        <v>1226988.30714795</v>
      </c>
      <c r="C7381" s="18" t="n">
        <v>0</v>
      </c>
      <c r="D7381" s="0" t="n">
        <v>0</v>
      </c>
      <c r="E7381" s="19" t="n">
        <v>46.0833333333333</v>
      </c>
    </row>
    <row r="7382" customFormat="false" ht="15" hidden="false" customHeight="false" outlineLevel="0" collapsed="false">
      <c r="A7382" s="0" t="n">
        <v>7381</v>
      </c>
      <c r="B7382" s="18" t="n">
        <v>486930.915251711</v>
      </c>
      <c r="C7382" s="18" t="n">
        <v>0</v>
      </c>
      <c r="D7382" s="0" t="n">
        <v>0</v>
      </c>
      <c r="E7382" s="19" t="n">
        <v>33.5</v>
      </c>
    </row>
    <row r="7383" customFormat="false" ht="15" hidden="false" customHeight="false" outlineLevel="0" collapsed="false">
      <c r="A7383" s="0" t="n">
        <v>7382</v>
      </c>
      <c r="B7383" s="18" t="n">
        <v>703438.8919953</v>
      </c>
      <c r="C7383" s="18" t="n">
        <v>0</v>
      </c>
      <c r="D7383" s="0" t="n">
        <v>0</v>
      </c>
      <c r="E7383" s="19" t="n">
        <v>38.9166666666667</v>
      </c>
    </row>
    <row r="7384" customFormat="false" ht="15" hidden="false" customHeight="false" outlineLevel="0" collapsed="false">
      <c r="A7384" s="0" t="n">
        <v>7383</v>
      </c>
      <c r="B7384" s="18" t="n">
        <v>1154247.61756245</v>
      </c>
      <c r="C7384" s="18" t="n">
        <v>1353409.96431487</v>
      </c>
      <c r="D7384" s="0" t="n">
        <v>1</v>
      </c>
    </row>
    <row r="7385" customFormat="false" ht="15" hidden="false" customHeight="false" outlineLevel="0" collapsed="false">
      <c r="A7385" s="0" t="n">
        <v>7384</v>
      </c>
      <c r="B7385" s="18" t="n">
        <v>1821725.74420101</v>
      </c>
      <c r="C7385" s="18" t="n">
        <v>11985250.662232</v>
      </c>
      <c r="D7385" s="0" t="n">
        <v>1</v>
      </c>
    </row>
    <row r="7386" customFormat="false" ht="15" hidden="false" customHeight="false" outlineLevel="0" collapsed="false">
      <c r="A7386" s="0" t="n">
        <v>7385</v>
      </c>
      <c r="B7386" s="18" t="n">
        <v>360083.794913822</v>
      </c>
      <c r="C7386" s="18" t="n">
        <v>0</v>
      </c>
      <c r="D7386" s="0" t="n">
        <v>0</v>
      </c>
      <c r="E7386" s="19" t="n">
        <v>30.5833333333333</v>
      </c>
    </row>
    <row r="7387" customFormat="false" ht="15" hidden="false" customHeight="false" outlineLevel="0" collapsed="false">
      <c r="A7387" s="0" t="n">
        <v>7386</v>
      </c>
      <c r="B7387" s="18" t="n">
        <v>1215275.66603271</v>
      </c>
      <c r="C7387" s="18" t="n">
        <v>0</v>
      </c>
      <c r="D7387" s="0" t="n">
        <v>0</v>
      </c>
      <c r="E7387" s="19" t="n">
        <v>53.3333333333333</v>
      </c>
    </row>
    <row r="7388" customFormat="false" ht="15" hidden="false" customHeight="false" outlineLevel="0" collapsed="false">
      <c r="A7388" s="0" t="n">
        <v>7387</v>
      </c>
      <c r="B7388" s="18" t="n">
        <v>2168227.41830515</v>
      </c>
      <c r="C7388" s="18" t="n">
        <v>31360788.4552799</v>
      </c>
      <c r="D7388" s="0" t="n">
        <v>1</v>
      </c>
    </row>
    <row r="7389" customFormat="false" ht="15" hidden="false" customHeight="false" outlineLevel="0" collapsed="false">
      <c r="A7389" s="0" t="n">
        <v>7388</v>
      </c>
      <c r="B7389" s="18" t="n">
        <v>1818583.62594033</v>
      </c>
      <c r="C7389" s="18" t="n">
        <v>0</v>
      </c>
      <c r="D7389" s="0" t="n">
        <v>0</v>
      </c>
      <c r="E7389" s="19" t="n">
        <v>41</v>
      </c>
    </row>
    <row r="7390" customFormat="false" ht="15" hidden="false" customHeight="false" outlineLevel="0" collapsed="false">
      <c r="A7390" s="0" t="n">
        <v>7389</v>
      </c>
      <c r="B7390" s="18" t="n">
        <v>2694782.4763687</v>
      </c>
      <c r="C7390" s="18" t="n">
        <v>1484912.32135872</v>
      </c>
      <c r="D7390" s="0" t="n">
        <v>1</v>
      </c>
    </row>
    <row r="7391" customFormat="false" ht="15" hidden="false" customHeight="false" outlineLevel="0" collapsed="false">
      <c r="A7391" s="0" t="n">
        <v>7390</v>
      </c>
      <c r="B7391" s="18" t="n">
        <v>352513.261028639</v>
      </c>
      <c r="C7391" s="18" t="n">
        <v>0</v>
      </c>
      <c r="D7391" s="0" t="n">
        <v>0</v>
      </c>
      <c r="E7391" s="19" t="n">
        <v>34.25</v>
      </c>
    </row>
    <row r="7392" customFormat="false" ht="15" hidden="false" customHeight="false" outlineLevel="0" collapsed="false">
      <c r="A7392" s="0" t="n">
        <v>7391</v>
      </c>
      <c r="B7392" s="18" t="n">
        <v>2748827.82479341</v>
      </c>
      <c r="C7392" s="18" t="n">
        <v>35205871.9660887</v>
      </c>
      <c r="D7392" s="0" t="n">
        <v>1</v>
      </c>
    </row>
    <row r="7393" customFormat="false" ht="15" hidden="false" customHeight="false" outlineLevel="0" collapsed="false">
      <c r="A7393" s="0" t="n">
        <v>7392</v>
      </c>
      <c r="B7393" s="18" t="n">
        <v>713907.179035748</v>
      </c>
      <c r="C7393" s="18" t="n">
        <v>0</v>
      </c>
      <c r="D7393" s="0" t="n">
        <v>0</v>
      </c>
      <c r="E7393" s="19" t="n">
        <v>37.25</v>
      </c>
    </row>
    <row r="7394" customFormat="false" ht="15" hidden="false" customHeight="false" outlineLevel="0" collapsed="false">
      <c r="A7394" s="0" t="n">
        <v>7393</v>
      </c>
      <c r="B7394" s="18" t="n">
        <v>695513.649239453</v>
      </c>
      <c r="C7394" s="18" t="n">
        <v>0</v>
      </c>
      <c r="D7394" s="0" t="n">
        <v>0</v>
      </c>
      <c r="E7394" s="19" t="n">
        <v>51.6666666666667</v>
      </c>
    </row>
    <row r="7395" customFormat="false" ht="15" hidden="false" customHeight="false" outlineLevel="0" collapsed="false">
      <c r="A7395" s="0" t="n">
        <v>7394</v>
      </c>
      <c r="B7395" s="18" t="n">
        <v>1659136.15419419</v>
      </c>
      <c r="C7395" s="18" t="n">
        <v>0</v>
      </c>
      <c r="D7395" s="0" t="n">
        <v>0</v>
      </c>
      <c r="E7395" s="19" t="n">
        <v>49.5833333333333</v>
      </c>
    </row>
    <row r="7396" customFormat="false" ht="15" hidden="false" customHeight="false" outlineLevel="0" collapsed="false">
      <c r="A7396" s="0" t="n">
        <v>7395</v>
      </c>
      <c r="B7396" s="18" t="n">
        <v>1022348.09947348</v>
      </c>
      <c r="C7396" s="18" t="n">
        <v>4212.68620830582</v>
      </c>
      <c r="D7396" s="0" t="n">
        <v>1</v>
      </c>
    </row>
    <row r="7397" customFormat="false" ht="15" hidden="false" customHeight="false" outlineLevel="0" collapsed="false">
      <c r="A7397" s="0" t="n">
        <v>7396</v>
      </c>
      <c r="B7397" s="18" t="n">
        <v>2890362.85339339</v>
      </c>
      <c r="C7397" s="18" t="n">
        <v>3142340.73505407</v>
      </c>
      <c r="D7397" s="0" t="n">
        <v>1</v>
      </c>
    </row>
    <row r="7398" customFormat="false" ht="15" hidden="false" customHeight="false" outlineLevel="0" collapsed="false">
      <c r="A7398" s="0" t="n">
        <v>7397</v>
      </c>
      <c r="B7398" s="18" t="n">
        <v>1239244.28392101</v>
      </c>
      <c r="C7398" s="18" t="n">
        <v>0</v>
      </c>
      <c r="D7398" s="0" t="n">
        <v>0</v>
      </c>
      <c r="E7398" s="19" t="n">
        <v>46.25</v>
      </c>
    </row>
    <row r="7399" customFormat="false" ht="15" hidden="false" customHeight="false" outlineLevel="0" collapsed="false">
      <c r="A7399" s="0" t="n">
        <v>7398</v>
      </c>
      <c r="B7399" s="18" t="n">
        <v>1280525.46919985</v>
      </c>
      <c r="C7399" s="18" t="n">
        <v>3944041.47841708</v>
      </c>
      <c r="D7399" s="0" t="n">
        <v>1</v>
      </c>
    </row>
    <row r="7400" customFormat="false" ht="15" hidden="false" customHeight="false" outlineLevel="0" collapsed="false">
      <c r="A7400" s="0" t="n">
        <v>7399</v>
      </c>
      <c r="B7400" s="18" t="n">
        <v>1150572.62662295</v>
      </c>
      <c r="C7400" s="18" t="n">
        <v>2073503.65440642</v>
      </c>
      <c r="D7400" s="0" t="n">
        <v>1</v>
      </c>
    </row>
    <row r="7401" customFormat="false" ht="15" hidden="false" customHeight="false" outlineLevel="0" collapsed="false">
      <c r="A7401" s="0" t="n">
        <v>7400</v>
      </c>
      <c r="B7401" s="18" t="n">
        <v>806799.84222925</v>
      </c>
      <c r="C7401" s="18" t="n">
        <v>12866632.4292458</v>
      </c>
      <c r="D7401" s="0" t="n">
        <v>1</v>
      </c>
    </row>
    <row r="7402" customFormat="false" ht="15" hidden="false" customHeight="false" outlineLevel="0" collapsed="false">
      <c r="A7402" s="0" t="n">
        <v>7401</v>
      </c>
      <c r="B7402" s="18" t="n">
        <v>686120.178035494</v>
      </c>
      <c r="C7402" s="18" t="n">
        <v>0</v>
      </c>
      <c r="D7402" s="0" t="n">
        <v>0</v>
      </c>
      <c r="E7402" s="19" t="n">
        <v>34.0833333333333</v>
      </c>
    </row>
    <row r="7403" customFormat="false" ht="15" hidden="false" customHeight="false" outlineLevel="0" collapsed="false">
      <c r="A7403" s="0" t="n">
        <v>7402</v>
      </c>
      <c r="B7403" s="18" t="n">
        <v>597514.505013477</v>
      </c>
      <c r="C7403" s="18" t="n">
        <v>0</v>
      </c>
      <c r="D7403" s="0" t="n">
        <v>0</v>
      </c>
      <c r="E7403" s="19" t="n">
        <v>35</v>
      </c>
    </row>
    <row r="7404" customFormat="false" ht="15" hidden="false" customHeight="false" outlineLevel="0" collapsed="false">
      <c r="A7404" s="0" t="n">
        <v>7403</v>
      </c>
      <c r="B7404" s="18" t="n">
        <v>732393.930591592</v>
      </c>
      <c r="C7404" s="18" t="n">
        <v>0</v>
      </c>
      <c r="D7404" s="0" t="n">
        <v>0</v>
      </c>
      <c r="E7404" s="19" t="n">
        <v>39.5833333333333</v>
      </c>
    </row>
    <row r="7405" customFormat="false" ht="15" hidden="false" customHeight="false" outlineLevel="0" collapsed="false">
      <c r="A7405" s="0" t="n">
        <v>7404</v>
      </c>
      <c r="B7405" s="18" t="n">
        <v>1563883.32312828</v>
      </c>
      <c r="C7405" s="18" t="n">
        <v>3469696.85216732</v>
      </c>
      <c r="D7405" s="0" t="n">
        <v>1</v>
      </c>
    </row>
    <row r="7406" customFormat="false" ht="15" hidden="false" customHeight="false" outlineLevel="0" collapsed="false">
      <c r="A7406" s="0" t="n">
        <v>7405</v>
      </c>
      <c r="B7406" s="18" t="n">
        <v>792687.830708741</v>
      </c>
      <c r="C7406" s="18" t="n">
        <v>0</v>
      </c>
      <c r="D7406" s="0" t="n">
        <v>0</v>
      </c>
      <c r="E7406" s="19" t="n">
        <v>36.25</v>
      </c>
    </row>
    <row r="7407" customFormat="false" ht="15" hidden="false" customHeight="false" outlineLevel="0" collapsed="false">
      <c r="A7407" s="0" t="n">
        <v>7406</v>
      </c>
      <c r="B7407" s="18" t="n">
        <v>1165403.13297198</v>
      </c>
      <c r="C7407" s="18" t="n">
        <v>0</v>
      </c>
      <c r="D7407" s="0" t="n">
        <v>0</v>
      </c>
      <c r="E7407" s="19" t="n">
        <v>40.9166666666667</v>
      </c>
    </row>
    <row r="7408" customFormat="false" ht="15" hidden="false" customHeight="false" outlineLevel="0" collapsed="false">
      <c r="A7408" s="0" t="n">
        <v>7407</v>
      </c>
      <c r="B7408" s="18" t="n">
        <v>2205296.919283</v>
      </c>
      <c r="C7408" s="18" t="n">
        <v>5346249.1581427</v>
      </c>
      <c r="D7408" s="0" t="n">
        <v>1</v>
      </c>
    </row>
    <row r="7409" customFormat="false" ht="15" hidden="false" customHeight="false" outlineLevel="0" collapsed="false">
      <c r="A7409" s="0" t="n">
        <v>7408</v>
      </c>
      <c r="B7409" s="18" t="n">
        <v>1602252.85373084</v>
      </c>
      <c r="C7409" s="18" t="n">
        <v>36705302.3057162</v>
      </c>
      <c r="D7409" s="0" t="n">
        <v>1</v>
      </c>
    </row>
    <row r="7410" customFormat="false" ht="15" hidden="false" customHeight="false" outlineLevel="0" collapsed="false">
      <c r="A7410" s="0" t="n">
        <v>7409</v>
      </c>
      <c r="B7410" s="18" t="n">
        <v>469722.757863342</v>
      </c>
      <c r="C7410" s="18" t="n">
        <v>0</v>
      </c>
      <c r="D7410" s="0" t="n">
        <v>0</v>
      </c>
      <c r="E7410" s="19" t="n">
        <v>35.5833333333333</v>
      </c>
    </row>
    <row r="7411" customFormat="false" ht="15" hidden="false" customHeight="false" outlineLevel="0" collapsed="false">
      <c r="A7411" s="0" t="n">
        <v>7410</v>
      </c>
      <c r="B7411" s="18" t="n">
        <v>519274.950599549</v>
      </c>
      <c r="C7411" s="18" t="n">
        <v>0</v>
      </c>
      <c r="D7411" s="0" t="n">
        <v>0</v>
      </c>
      <c r="E7411" s="19" t="n">
        <v>34.1666666666667</v>
      </c>
    </row>
    <row r="7412" customFormat="false" ht="15" hidden="false" customHeight="false" outlineLevel="0" collapsed="false">
      <c r="A7412" s="0" t="n">
        <v>7411</v>
      </c>
      <c r="B7412" s="18" t="n">
        <v>2076237.66383561</v>
      </c>
      <c r="C7412" s="18" t="n">
        <v>4982009.59673173</v>
      </c>
      <c r="D7412" s="0" t="n">
        <v>1</v>
      </c>
    </row>
    <row r="7413" customFormat="false" ht="15" hidden="false" customHeight="false" outlineLevel="0" collapsed="false">
      <c r="A7413" s="0" t="n">
        <v>7412</v>
      </c>
      <c r="B7413" s="18" t="n">
        <v>911118.822247246</v>
      </c>
      <c r="C7413" s="18" t="n">
        <v>0</v>
      </c>
      <c r="D7413" s="0" t="n">
        <v>0</v>
      </c>
      <c r="E7413" s="19" t="n">
        <v>37.9166666666667</v>
      </c>
    </row>
    <row r="7414" customFormat="false" ht="15" hidden="false" customHeight="false" outlineLevel="0" collapsed="false">
      <c r="A7414" s="0" t="n">
        <v>7413</v>
      </c>
      <c r="B7414" s="18" t="n">
        <v>781452.363988701</v>
      </c>
      <c r="C7414" s="18" t="n">
        <v>0</v>
      </c>
      <c r="D7414" s="0" t="n">
        <v>0</v>
      </c>
      <c r="E7414" s="19" t="n">
        <v>34.5833333333333</v>
      </c>
    </row>
    <row r="7415" customFormat="false" ht="15" hidden="false" customHeight="false" outlineLevel="0" collapsed="false">
      <c r="A7415" s="0" t="n">
        <v>7414</v>
      </c>
      <c r="B7415" s="18" t="n">
        <v>645752.675493342</v>
      </c>
      <c r="C7415" s="18" t="n">
        <v>0</v>
      </c>
      <c r="D7415" s="0" t="n">
        <v>0</v>
      </c>
      <c r="E7415" s="19" t="n">
        <v>47</v>
      </c>
    </row>
    <row r="7416" customFormat="false" ht="15" hidden="false" customHeight="false" outlineLevel="0" collapsed="false">
      <c r="A7416" s="0" t="n">
        <v>7415</v>
      </c>
      <c r="B7416" s="18" t="n">
        <v>1181997.01673963</v>
      </c>
      <c r="C7416" s="18" t="n">
        <v>0</v>
      </c>
      <c r="D7416" s="0" t="n">
        <v>0</v>
      </c>
      <c r="E7416" s="19" t="n">
        <v>43.3333333333333</v>
      </c>
    </row>
    <row r="7417" customFormat="false" ht="15" hidden="false" customHeight="false" outlineLevel="0" collapsed="false">
      <c r="A7417" s="0" t="n">
        <v>7416</v>
      </c>
      <c r="B7417" s="18" t="n">
        <v>1247471.82513357</v>
      </c>
      <c r="C7417" s="18" t="n">
        <v>0</v>
      </c>
      <c r="D7417" s="0" t="n">
        <v>0</v>
      </c>
      <c r="E7417" s="19" t="n">
        <v>39.75</v>
      </c>
    </row>
    <row r="7418" customFormat="false" ht="15" hidden="false" customHeight="false" outlineLevel="0" collapsed="false">
      <c r="A7418" s="0" t="n">
        <v>7417</v>
      </c>
      <c r="B7418" s="18" t="n">
        <v>731416.4941435</v>
      </c>
      <c r="C7418" s="18" t="n">
        <v>816123.93059374</v>
      </c>
      <c r="D7418" s="0" t="n">
        <v>1</v>
      </c>
    </row>
    <row r="7419" customFormat="false" ht="15" hidden="false" customHeight="false" outlineLevel="0" collapsed="false">
      <c r="A7419" s="0" t="n">
        <v>7418</v>
      </c>
      <c r="B7419" s="18" t="n">
        <v>826507.514301019</v>
      </c>
      <c r="C7419" s="18" t="n">
        <v>0</v>
      </c>
      <c r="D7419" s="0" t="n">
        <v>0</v>
      </c>
      <c r="E7419" s="19" t="n">
        <v>42.5</v>
      </c>
    </row>
    <row r="7420" customFormat="false" ht="15" hidden="false" customHeight="false" outlineLevel="0" collapsed="false">
      <c r="A7420" s="0" t="n">
        <v>7419</v>
      </c>
      <c r="B7420" s="18" t="n">
        <v>614480.699252701</v>
      </c>
      <c r="C7420" s="18" t="n">
        <v>0</v>
      </c>
      <c r="D7420" s="0" t="n">
        <v>0</v>
      </c>
      <c r="E7420" s="19" t="n">
        <v>37.4166666666667</v>
      </c>
    </row>
    <row r="7421" customFormat="false" ht="15" hidden="false" customHeight="false" outlineLevel="0" collapsed="false">
      <c r="A7421" s="0" t="n">
        <v>7420</v>
      </c>
      <c r="B7421" s="18" t="n">
        <v>1791990.94697462</v>
      </c>
      <c r="C7421" s="18" t="n">
        <v>0</v>
      </c>
      <c r="D7421" s="0" t="n">
        <v>0</v>
      </c>
      <c r="E7421" s="19" t="n">
        <v>51.9166666666667</v>
      </c>
    </row>
    <row r="7422" customFormat="false" ht="15" hidden="false" customHeight="false" outlineLevel="0" collapsed="false">
      <c r="A7422" s="0" t="n">
        <v>7421</v>
      </c>
      <c r="B7422" s="18" t="n">
        <v>713635.895009068</v>
      </c>
      <c r="C7422" s="18" t="n">
        <v>0</v>
      </c>
      <c r="D7422" s="0" t="n">
        <v>0</v>
      </c>
      <c r="E7422" s="19" t="n">
        <v>40.75</v>
      </c>
    </row>
    <row r="7423" customFormat="false" ht="15" hidden="false" customHeight="false" outlineLevel="0" collapsed="false">
      <c r="A7423" s="0" t="n">
        <v>7422</v>
      </c>
      <c r="B7423" s="18" t="n">
        <v>1031825.2169958</v>
      </c>
      <c r="C7423" s="18" t="n">
        <v>0</v>
      </c>
      <c r="D7423" s="0" t="n">
        <v>0</v>
      </c>
      <c r="E7423" s="19" t="n">
        <v>40.75</v>
      </c>
    </row>
    <row r="7424" customFormat="false" ht="15" hidden="false" customHeight="false" outlineLevel="0" collapsed="false">
      <c r="A7424" s="0" t="n">
        <v>7423</v>
      </c>
      <c r="B7424" s="18" t="n">
        <v>659357.328442147</v>
      </c>
      <c r="C7424" s="18" t="n">
        <v>0</v>
      </c>
      <c r="D7424" s="0" t="n">
        <v>0</v>
      </c>
      <c r="E7424" s="19" t="n">
        <v>39.1666666666667</v>
      </c>
    </row>
    <row r="7425" customFormat="false" ht="15" hidden="false" customHeight="false" outlineLevel="0" collapsed="false">
      <c r="A7425" s="0" t="n">
        <v>7424</v>
      </c>
      <c r="B7425" s="18" t="n">
        <v>1715881.13629199</v>
      </c>
      <c r="C7425" s="18" t="n">
        <v>0</v>
      </c>
      <c r="D7425" s="0" t="n">
        <v>0</v>
      </c>
      <c r="E7425" s="19" t="n">
        <v>50.25</v>
      </c>
    </row>
    <row r="7426" customFormat="false" ht="15" hidden="false" customHeight="false" outlineLevel="0" collapsed="false">
      <c r="A7426" s="0" t="n">
        <v>7425</v>
      </c>
      <c r="B7426" s="18" t="n">
        <v>1338411.28387321</v>
      </c>
      <c r="C7426" s="18" t="n">
        <v>0</v>
      </c>
      <c r="D7426" s="0" t="n">
        <v>0</v>
      </c>
      <c r="E7426" s="19" t="n">
        <v>53.5833333333333</v>
      </c>
    </row>
    <row r="7427" customFormat="false" ht="15" hidden="false" customHeight="false" outlineLevel="0" collapsed="false">
      <c r="A7427" s="0" t="n">
        <v>7426</v>
      </c>
      <c r="B7427" s="18" t="n">
        <v>758847.522859201</v>
      </c>
      <c r="C7427" s="18" t="n">
        <v>0</v>
      </c>
      <c r="D7427" s="0" t="n">
        <v>0</v>
      </c>
      <c r="E7427" s="19" t="n">
        <v>36.3333333333333</v>
      </c>
    </row>
    <row r="7428" customFormat="false" ht="15" hidden="false" customHeight="false" outlineLevel="0" collapsed="false">
      <c r="A7428" s="0" t="n">
        <v>7427</v>
      </c>
      <c r="B7428" s="18" t="n">
        <v>756911.814852828</v>
      </c>
      <c r="C7428" s="18" t="n">
        <v>7092841.3532094</v>
      </c>
      <c r="D7428" s="0" t="n">
        <v>1</v>
      </c>
    </row>
    <row r="7429" customFormat="false" ht="15" hidden="false" customHeight="false" outlineLevel="0" collapsed="false">
      <c r="A7429" s="0" t="n">
        <v>7428</v>
      </c>
      <c r="B7429" s="18" t="n">
        <v>1711103.75649833</v>
      </c>
      <c r="C7429" s="18" t="n">
        <v>3963982.46510842</v>
      </c>
      <c r="D7429" s="0" t="n">
        <v>1</v>
      </c>
    </row>
    <row r="7430" customFormat="false" ht="15" hidden="false" customHeight="false" outlineLevel="0" collapsed="false">
      <c r="A7430" s="0" t="n">
        <v>7429</v>
      </c>
      <c r="B7430" s="18" t="n">
        <v>804966.448726423</v>
      </c>
      <c r="C7430" s="18" t="n">
        <v>295140.22796173</v>
      </c>
      <c r="D7430" s="0" t="n">
        <v>1</v>
      </c>
    </row>
    <row r="7431" customFormat="false" ht="15" hidden="false" customHeight="false" outlineLevel="0" collapsed="false">
      <c r="A7431" s="0" t="n">
        <v>7430</v>
      </c>
      <c r="B7431" s="18" t="n">
        <v>943937.565180044</v>
      </c>
      <c r="C7431" s="18" t="n">
        <v>0</v>
      </c>
      <c r="D7431" s="0" t="n">
        <v>0</v>
      </c>
      <c r="E7431" s="19" t="n">
        <v>34.5</v>
      </c>
    </row>
    <row r="7432" customFormat="false" ht="15" hidden="false" customHeight="false" outlineLevel="0" collapsed="false">
      <c r="A7432" s="0" t="n">
        <v>7431</v>
      </c>
      <c r="B7432" s="18" t="n">
        <v>634288.634674088</v>
      </c>
      <c r="C7432" s="18" t="n">
        <v>0</v>
      </c>
      <c r="D7432" s="0" t="n">
        <v>0</v>
      </c>
      <c r="E7432" s="19" t="n">
        <v>43.5833333333333</v>
      </c>
    </row>
    <row r="7433" customFormat="false" ht="15" hidden="false" customHeight="false" outlineLevel="0" collapsed="false">
      <c r="A7433" s="0" t="n">
        <v>7432</v>
      </c>
      <c r="B7433" s="18" t="n">
        <v>1578188.28929335</v>
      </c>
      <c r="C7433" s="18" t="n">
        <v>2094177.08825247</v>
      </c>
      <c r="D7433" s="0" t="n">
        <v>1</v>
      </c>
    </row>
    <row r="7434" customFormat="false" ht="15" hidden="false" customHeight="false" outlineLevel="0" collapsed="false">
      <c r="A7434" s="0" t="n">
        <v>7433</v>
      </c>
      <c r="B7434" s="18" t="n">
        <v>815004.888497492</v>
      </c>
      <c r="C7434" s="18" t="n">
        <v>0</v>
      </c>
      <c r="D7434" s="0" t="n">
        <v>0</v>
      </c>
      <c r="E7434" s="19" t="n">
        <v>45.8333333333333</v>
      </c>
    </row>
    <row r="7435" customFormat="false" ht="15" hidden="false" customHeight="false" outlineLevel="0" collapsed="false">
      <c r="A7435" s="0" t="n">
        <v>7434</v>
      </c>
      <c r="B7435" s="18" t="n">
        <v>1515016.73255368</v>
      </c>
      <c r="C7435" s="18" t="n">
        <v>4312092.43796001</v>
      </c>
      <c r="D7435" s="0" t="n">
        <v>1</v>
      </c>
    </row>
    <row r="7436" customFormat="false" ht="15" hidden="false" customHeight="false" outlineLevel="0" collapsed="false">
      <c r="A7436" s="0" t="n">
        <v>7435</v>
      </c>
      <c r="B7436" s="18" t="n">
        <v>2637196.74705866</v>
      </c>
      <c r="C7436" s="18" t="n">
        <v>30471111.885127</v>
      </c>
      <c r="D7436" s="0" t="n">
        <v>1</v>
      </c>
    </row>
    <row r="7437" customFormat="false" ht="15" hidden="false" customHeight="false" outlineLevel="0" collapsed="false">
      <c r="A7437" s="0" t="n">
        <v>7436</v>
      </c>
      <c r="B7437" s="18" t="n">
        <v>1024050.54856521</v>
      </c>
      <c r="C7437" s="18" t="n">
        <v>1459822.49783104</v>
      </c>
      <c r="D7437" s="0" t="n">
        <v>1</v>
      </c>
    </row>
    <row r="7438" customFormat="false" ht="15" hidden="false" customHeight="false" outlineLevel="0" collapsed="false">
      <c r="A7438" s="0" t="n">
        <v>7437</v>
      </c>
      <c r="B7438" s="18" t="n">
        <v>2509088.65026941</v>
      </c>
      <c r="C7438" s="18" t="n">
        <v>9972862.7125046</v>
      </c>
      <c r="D7438" s="0" t="n">
        <v>1</v>
      </c>
    </row>
    <row r="7439" customFormat="false" ht="15" hidden="false" customHeight="false" outlineLevel="0" collapsed="false">
      <c r="A7439" s="0" t="n">
        <v>7438</v>
      </c>
      <c r="B7439" s="18" t="n">
        <v>725151.350319961</v>
      </c>
      <c r="C7439" s="18" t="n">
        <v>0</v>
      </c>
      <c r="D7439" s="0" t="n">
        <v>0</v>
      </c>
      <c r="E7439" s="19" t="n">
        <v>39.8333333333333</v>
      </c>
    </row>
    <row r="7440" customFormat="false" ht="15" hidden="false" customHeight="false" outlineLevel="0" collapsed="false">
      <c r="A7440" s="0" t="n">
        <v>7439</v>
      </c>
      <c r="B7440" s="18" t="n">
        <v>737323.293307136</v>
      </c>
      <c r="C7440" s="18" t="n">
        <v>0</v>
      </c>
      <c r="D7440" s="0" t="n">
        <v>0</v>
      </c>
      <c r="E7440" s="19" t="n">
        <v>37.5</v>
      </c>
    </row>
    <row r="7441" customFormat="false" ht="15" hidden="false" customHeight="false" outlineLevel="0" collapsed="false">
      <c r="A7441" s="0" t="n">
        <v>7440</v>
      </c>
      <c r="B7441" s="18" t="n">
        <v>468830.630866965</v>
      </c>
      <c r="C7441" s="18" t="n">
        <v>0</v>
      </c>
      <c r="D7441" s="0" t="n">
        <v>0</v>
      </c>
      <c r="E7441" s="19" t="n">
        <v>33.1666666666667</v>
      </c>
    </row>
    <row r="7442" customFormat="false" ht="15" hidden="false" customHeight="false" outlineLevel="0" collapsed="false">
      <c r="A7442" s="0" t="n">
        <v>7441</v>
      </c>
      <c r="B7442" s="18" t="n">
        <v>1972465.6776176</v>
      </c>
      <c r="C7442" s="18" t="n">
        <v>0</v>
      </c>
      <c r="D7442" s="0" t="n">
        <v>0</v>
      </c>
      <c r="E7442" s="19" t="n">
        <v>48.5833333333333</v>
      </c>
    </row>
    <row r="7443" customFormat="false" ht="15" hidden="false" customHeight="false" outlineLevel="0" collapsed="false">
      <c r="A7443" s="0" t="n">
        <v>7442</v>
      </c>
      <c r="B7443" s="18" t="n">
        <v>653383.438956034</v>
      </c>
      <c r="C7443" s="18" t="n">
        <v>0</v>
      </c>
      <c r="D7443" s="0" t="n">
        <v>0</v>
      </c>
      <c r="E7443" s="19" t="n">
        <v>33.75</v>
      </c>
    </row>
    <row r="7444" customFormat="false" ht="15" hidden="false" customHeight="false" outlineLevel="0" collapsed="false">
      <c r="A7444" s="0" t="n">
        <v>7443</v>
      </c>
      <c r="B7444" s="18" t="n">
        <v>322914.011010547</v>
      </c>
      <c r="C7444" s="18" t="n">
        <v>0</v>
      </c>
      <c r="D7444" s="0" t="n">
        <v>0</v>
      </c>
      <c r="E7444" s="19" t="n">
        <v>30.25</v>
      </c>
    </row>
    <row r="7445" customFormat="false" ht="15" hidden="false" customHeight="false" outlineLevel="0" collapsed="false">
      <c r="A7445" s="0" t="n">
        <v>7444</v>
      </c>
      <c r="B7445" s="18" t="n">
        <v>1555309.06412513</v>
      </c>
      <c r="C7445" s="18" t="n">
        <v>2553073.15271985</v>
      </c>
      <c r="D7445" s="0" t="n">
        <v>1</v>
      </c>
    </row>
    <row r="7446" customFormat="false" ht="15" hidden="false" customHeight="false" outlineLevel="0" collapsed="false">
      <c r="A7446" s="0" t="n">
        <v>7445</v>
      </c>
      <c r="B7446" s="18" t="n">
        <v>1452860.02318165</v>
      </c>
      <c r="C7446" s="18" t="n">
        <v>0</v>
      </c>
      <c r="D7446" s="0" t="n">
        <v>0</v>
      </c>
      <c r="E7446" s="19" t="n">
        <v>41.4166666666667</v>
      </c>
    </row>
    <row r="7447" customFormat="false" ht="15" hidden="false" customHeight="false" outlineLevel="0" collapsed="false">
      <c r="A7447" s="0" t="n">
        <v>7446</v>
      </c>
      <c r="B7447" s="18" t="n">
        <v>747150.876708089</v>
      </c>
      <c r="C7447" s="18" t="n">
        <v>0</v>
      </c>
      <c r="D7447" s="0" t="n">
        <v>0</v>
      </c>
      <c r="E7447" s="19" t="n">
        <v>54.25</v>
      </c>
    </row>
    <row r="7448" customFormat="false" ht="15" hidden="false" customHeight="false" outlineLevel="0" collapsed="false">
      <c r="A7448" s="0" t="n">
        <v>7447</v>
      </c>
      <c r="B7448" s="18" t="n">
        <v>2233354.158147</v>
      </c>
      <c r="C7448" s="18" t="n">
        <v>23871901.0802441</v>
      </c>
      <c r="D7448" s="0" t="n">
        <v>1</v>
      </c>
    </row>
    <row r="7449" customFormat="false" ht="15" hidden="false" customHeight="false" outlineLevel="0" collapsed="false">
      <c r="A7449" s="0" t="n">
        <v>7448</v>
      </c>
      <c r="B7449" s="18" t="n">
        <v>621153.149308049</v>
      </c>
      <c r="C7449" s="18" t="n">
        <v>0</v>
      </c>
      <c r="D7449" s="0" t="n">
        <v>0</v>
      </c>
      <c r="E7449" s="19" t="n">
        <v>35.6666666666667</v>
      </c>
    </row>
    <row r="7450" customFormat="false" ht="15" hidden="false" customHeight="false" outlineLevel="0" collapsed="false">
      <c r="A7450" s="0" t="n">
        <v>7449</v>
      </c>
      <c r="B7450" s="18" t="n">
        <v>562798.281893865</v>
      </c>
      <c r="C7450" s="18" t="n">
        <v>0</v>
      </c>
      <c r="D7450" s="0" t="n">
        <v>0</v>
      </c>
      <c r="E7450" s="19" t="n">
        <v>38.75</v>
      </c>
    </row>
    <row r="7451" customFormat="false" ht="15" hidden="false" customHeight="false" outlineLevel="0" collapsed="false">
      <c r="A7451" s="0" t="n">
        <v>7450</v>
      </c>
      <c r="B7451" s="18" t="n">
        <v>648014.368004409</v>
      </c>
      <c r="C7451" s="18" t="n">
        <v>0</v>
      </c>
      <c r="D7451" s="0" t="n">
        <v>0</v>
      </c>
      <c r="E7451" s="19" t="n">
        <v>34.9166666666667</v>
      </c>
    </row>
    <row r="7452" customFormat="false" ht="15" hidden="false" customHeight="false" outlineLevel="0" collapsed="false">
      <c r="A7452" s="0" t="n">
        <v>7451</v>
      </c>
      <c r="B7452" s="18" t="n">
        <v>842931.527470027</v>
      </c>
      <c r="C7452" s="18" t="n">
        <v>0</v>
      </c>
      <c r="D7452" s="0" t="n">
        <v>0</v>
      </c>
      <c r="E7452" s="19" t="n">
        <v>37.4166666666667</v>
      </c>
    </row>
    <row r="7453" customFormat="false" ht="15" hidden="false" customHeight="false" outlineLevel="0" collapsed="false">
      <c r="A7453" s="0" t="n">
        <v>7452</v>
      </c>
      <c r="B7453" s="18" t="n">
        <v>824082.418897506</v>
      </c>
      <c r="C7453" s="18" t="n">
        <v>0</v>
      </c>
      <c r="D7453" s="0" t="n">
        <v>0</v>
      </c>
      <c r="E7453" s="19" t="n">
        <v>45.9166666666667</v>
      </c>
    </row>
    <row r="7454" customFormat="false" ht="15" hidden="false" customHeight="false" outlineLevel="0" collapsed="false">
      <c r="A7454" s="0" t="n">
        <v>7453</v>
      </c>
      <c r="B7454" s="18" t="n">
        <v>1228524.82012103</v>
      </c>
      <c r="C7454" s="18" t="n">
        <v>0</v>
      </c>
      <c r="D7454" s="0" t="n">
        <v>0</v>
      </c>
      <c r="E7454" s="19" t="n">
        <v>49.75</v>
      </c>
    </row>
    <row r="7455" customFormat="false" ht="15" hidden="false" customHeight="false" outlineLevel="0" collapsed="false">
      <c r="A7455" s="0" t="n">
        <v>7454</v>
      </c>
      <c r="B7455" s="18" t="n">
        <v>743945.963425234</v>
      </c>
      <c r="C7455" s="18" t="n">
        <v>1755726.0737599</v>
      </c>
      <c r="D7455" s="0" t="n">
        <v>1</v>
      </c>
    </row>
    <row r="7456" customFormat="false" ht="15" hidden="false" customHeight="false" outlineLevel="0" collapsed="false">
      <c r="A7456" s="0" t="n">
        <v>7455</v>
      </c>
      <c r="B7456" s="18" t="n">
        <v>1811783.61495624</v>
      </c>
      <c r="C7456" s="18" t="n">
        <v>0</v>
      </c>
      <c r="D7456" s="0" t="n">
        <v>0</v>
      </c>
      <c r="E7456" s="19" t="n">
        <v>53.5</v>
      </c>
    </row>
    <row r="7457" customFormat="false" ht="15" hidden="false" customHeight="false" outlineLevel="0" collapsed="false">
      <c r="A7457" s="0" t="n">
        <v>7456</v>
      </c>
      <c r="B7457" s="18" t="n">
        <v>879691.849546175</v>
      </c>
      <c r="C7457" s="18" t="n">
        <v>0</v>
      </c>
      <c r="D7457" s="0" t="n">
        <v>0</v>
      </c>
      <c r="E7457" s="19" t="n">
        <v>52.6666666666667</v>
      </c>
    </row>
    <row r="7458" customFormat="false" ht="15" hidden="false" customHeight="false" outlineLevel="0" collapsed="false">
      <c r="A7458" s="0" t="n">
        <v>7457</v>
      </c>
      <c r="B7458" s="18" t="n">
        <v>918399.749877111</v>
      </c>
      <c r="C7458" s="18" t="n">
        <v>234808.05128486</v>
      </c>
      <c r="D7458" s="0" t="n">
        <v>1</v>
      </c>
    </row>
    <row r="7459" customFormat="false" ht="15" hidden="false" customHeight="false" outlineLevel="0" collapsed="false">
      <c r="A7459" s="0" t="n">
        <v>7458</v>
      </c>
      <c r="B7459" s="18" t="n">
        <v>541502.900792953</v>
      </c>
      <c r="C7459" s="18" t="n">
        <v>0</v>
      </c>
      <c r="D7459" s="0" t="n">
        <v>0</v>
      </c>
      <c r="E7459" s="19" t="n">
        <v>37.0833333333333</v>
      </c>
    </row>
    <row r="7460" customFormat="false" ht="15" hidden="false" customHeight="false" outlineLevel="0" collapsed="false">
      <c r="A7460" s="0" t="n">
        <v>7459</v>
      </c>
      <c r="B7460" s="18" t="n">
        <v>628602.466063662</v>
      </c>
      <c r="C7460" s="18" t="n">
        <v>0</v>
      </c>
      <c r="D7460" s="0" t="n">
        <v>0</v>
      </c>
      <c r="E7460" s="19" t="n">
        <v>39.6666666666667</v>
      </c>
    </row>
    <row r="7461" customFormat="false" ht="15" hidden="false" customHeight="false" outlineLevel="0" collapsed="false">
      <c r="A7461" s="0" t="n">
        <v>7460</v>
      </c>
      <c r="B7461" s="18" t="n">
        <v>690652.43166237</v>
      </c>
      <c r="C7461" s="18" t="n">
        <v>0</v>
      </c>
      <c r="D7461" s="0" t="n">
        <v>0</v>
      </c>
      <c r="E7461" s="19" t="n">
        <v>35.3333333333333</v>
      </c>
    </row>
    <row r="7462" customFormat="false" ht="15" hidden="false" customHeight="false" outlineLevel="0" collapsed="false">
      <c r="A7462" s="0" t="n">
        <v>7461</v>
      </c>
      <c r="B7462" s="18" t="n">
        <v>1004536.53807449</v>
      </c>
      <c r="C7462" s="18" t="n">
        <v>0</v>
      </c>
      <c r="D7462" s="0" t="n">
        <v>0</v>
      </c>
      <c r="E7462" s="19" t="n">
        <v>48.75</v>
      </c>
    </row>
    <row r="7463" customFormat="false" ht="15" hidden="false" customHeight="false" outlineLevel="0" collapsed="false">
      <c r="A7463" s="0" t="n">
        <v>7462</v>
      </c>
      <c r="B7463" s="18" t="n">
        <v>1023797.33648172</v>
      </c>
      <c r="C7463" s="18" t="n">
        <v>8213021.95211581</v>
      </c>
      <c r="D7463" s="0" t="n">
        <v>1</v>
      </c>
    </row>
    <row r="7464" customFormat="false" ht="15" hidden="false" customHeight="false" outlineLevel="0" collapsed="false">
      <c r="A7464" s="0" t="n">
        <v>7463</v>
      </c>
      <c r="B7464" s="18" t="n">
        <v>991500.467839706</v>
      </c>
      <c r="C7464" s="18" t="n">
        <v>295285.810696409</v>
      </c>
      <c r="D7464" s="0" t="n">
        <v>1</v>
      </c>
    </row>
    <row r="7465" customFormat="false" ht="15" hidden="false" customHeight="false" outlineLevel="0" collapsed="false">
      <c r="A7465" s="0" t="n">
        <v>7464</v>
      </c>
      <c r="B7465" s="18" t="n">
        <v>1100310.47372498</v>
      </c>
      <c r="C7465" s="18" t="n">
        <v>424082.561018613</v>
      </c>
      <c r="D7465" s="0" t="n">
        <v>1</v>
      </c>
    </row>
    <row r="7466" customFormat="false" ht="15" hidden="false" customHeight="false" outlineLevel="0" collapsed="false">
      <c r="A7466" s="0" t="n">
        <v>7465</v>
      </c>
      <c r="B7466" s="18" t="n">
        <v>314738.715541661</v>
      </c>
      <c r="C7466" s="18" t="n">
        <v>0</v>
      </c>
      <c r="D7466" s="0" t="n">
        <v>0</v>
      </c>
      <c r="E7466" s="19" t="n">
        <v>33</v>
      </c>
    </row>
    <row r="7467" customFormat="false" ht="15" hidden="false" customHeight="false" outlineLevel="0" collapsed="false">
      <c r="A7467" s="0" t="n">
        <v>7466</v>
      </c>
      <c r="B7467" s="18" t="n">
        <v>444594.818254293</v>
      </c>
      <c r="C7467" s="18" t="n">
        <v>0</v>
      </c>
      <c r="D7467" s="0" t="n">
        <v>0</v>
      </c>
      <c r="E7467" s="19" t="n">
        <v>44.4166666666667</v>
      </c>
    </row>
    <row r="7468" customFormat="false" ht="15" hidden="false" customHeight="false" outlineLevel="0" collapsed="false">
      <c r="A7468" s="0" t="n">
        <v>7467</v>
      </c>
      <c r="B7468" s="18" t="n">
        <v>510468.038881482</v>
      </c>
      <c r="C7468" s="18" t="n">
        <v>0</v>
      </c>
      <c r="D7468" s="0" t="n">
        <v>0</v>
      </c>
      <c r="E7468" s="19" t="n">
        <v>33.1666666666667</v>
      </c>
    </row>
    <row r="7469" customFormat="false" ht="15" hidden="false" customHeight="false" outlineLevel="0" collapsed="false">
      <c r="A7469" s="0" t="n">
        <v>7468</v>
      </c>
      <c r="B7469" s="18" t="n">
        <v>1049126.0826921</v>
      </c>
      <c r="C7469" s="18" t="n">
        <v>1137935.60635501</v>
      </c>
      <c r="D7469" s="0" t="n">
        <v>1</v>
      </c>
    </row>
    <row r="7470" customFormat="false" ht="15" hidden="false" customHeight="false" outlineLevel="0" collapsed="false">
      <c r="A7470" s="0" t="n">
        <v>7469</v>
      </c>
      <c r="B7470" s="18" t="n">
        <v>700506.245687864</v>
      </c>
      <c r="C7470" s="18" t="n">
        <v>0</v>
      </c>
      <c r="D7470" s="0" t="n">
        <v>0</v>
      </c>
      <c r="E7470" s="19" t="n">
        <v>45.6666666666667</v>
      </c>
    </row>
    <row r="7471" customFormat="false" ht="15" hidden="false" customHeight="false" outlineLevel="0" collapsed="false">
      <c r="A7471" s="0" t="n">
        <v>7470</v>
      </c>
      <c r="B7471" s="18" t="n">
        <v>673053.102911373</v>
      </c>
      <c r="C7471" s="18" t="n">
        <v>0</v>
      </c>
      <c r="D7471" s="0" t="n">
        <v>0</v>
      </c>
      <c r="E7471" s="19" t="n">
        <v>36.4166666666667</v>
      </c>
    </row>
    <row r="7472" customFormat="false" ht="15" hidden="false" customHeight="false" outlineLevel="0" collapsed="false">
      <c r="A7472" s="0" t="n">
        <v>7471</v>
      </c>
      <c r="B7472" s="18" t="n">
        <v>888409.480075433</v>
      </c>
      <c r="C7472" s="18" t="n">
        <v>0</v>
      </c>
      <c r="D7472" s="0" t="n">
        <v>0</v>
      </c>
      <c r="E7472" s="19" t="n">
        <v>41.8333333333333</v>
      </c>
    </row>
    <row r="7473" customFormat="false" ht="15" hidden="false" customHeight="false" outlineLevel="0" collapsed="false">
      <c r="A7473" s="0" t="n">
        <v>7472</v>
      </c>
      <c r="B7473" s="18" t="n">
        <v>484662.526780757</v>
      </c>
      <c r="C7473" s="18" t="n">
        <v>0</v>
      </c>
      <c r="D7473" s="0" t="n">
        <v>0</v>
      </c>
      <c r="E7473" s="19" t="n">
        <v>36</v>
      </c>
    </row>
    <row r="7474" customFormat="false" ht="15" hidden="false" customHeight="false" outlineLevel="0" collapsed="false">
      <c r="A7474" s="0" t="n">
        <v>7473</v>
      </c>
      <c r="B7474" s="18" t="n">
        <v>1028284.32034367</v>
      </c>
      <c r="C7474" s="18" t="n">
        <v>0</v>
      </c>
      <c r="D7474" s="0" t="n">
        <v>0</v>
      </c>
      <c r="E7474" s="19" t="n">
        <v>48.8333333333333</v>
      </c>
    </row>
    <row r="7475" customFormat="false" ht="15" hidden="false" customHeight="false" outlineLevel="0" collapsed="false">
      <c r="A7475" s="0" t="n">
        <v>7474</v>
      </c>
      <c r="B7475" s="18" t="n">
        <v>712242.163099032</v>
      </c>
      <c r="C7475" s="18" t="n">
        <v>0</v>
      </c>
      <c r="D7475" s="0" t="n">
        <v>0</v>
      </c>
      <c r="E7475" s="19" t="n">
        <v>39.4166666666667</v>
      </c>
    </row>
    <row r="7476" customFormat="false" ht="15" hidden="false" customHeight="false" outlineLevel="0" collapsed="false">
      <c r="A7476" s="0" t="n">
        <v>7475</v>
      </c>
      <c r="B7476" s="18" t="n">
        <v>1777999.61671479</v>
      </c>
      <c r="C7476" s="18" t="n">
        <v>2605326.40979132</v>
      </c>
      <c r="D7476" s="0" t="n">
        <v>1</v>
      </c>
    </row>
    <row r="7477" customFormat="false" ht="15" hidden="false" customHeight="false" outlineLevel="0" collapsed="false">
      <c r="A7477" s="0" t="n">
        <v>7476</v>
      </c>
      <c r="B7477" s="18" t="n">
        <v>1770536.19981166</v>
      </c>
      <c r="C7477" s="18" t="n">
        <v>9801665.40389288</v>
      </c>
      <c r="D7477" s="0" t="n">
        <v>1</v>
      </c>
    </row>
    <row r="7478" customFormat="false" ht="15" hidden="false" customHeight="false" outlineLevel="0" collapsed="false">
      <c r="A7478" s="0" t="n">
        <v>7477</v>
      </c>
      <c r="B7478" s="18" t="n">
        <v>699442.706616606</v>
      </c>
      <c r="C7478" s="18" t="n">
        <v>0</v>
      </c>
      <c r="D7478" s="0" t="n">
        <v>0</v>
      </c>
      <c r="E7478" s="19" t="n">
        <v>31.75</v>
      </c>
    </row>
    <row r="7479" customFormat="false" ht="15" hidden="false" customHeight="false" outlineLevel="0" collapsed="false">
      <c r="A7479" s="0" t="n">
        <v>7478</v>
      </c>
      <c r="B7479" s="18" t="n">
        <v>958176.663363082</v>
      </c>
      <c r="C7479" s="18" t="n">
        <v>0</v>
      </c>
      <c r="D7479" s="0" t="n">
        <v>0</v>
      </c>
      <c r="E7479" s="19" t="n">
        <v>36.4166666666667</v>
      </c>
    </row>
    <row r="7480" customFormat="false" ht="15" hidden="false" customHeight="false" outlineLevel="0" collapsed="false">
      <c r="A7480" s="0" t="n">
        <v>7479</v>
      </c>
      <c r="B7480" s="18" t="n">
        <v>519974.228723772</v>
      </c>
      <c r="C7480" s="18" t="n">
        <v>0</v>
      </c>
      <c r="D7480" s="0" t="n">
        <v>0</v>
      </c>
      <c r="E7480" s="19" t="n">
        <v>38.25</v>
      </c>
    </row>
    <row r="7481" customFormat="false" ht="15" hidden="false" customHeight="false" outlineLevel="0" collapsed="false">
      <c r="A7481" s="0" t="n">
        <v>7480</v>
      </c>
      <c r="B7481" s="18" t="n">
        <v>1232561.67989877</v>
      </c>
      <c r="C7481" s="18" t="n">
        <v>0</v>
      </c>
      <c r="D7481" s="0" t="n">
        <v>0</v>
      </c>
      <c r="E7481" s="19" t="n">
        <v>45</v>
      </c>
    </row>
    <row r="7482" customFormat="false" ht="15" hidden="false" customHeight="false" outlineLevel="0" collapsed="false">
      <c r="A7482" s="0" t="n">
        <v>7481</v>
      </c>
      <c r="B7482" s="18" t="n">
        <v>1195463.95006908</v>
      </c>
      <c r="C7482" s="18" t="n">
        <v>138494.809397762</v>
      </c>
      <c r="D7482" s="0" t="n">
        <v>1</v>
      </c>
    </row>
    <row r="7483" customFormat="false" ht="15" hidden="false" customHeight="false" outlineLevel="0" collapsed="false">
      <c r="A7483" s="0" t="n">
        <v>7482</v>
      </c>
      <c r="B7483" s="18" t="n">
        <v>788221.499794249</v>
      </c>
      <c r="C7483" s="18" t="n">
        <v>0</v>
      </c>
      <c r="D7483" s="0" t="n">
        <v>0</v>
      </c>
      <c r="E7483" s="19" t="n">
        <v>38.9166666666667</v>
      </c>
    </row>
    <row r="7484" customFormat="false" ht="15" hidden="false" customHeight="false" outlineLevel="0" collapsed="false">
      <c r="A7484" s="0" t="n">
        <v>7483</v>
      </c>
      <c r="B7484" s="18" t="n">
        <v>2901624.74009866</v>
      </c>
      <c r="C7484" s="18" t="n">
        <v>703205.706723795</v>
      </c>
      <c r="D7484" s="0" t="n">
        <v>1</v>
      </c>
    </row>
    <row r="7485" customFormat="false" ht="15" hidden="false" customHeight="false" outlineLevel="0" collapsed="false">
      <c r="A7485" s="0" t="n">
        <v>7484</v>
      </c>
      <c r="B7485" s="18" t="n">
        <v>355314.288247846</v>
      </c>
      <c r="C7485" s="18" t="n">
        <v>0</v>
      </c>
      <c r="D7485" s="0" t="n">
        <v>0</v>
      </c>
      <c r="E7485" s="19" t="n">
        <v>29.8333333333333</v>
      </c>
    </row>
    <row r="7486" customFormat="false" ht="15" hidden="false" customHeight="false" outlineLevel="0" collapsed="false">
      <c r="A7486" s="0" t="n">
        <v>7485</v>
      </c>
      <c r="B7486" s="18" t="n">
        <v>1214979.21175421</v>
      </c>
      <c r="C7486" s="18" t="n">
        <v>0</v>
      </c>
      <c r="D7486" s="0" t="n">
        <v>0</v>
      </c>
      <c r="E7486" s="19" t="n">
        <v>52.1666666666667</v>
      </c>
    </row>
    <row r="7487" customFormat="false" ht="15" hidden="false" customHeight="false" outlineLevel="0" collapsed="false">
      <c r="A7487" s="0" t="n">
        <v>7486</v>
      </c>
      <c r="B7487" s="18" t="n">
        <v>1451135.01224793</v>
      </c>
      <c r="C7487" s="18" t="n">
        <v>0</v>
      </c>
      <c r="D7487" s="0" t="n">
        <v>0</v>
      </c>
      <c r="E7487" s="19" t="n">
        <v>50.75</v>
      </c>
    </row>
    <row r="7488" customFormat="false" ht="15" hidden="false" customHeight="false" outlineLevel="0" collapsed="false">
      <c r="A7488" s="0" t="n">
        <v>7487</v>
      </c>
      <c r="B7488" s="18" t="n">
        <v>891465.355280717</v>
      </c>
      <c r="C7488" s="18" t="n">
        <v>0</v>
      </c>
      <c r="D7488" s="0" t="n">
        <v>0</v>
      </c>
      <c r="E7488" s="19" t="n">
        <v>49.3333333333333</v>
      </c>
    </row>
    <row r="7489" customFormat="false" ht="15" hidden="false" customHeight="false" outlineLevel="0" collapsed="false">
      <c r="A7489" s="0" t="n">
        <v>7488</v>
      </c>
      <c r="B7489" s="18" t="n">
        <v>301856.557197853</v>
      </c>
      <c r="C7489" s="18" t="n">
        <v>0</v>
      </c>
      <c r="D7489" s="0" t="n">
        <v>0</v>
      </c>
      <c r="E7489" s="19" t="n">
        <v>31.5</v>
      </c>
    </row>
    <row r="7490" customFormat="false" ht="15" hidden="false" customHeight="false" outlineLevel="0" collapsed="false">
      <c r="A7490" s="0" t="n">
        <v>7489</v>
      </c>
      <c r="B7490" s="18" t="n">
        <v>1082698.8425064</v>
      </c>
      <c r="C7490" s="18" t="n">
        <v>3464793.9034191</v>
      </c>
      <c r="D7490" s="0" t="n">
        <v>1</v>
      </c>
    </row>
    <row r="7491" customFormat="false" ht="15" hidden="false" customHeight="false" outlineLevel="0" collapsed="false">
      <c r="A7491" s="0" t="n">
        <v>7490</v>
      </c>
      <c r="B7491" s="18" t="n">
        <v>1354143.28174799</v>
      </c>
      <c r="C7491" s="18" t="n">
        <v>690092.68965879</v>
      </c>
      <c r="D7491" s="0" t="n">
        <v>1</v>
      </c>
    </row>
    <row r="7492" customFormat="false" ht="15" hidden="false" customHeight="false" outlineLevel="0" collapsed="false">
      <c r="A7492" s="0" t="n">
        <v>7491</v>
      </c>
      <c r="B7492" s="18" t="n">
        <v>940257.893303663</v>
      </c>
      <c r="C7492" s="18" t="n">
        <v>0</v>
      </c>
      <c r="D7492" s="0" t="n">
        <v>0</v>
      </c>
      <c r="E7492" s="19" t="n">
        <v>35.75</v>
      </c>
    </row>
    <row r="7493" customFormat="false" ht="15" hidden="false" customHeight="false" outlineLevel="0" collapsed="false">
      <c r="A7493" s="0" t="n">
        <v>7492</v>
      </c>
      <c r="B7493" s="18" t="n">
        <v>1921651.86933888</v>
      </c>
      <c r="C7493" s="18" t="n">
        <v>3671365.754293</v>
      </c>
      <c r="D7493" s="0" t="n">
        <v>1</v>
      </c>
    </row>
    <row r="7494" customFormat="false" ht="15" hidden="false" customHeight="false" outlineLevel="0" collapsed="false">
      <c r="A7494" s="0" t="n">
        <v>7493</v>
      </c>
      <c r="B7494" s="18" t="n">
        <v>1526088.78149729</v>
      </c>
      <c r="C7494" s="18" t="n">
        <v>1232572.60792334</v>
      </c>
      <c r="D7494" s="0" t="n">
        <v>1</v>
      </c>
    </row>
    <row r="7495" customFormat="false" ht="15" hidden="false" customHeight="false" outlineLevel="0" collapsed="false">
      <c r="A7495" s="0" t="n">
        <v>7494</v>
      </c>
      <c r="B7495" s="18" t="n">
        <v>855501.334767534</v>
      </c>
      <c r="C7495" s="18" t="n">
        <v>0</v>
      </c>
      <c r="D7495" s="0" t="n">
        <v>0</v>
      </c>
      <c r="E7495" s="19" t="n">
        <v>35.3333333333333</v>
      </c>
    </row>
    <row r="7496" customFormat="false" ht="15" hidden="false" customHeight="false" outlineLevel="0" collapsed="false">
      <c r="A7496" s="0" t="n">
        <v>7495</v>
      </c>
      <c r="B7496" s="18" t="n">
        <v>1065695.08612611</v>
      </c>
      <c r="C7496" s="18" t="n">
        <v>1041953.83184808</v>
      </c>
      <c r="D7496" s="0" t="n">
        <v>1</v>
      </c>
    </row>
    <row r="7497" customFormat="false" ht="15" hidden="false" customHeight="false" outlineLevel="0" collapsed="false">
      <c r="A7497" s="0" t="n">
        <v>7496</v>
      </c>
      <c r="B7497" s="18" t="n">
        <v>486134.702808632</v>
      </c>
      <c r="C7497" s="18" t="n">
        <v>0</v>
      </c>
      <c r="D7497" s="0" t="n">
        <v>0</v>
      </c>
      <c r="E7497" s="19" t="n">
        <v>34.75</v>
      </c>
    </row>
    <row r="7498" customFormat="false" ht="15" hidden="false" customHeight="false" outlineLevel="0" collapsed="false">
      <c r="A7498" s="0" t="n">
        <v>7497</v>
      </c>
      <c r="B7498" s="18" t="n">
        <v>859025.49807868</v>
      </c>
      <c r="C7498" s="18" t="n">
        <v>0</v>
      </c>
      <c r="D7498" s="0" t="n">
        <v>0</v>
      </c>
      <c r="E7498" s="19" t="n">
        <v>52.25</v>
      </c>
    </row>
    <row r="7499" customFormat="false" ht="15" hidden="false" customHeight="false" outlineLevel="0" collapsed="false">
      <c r="A7499" s="0" t="n">
        <v>7498</v>
      </c>
      <c r="B7499" s="18" t="n">
        <v>1054976.04594872</v>
      </c>
      <c r="C7499" s="18" t="n">
        <v>0</v>
      </c>
      <c r="D7499" s="0" t="n">
        <v>0</v>
      </c>
      <c r="E7499" s="19" t="n">
        <v>44.4166666666667</v>
      </c>
    </row>
    <row r="7500" customFormat="false" ht="15" hidden="false" customHeight="false" outlineLevel="0" collapsed="false">
      <c r="A7500" s="0" t="n">
        <v>7499</v>
      </c>
      <c r="B7500" s="18" t="n">
        <v>554081.952132661</v>
      </c>
      <c r="C7500" s="18" t="n">
        <v>0</v>
      </c>
      <c r="D7500" s="0" t="n">
        <v>0</v>
      </c>
      <c r="E7500" s="19" t="n">
        <v>35</v>
      </c>
    </row>
    <row r="7501" customFormat="false" ht="15" hidden="false" customHeight="false" outlineLevel="0" collapsed="false">
      <c r="A7501" s="0" t="n">
        <v>7500</v>
      </c>
      <c r="B7501" s="18" t="n">
        <v>1458120.76910984</v>
      </c>
      <c r="C7501" s="18" t="n">
        <v>5554840.42308024</v>
      </c>
      <c r="D7501" s="0" t="n">
        <v>1</v>
      </c>
    </row>
    <row r="7502" customFormat="false" ht="15" hidden="false" customHeight="false" outlineLevel="0" collapsed="false">
      <c r="A7502" s="0" t="n">
        <v>7501</v>
      </c>
      <c r="B7502" s="18" t="n">
        <v>321519.617153758</v>
      </c>
      <c r="C7502" s="18" t="n">
        <v>0</v>
      </c>
      <c r="D7502" s="0" t="n">
        <v>0</v>
      </c>
      <c r="E7502" s="19" t="n">
        <v>29.8333333333333</v>
      </c>
    </row>
    <row r="7503" customFormat="false" ht="15" hidden="false" customHeight="false" outlineLevel="0" collapsed="false">
      <c r="A7503" s="0" t="n">
        <v>7502</v>
      </c>
      <c r="B7503" s="18" t="n">
        <v>1051549.73202654</v>
      </c>
      <c r="C7503" s="18" t="n">
        <v>0</v>
      </c>
      <c r="D7503" s="0" t="n">
        <v>0</v>
      </c>
      <c r="E7503" s="19" t="n">
        <v>37.8333333333333</v>
      </c>
    </row>
    <row r="7504" customFormat="false" ht="15" hidden="false" customHeight="false" outlineLevel="0" collapsed="false">
      <c r="A7504" s="0" t="n">
        <v>7503</v>
      </c>
      <c r="B7504" s="18" t="n">
        <v>759384.49520371</v>
      </c>
      <c r="C7504" s="18" t="n">
        <v>0</v>
      </c>
      <c r="D7504" s="0" t="n">
        <v>0</v>
      </c>
      <c r="E7504" s="19" t="n">
        <v>41.75</v>
      </c>
    </row>
    <row r="7505" customFormat="false" ht="15" hidden="false" customHeight="false" outlineLevel="0" collapsed="false">
      <c r="A7505" s="0" t="n">
        <v>7504</v>
      </c>
      <c r="B7505" s="18" t="n">
        <v>1628204.07147973</v>
      </c>
      <c r="C7505" s="18" t="n">
        <v>0</v>
      </c>
      <c r="D7505" s="0" t="n">
        <v>0</v>
      </c>
      <c r="E7505" s="19" t="n">
        <v>51</v>
      </c>
    </row>
    <row r="7506" customFormat="false" ht="15" hidden="false" customHeight="false" outlineLevel="0" collapsed="false">
      <c r="A7506" s="0" t="n">
        <v>7505</v>
      </c>
      <c r="B7506" s="18" t="n">
        <v>759020.245256191</v>
      </c>
      <c r="C7506" s="18" t="n">
        <v>0</v>
      </c>
      <c r="D7506" s="0" t="n">
        <v>0</v>
      </c>
      <c r="E7506" s="19" t="n">
        <v>41.3333333333333</v>
      </c>
    </row>
    <row r="7507" customFormat="false" ht="15" hidden="false" customHeight="false" outlineLevel="0" collapsed="false">
      <c r="A7507" s="0" t="n">
        <v>7506</v>
      </c>
      <c r="B7507" s="18" t="n">
        <v>593805.446859067</v>
      </c>
      <c r="C7507" s="18" t="n">
        <v>0</v>
      </c>
      <c r="D7507" s="0" t="n">
        <v>0</v>
      </c>
      <c r="E7507" s="19" t="n">
        <v>37.75</v>
      </c>
    </row>
    <row r="7508" customFormat="false" ht="15" hidden="false" customHeight="false" outlineLevel="0" collapsed="false">
      <c r="A7508" s="0" t="n">
        <v>7507</v>
      </c>
      <c r="B7508" s="18" t="n">
        <v>494542.098763046</v>
      </c>
      <c r="C7508" s="18" t="n">
        <v>0</v>
      </c>
      <c r="D7508" s="0" t="n">
        <v>0</v>
      </c>
      <c r="E7508" s="19" t="n">
        <v>31.4166666666667</v>
      </c>
    </row>
    <row r="7509" customFormat="false" ht="15" hidden="false" customHeight="false" outlineLevel="0" collapsed="false">
      <c r="A7509" s="0" t="n">
        <v>7508</v>
      </c>
      <c r="B7509" s="18" t="n">
        <v>2398540.05537114</v>
      </c>
      <c r="C7509" s="18" t="n">
        <v>22490045.5879227</v>
      </c>
      <c r="D7509" s="0" t="n">
        <v>1</v>
      </c>
    </row>
    <row r="7510" customFormat="false" ht="15" hidden="false" customHeight="false" outlineLevel="0" collapsed="false">
      <c r="A7510" s="0" t="n">
        <v>7509</v>
      </c>
      <c r="B7510" s="18" t="n">
        <v>1545754.98888273</v>
      </c>
      <c r="C7510" s="18" t="n">
        <v>45462843.2089864</v>
      </c>
      <c r="D7510" s="0" t="n">
        <v>1</v>
      </c>
    </row>
    <row r="7511" customFormat="false" ht="15" hidden="false" customHeight="false" outlineLevel="0" collapsed="false">
      <c r="A7511" s="0" t="n">
        <v>7510</v>
      </c>
      <c r="B7511" s="18" t="n">
        <v>724129.46587756</v>
      </c>
      <c r="C7511" s="18" t="n">
        <v>0</v>
      </c>
      <c r="D7511" s="0" t="n">
        <v>0</v>
      </c>
      <c r="E7511" s="19" t="n">
        <v>39.5833333333333</v>
      </c>
    </row>
    <row r="7512" customFormat="false" ht="15" hidden="false" customHeight="false" outlineLevel="0" collapsed="false">
      <c r="A7512" s="0" t="n">
        <v>7511</v>
      </c>
      <c r="B7512" s="18" t="n">
        <v>1364468.88201276</v>
      </c>
      <c r="C7512" s="18" t="n">
        <v>6789514.33891355</v>
      </c>
      <c r="D7512" s="0" t="n">
        <v>1</v>
      </c>
    </row>
    <row r="7513" customFormat="false" ht="15" hidden="false" customHeight="false" outlineLevel="0" collapsed="false">
      <c r="A7513" s="0" t="n">
        <v>7512</v>
      </c>
      <c r="B7513" s="18" t="n">
        <v>1210443.49888737</v>
      </c>
      <c r="C7513" s="18" t="n">
        <v>4592111.88724068</v>
      </c>
      <c r="D7513" s="0" t="n">
        <v>1</v>
      </c>
    </row>
    <row r="7514" customFormat="false" ht="15" hidden="false" customHeight="false" outlineLevel="0" collapsed="false">
      <c r="A7514" s="0" t="n">
        <v>7513</v>
      </c>
      <c r="B7514" s="18" t="n">
        <v>2360481.85004827</v>
      </c>
      <c r="C7514" s="18" t="n">
        <v>1214153.78406429</v>
      </c>
      <c r="D7514" s="0" t="n">
        <v>1</v>
      </c>
    </row>
    <row r="7515" customFormat="false" ht="15" hidden="false" customHeight="false" outlineLevel="0" collapsed="false">
      <c r="A7515" s="0" t="n">
        <v>7514</v>
      </c>
      <c r="B7515" s="18" t="n">
        <v>1222885.10667821</v>
      </c>
      <c r="C7515" s="18" t="n">
        <v>2281556.94717145</v>
      </c>
      <c r="D7515" s="0" t="n">
        <v>1</v>
      </c>
    </row>
    <row r="7516" customFormat="false" ht="15" hidden="false" customHeight="false" outlineLevel="0" collapsed="false">
      <c r="A7516" s="0" t="n">
        <v>7515</v>
      </c>
      <c r="B7516" s="18" t="n">
        <v>932775.407652281</v>
      </c>
      <c r="C7516" s="18" t="n">
        <v>0</v>
      </c>
      <c r="D7516" s="0" t="n">
        <v>0</v>
      </c>
      <c r="E7516" s="19" t="n">
        <v>43.5</v>
      </c>
    </row>
    <row r="7517" customFormat="false" ht="15" hidden="false" customHeight="false" outlineLevel="0" collapsed="false">
      <c r="A7517" s="0" t="n">
        <v>7516</v>
      </c>
      <c r="B7517" s="18" t="n">
        <v>1695437.80290909</v>
      </c>
      <c r="C7517" s="18" t="n">
        <v>5902984.92589349</v>
      </c>
      <c r="D7517" s="0" t="n">
        <v>1</v>
      </c>
    </row>
    <row r="7518" customFormat="false" ht="15" hidden="false" customHeight="false" outlineLevel="0" collapsed="false">
      <c r="A7518" s="0" t="n">
        <v>7517</v>
      </c>
      <c r="B7518" s="18" t="n">
        <v>1090511.99130817</v>
      </c>
      <c r="C7518" s="18" t="n">
        <v>0</v>
      </c>
      <c r="D7518" s="0" t="n">
        <v>0</v>
      </c>
      <c r="E7518" s="19" t="n">
        <v>47.3333333333333</v>
      </c>
    </row>
    <row r="7519" customFormat="false" ht="15" hidden="false" customHeight="false" outlineLevel="0" collapsed="false">
      <c r="A7519" s="0" t="n">
        <v>7518</v>
      </c>
      <c r="B7519" s="18" t="n">
        <v>1023814.56093286</v>
      </c>
      <c r="C7519" s="18" t="n">
        <v>22425494.0157558</v>
      </c>
      <c r="D7519" s="0" t="n">
        <v>1</v>
      </c>
    </row>
    <row r="7520" customFormat="false" ht="15" hidden="false" customHeight="false" outlineLevel="0" collapsed="false">
      <c r="A7520" s="0" t="n">
        <v>7519</v>
      </c>
      <c r="B7520" s="18" t="n">
        <v>969045.261404682</v>
      </c>
      <c r="C7520" s="18" t="n">
        <v>740134.847970816</v>
      </c>
      <c r="D7520" s="0" t="n">
        <v>1</v>
      </c>
    </row>
    <row r="7521" customFormat="false" ht="15" hidden="false" customHeight="false" outlineLevel="0" collapsed="false">
      <c r="A7521" s="0" t="n">
        <v>7520</v>
      </c>
      <c r="B7521" s="18" t="n">
        <v>1556611.48417457</v>
      </c>
      <c r="C7521" s="18" t="n">
        <v>12442983.5063877</v>
      </c>
      <c r="D7521" s="0" t="n">
        <v>1</v>
      </c>
    </row>
    <row r="7522" customFormat="false" ht="15" hidden="false" customHeight="false" outlineLevel="0" collapsed="false">
      <c r="A7522" s="0" t="n">
        <v>7521</v>
      </c>
      <c r="B7522" s="18" t="n">
        <v>1262967.55491989</v>
      </c>
      <c r="C7522" s="18" t="n">
        <v>1529.68295039984</v>
      </c>
      <c r="D7522" s="0" t="n">
        <v>1</v>
      </c>
    </row>
    <row r="7523" customFormat="false" ht="15" hidden="false" customHeight="false" outlineLevel="0" collapsed="false">
      <c r="A7523" s="0" t="n">
        <v>7522</v>
      </c>
      <c r="B7523" s="18" t="n">
        <v>1018485.02515498</v>
      </c>
      <c r="C7523" s="18" t="n">
        <v>0</v>
      </c>
      <c r="D7523" s="0" t="n">
        <v>0</v>
      </c>
      <c r="E7523" s="19" t="n">
        <v>49.9166666666667</v>
      </c>
    </row>
    <row r="7524" customFormat="false" ht="15" hidden="false" customHeight="false" outlineLevel="0" collapsed="false">
      <c r="A7524" s="0" t="n">
        <v>7523</v>
      </c>
      <c r="B7524" s="18" t="n">
        <v>1124175.04553629</v>
      </c>
      <c r="C7524" s="18" t="n">
        <v>10822856.8474249</v>
      </c>
      <c r="D7524" s="0" t="n">
        <v>1</v>
      </c>
    </row>
    <row r="7525" customFormat="false" ht="15" hidden="false" customHeight="false" outlineLevel="0" collapsed="false">
      <c r="A7525" s="0" t="n">
        <v>7524</v>
      </c>
      <c r="B7525" s="18" t="n">
        <v>770833.43214186</v>
      </c>
      <c r="C7525" s="18" t="n">
        <v>0</v>
      </c>
      <c r="D7525" s="0" t="n">
        <v>0</v>
      </c>
      <c r="E7525" s="19" t="n">
        <v>48.25</v>
      </c>
    </row>
    <row r="7526" customFormat="false" ht="15" hidden="false" customHeight="false" outlineLevel="0" collapsed="false">
      <c r="A7526" s="0" t="n">
        <v>7525</v>
      </c>
      <c r="B7526" s="18" t="n">
        <v>252399.747561434</v>
      </c>
      <c r="C7526" s="18" t="n">
        <v>0</v>
      </c>
      <c r="D7526" s="0" t="n">
        <v>0</v>
      </c>
      <c r="E7526" s="19" t="n">
        <v>28.8333333333333</v>
      </c>
    </row>
    <row r="7527" customFormat="false" ht="15" hidden="false" customHeight="false" outlineLevel="0" collapsed="false">
      <c r="A7527" s="0" t="n">
        <v>7526</v>
      </c>
      <c r="B7527" s="18" t="n">
        <v>778784.145635559</v>
      </c>
      <c r="C7527" s="18" t="n">
        <v>0</v>
      </c>
      <c r="D7527" s="0" t="n">
        <v>0</v>
      </c>
      <c r="E7527" s="19" t="n">
        <v>53.5833333333333</v>
      </c>
    </row>
    <row r="7528" customFormat="false" ht="15" hidden="false" customHeight="false" outlineLevel="0" collapsed="false">
      <c r="A7528" s="0" t="n">
        <v>7527</v>
      </c>
      <c r="B7528" s="18" t="n">
        <v>244723.261735754</v>
      </c>
      <c r="C7528" s="18" t="n">
        <v>0</v>
      </c>
      <c r="D7528" s="0" t="n">
        <v>0</v>
      </c>
      <c r="E7528" s="19" t="n">
        <v>29.4166666666667</v>
      </c>
    </row>
    <row r="7529" customFormat="false" ht="15" hidden="false" customHeight="false" outlineLevel="0" collapsed="false">
      <c r="A7529" s="0" t="n">
        <v>7528</v>
      </c>
      <c r="B7529" s="18" t="n">
        <v>1494923.77231084</v>
      </c>
      <c r="C7529" s="18" t="n">
        <v>4812642.60915001</v>
      </c>
      <c r="D7529" s="0" t="n">
        <v>1</v>
      </c>
    </row>
    <row r="7530" customFormat="false" ht="15" hidden="false" customHeight="false" outlineLevel="0" collapsed="false">
      <c r="A7530" s="0" t="n">
        <v>7529</v>
      </c>
      <c r="B7530" s="18" t="n">
        <v>748485.707001025</v>
      </c>
      <c r="C7530" s="18" t="n">
        <v>0</v>
      </c>
      <c r="D7530" s="0" t="n">
        <v>0</v>
      </c>
      <c r="E7530" s="19" t="n">
        <v>41.1666666666667</v>
      </c>
    </row>
    <row r="7531" customFormat="false" ht="15" hidden="false" customHeight="false" outlineLevel="0" collapsed="false">
      <c r="A7531" s="0" t="n">
        <v>7530</v>
      </c>
      <c r="B7531" s="18" t="n">
        <v>1698754.71480799</v>
      </c>
      <c r="C7531" s="18" t="n">
        <v>953305.098719432</v>
      </c>
      <c r="D7531" s="0" t="n">
        <v>1</v>
      </c>
    </row>
    <row r="7532" customFormat="false" ht="15" hidden="false" customHeight="false" outlineLevel="0" collapsed="false">
      <c r="A7532" s="0" t="n">
        <v>7531</v>
      </c>
      <c r="B7532" s="18" t="n">
        <v>2440045.13126939</v>
      </c>
      <c r="C7532" s="18" t="n">
        <v>1155799.04278887</v>
      </c>
      <c r="D7532" s="0" t="n">
        <v>1</v>
      </c>
    </row>
    <row r="7533" customFormat="false" ht="15" hidden="false" customHeight="false" outlineLevel="0" collapsed="false">
      <c r="A7533" s="0" t="n">
        <v>7532</v>
      </c>
      <c r="B7533" s="18" t="n">
        <v>733907.402203976</v>
      </c>
      <c r="C7533" s="18" t="n">
        <v>0</v>
      </c>
      <c r="D7533" s="0" t="n">
        <v>0</v>
      </c>
      <c r="E7533" s="19" t="n">
        <v>39.4166666666667</v>
      </c>
    </row>
    <row r="7534" customFormat="false" ht="15" hidden="false" customHeight="false" outlineLevel="0" collapsed="false">
      <c r="A7534" s="0" t="n">
        <v>7533</v>
      </c>
      <c r="B7534" s="18" t="n">
        <v>1143301.63371417</v>
      </c>
      <c r="C7534" s="18" t="n">
        <v>10007149.0464702</v>
      </c>
      <c r="D7534" s="0" t="n">
        <v>1</v>
      </c>
    </row>
    <row r="7535" customFormat="false" ht="15" hidden="false" customHeight="false" outlineLevel="0" collapsed="false">
      <c r="A7535" s="0" t="n">
        <v>7534</v>
      </c>
      <c r="B7535" s="18" t="n">
        <v>813972.330242493</v>
      </c>
      <c r="C7535" s="18" t="n">
        <v>0</v>
      </c>
      <c r="D7535" s="0" t="n">
        <v>0</v>
      </c>
      <c r="E7535" s="19" t="n">
        <v>35.5</v>
      </c>
    </row>
    <row r="7536" customFormat="false" ht="15" hidden="false" customHeight="false" outlineLevel="0" collapsed="false">
      <c r="A7536" s="0" t="n">
        <v>7535</v>
      </c>
      <c r="B7536" s="18" t="n">
        <v>1108299.52513012</v>
      </c>
      <c r="C7536" s="18" t="n">
        <v>0</v>
      </c>
      <c r="D7536" s="0" t="n">
        <v>0</v>
      </c>
      <c r="E7536" s="19" t="n">
        <v>44.1666666666667</v>
      </c>
    </row>
    <row r="7537" customFormat="false" ht="15" hidden="false" customHeight="false" outlineLevel="0" collapsed="false">
      <c r="A7537" s="0" t="n">
        <v>7536</v>
      </c>
      <c r="B7537" s="18" t="n">
        <v>968975.381298553</v>
      </c>
      <c r="C7537" s="18" t="n">
        <v>1433019.84008485</v>
      </c>
      <c r="D7537" s="0" t="n">
        <v>1</v>
      </c>
    </row>
    <row r="7538" customFormat="false" ht="15" hidden="false" customHeight="false" outlineLevel="0" collapsed="false">
      <c r="A7538" s="0" t="n">
        <v>7537</v>
      </c>
      <c r="B7538" s="18" t="n">
        <v>2439680.30094632</v>
      </c>
      <c r="C7538" s="18" t="n">
        <v>726452.20390173</v>
      </c>
      <c r="D7538" s="0" t="n">
        <v>1</v>
      </c>
    </row>
    <row r="7539" customFormat="false" ht="15" hidden="false" customHeight="false" outlineLevel="0" collapsed="false">
      <c r="A7539" s="0" t="n">
        <v>7538</v>
      </c>
      <c r="B7539" s="18" t="n">
        <v>330063.320511409</v>
      </c>
      <c r="C7539" s="18" t="n">
        <v>0</v>
      </c>
      <c r="D7539" s="0" t="n">
        <v>0</v>
      </c>
      <c r="E7539" s="19" t="n">
        <v>30.6666666666667</v>
      </c>
    </row>
    <row r="7540" customFormat="false" ht="15" hidden="false" customHeight="false" outlineLevel="0" collapsed="false">
      <c r="A7540" s="0" t="n">
        <v>7539</v>
      </c>
      <c r="B7540" s="18" t="n">
        <v>907181.077628587</v>
      </c>
      <c r="C7540" s="18" t="n">
        <v>5435728.65732164</v>
      </c>
      <c r="D7540" s="0" t="n">
        <v>1</v>
      </c>
    </row>
    <row r="7541" customFormat="false" ht="15" hidden="false" customHeight="false" outlineLevel="0" collapsed="false">
      <c r="A7541" s="0" t="n">
        <v>7540</v>
      </c>
      <c r="B7541" s="18" t="n">
        <v>1547389.48723996</v>
      </c>
      <c r="C7541" s="18" t="n">
        <v>36222755.3054016</v>
      </c>
      <c r="D7541" s="0" t="n">
        <v>1</v>
      </c>
    </row>
    <row r="7542" customFormat="false" ht="15" hidden="false" customHeight="false" outlineLevel="0" collapsed="false">
      <c r="A7542" s="0" t="n">
        <v>7541</v>
      </c>
      <c r="B7542" s="18" t="n">
        <v>1012743.23619588</v>
      </c>
      <c r="C7542" s="18" t="n">
        <v>3944968.1496945</v>
      </c>
      <c r="D7542" s="0" t="n">
        <v>1</v>
      </c>
    </row>
    <row r="7543" customFormat="false" ht="15" hidden="false" customHeight="false" outlineLevel="0" collapsed="false">
      <c r="A7543" s="0" t="n">
        <v>7542</v>
      </c>
      <c r="B7543" s="18" t="n">
        <v>4157411.10084347</v>
      </c>
      <c r="C7543" s="18" t="n">
        <v>59973191.944908</v>
      </c>
      <c r="D7543" s="0" t="n">
        <v>1</v>
      </c>
    </row>
    <row r="7544" customFormat="false" ht="15" hidden="false" customHeight="false" outlineLevel="0" collapsed="false">
      <c r="A7544" s="0" t="n">
        <v>7543</v>
      </c>
      <c r="B7544" s="18" t="n">
        <v>1204738.01321843</v>
      </c>
      <c r="C7544" s="18" t="n">
        <v>0</v>
      </c>
      <c r="D7544" s="0" t="n">
        <v>0</v>
      </c>
      <c r="E7544" s="19" t="n">
        <v>54.5833333333333</v>
      </c>
    </row>
    <row r="7545" customFormat="false" ht="15" hidden="false" customHeight="false" outlineLevel="0" collapsed="false">
      <c r="A7545" s="0" t="n">
        <v>7544</v>
      </c>
      <c r="B7545" s="18" t="n">
        <v>1305058.85522607</v>
      </c>
      <c r="C7545" s="18" t="n">
        <v>0</v>
      </c>
      <c r="D7545" s="0" t="n">
        <v>0</v>
      </c>
      <c r="E7545" s="19" t="n">
        <v>49.6666666666667</v>
      </c>
    </row>
    <row r="7546" customFormat="false" ht="15" hidden="false" customHeight="false" outlineLevel="0" collapsed="false">
      <c r="A7546" s="0" t="n">
        <v>7545</v>
      </c>
      <c r="B7546" s="18" t="n">
        <v>592470.232744756</v>
      </c>
      <c r="C7546" s="18" t="n">
        <v>0</v>
      </c>
      <c r="D7546" s="0" t="n">
        <v>0</v>
      </c>
      <c r="E7546" s="19" t="n">
        <v>43.5</v>
      </c>
    </row>
    <row r="7547" customFormat="false" ht="15" hidden="false" customHeight="false" outlineLevel="0" collapsed="false">
      <c r="A7547" s="0" t="n">
        <v>7546</v>
      </c>
      <c r="B7547" s="18" t="n">
        <v>781025.78468131</v>
      </c>
      <c r="C7547" s="18" t="n">
        <v>0</v>
      </c>
      <c r="D7547" s="0" t="n">
        <v>0</v>
      </c>
      <c r="E7547" s="19" t="n">
        <v>34.25</v>
      </c>
    </row>
    <row r="7548" customFormat="false" ht="15" hidden="false" customHeight="false" outlineLevel="0" collapsed="false">
      <c r="A7548" s="0" t="n">
        <v>7547</v>
      </c>
      <c r="B7548" s="18" t="n">
        <v>693075.654423699</v>
      </c>
      <c r="C7548" s="18" t="n">
        <v>0</v>
      </c>
      <c r="D7548" s="0" t="n">
        <v>0</v>
      </c>
      <c r="E7548" s="19" t="n">
        <v>45</v>
      </c>
    </row>
    <row r="7549" customFormat="false" ht="15" hidden="false" customHeight="false" outlineLevel="0" collapsed="false">
      <c r="A7549" s="0" t="n">
        <v>7548</v>
      </c>
      <c r="B7549" s="18" t="n">
        <v>468157.981416826</v>
      </c>
      <c r="C7549" s="18" t="n">
        <v>0</v>
      </c>
      <c r="D7549" s="0" t="n">
        <v>0</v>
      </c>
      <c r="E7549" s="19" t="n">
        <v>33.25</v>
      </c>
    </row>
    <row r="7550" customFormat="false" ht="15" hidden="false" customHeight="false" outlineLevel="0" collapsed="false">
      <c r="A7550" s="0" t="n">
        <v>7549</v>
      </c>
      <c r="B7550" s="18" t="n">
        <v>956308.060618157</v>
      </c>
      <c r="C7550" s="18" t="n">
        <v>0</v>
      </c>
      <c r="D7550" s="0" t="n">
        <v>0</v>
      </c>
      <c r="E7550" s="19" t="n">
        <v>44.8333333333333</v>
      </c>
    </row>
    <row r="7551" customFormat="false" ht="15" hidden="false" customHeight="false" outlineLevel="0" collapsed="false">
      <c r="A7551" s="0" t="n">
        <v>7550</v>
      </c>
      <c r="B7551" s="18" t="n">
        <v>462272.439109927</v>
      </c>
      <c r="C7551" s="18" t="n">
        <v>0</v>
      </c>
      <c r="D7551" s="0" t="n">
        <v>0</v>
      </c>
      <c r="E7551" s="19" t="n">
        <v>31.8333333333333</v>
      </c>
    </row>
    <row r="7552" customFormat="false" ht="15" hidden="false" customHeight="false" outlineLevel="0" collapsed="false">
      <c r="A7552" s="0" t="n">
        <v>7551</v>
      </c>
      <c r="B7552" s="18" t="n">
        <v>1024101.67620018</v>
      </c>
      <c r="C7552" s="18" t="n">
        <v>0</v>
      </c>
      <c r="D7552" s="0" t="n">
        <v>0</v>
      </c>
      <c r="E7552" s="19" t="n">
        <v>39.8333333333333</v>
      </c>
    </row>
    <row r="7553" customFormat="false" ht="15" hidden="false" customHeight="false" outlineLevel="0" collapsed="false">
      <c r="A7553" s="0" t="n">
        <v>7552</v>
      </c>
      <c r="B7553" s="18" t="n">
        <v>414488.035969529</v>
      </c>
      <c r="C7553" s="18" t="n">
        <v>0</v>
      </c>
      <c r="D7553" s="0" t="n">
        <v>0</v>
      </c>
      <c r="E7553" s="19" t="n">
        <v>29.8333333333333</v>
      </c>
    </row>
    <row r="7554" customFormat="false" ht="15" hidden="false" customHeight="false" outlineLevel="0" collapsed="false">
      <c r="A7554" s="0" t="n">
        <v>7553</v>
      </c>
      <c r="B7554" s="18" t="n">
        <v>411368.346280761</v>
      </c>
      <c r="C7554" s="18" t="n">
        <v>0</v>
      </c>
      <c r="D7554" s="0" t="n">
        <v>0</v>
      </c>
      <c r="E7554" s="19" t="n">
        <v>34.3333333333333</v>
      </c>
    </row>
    <row r="7555" customFormat="false" ht="15" hidden="false" customHeight="false" outlineLevel="0" collapsed="false">
      <c r="A7555" s="0" t="n">
        <v>7554</v>
      </c>
      <c r="B7555" s="18" t="n">
        <v>801706.656908076</v>
      </c>
      <c r="C7555" s="18" t="n">
        <v>0</v>
      </c>
      <c r="D7555" s="0" t="n">
        <v>0</v>
      </c>
      <c r="E7555" s="19" t="n">
        <v>43.0833333333333</v>
      </c>
    </row>
    <row r="7556" customFormat="false" ht="15" hidden="false" customHeight="false" outlineLevel="0" collapsed="false">
      <c r="A7556" s="0" t="n">
        <v>7555</v>
      </c>
      <c r="B7556" s="18" t="n">
        <v>207950.267700298</v>
      </c>
      <c r="C7556" s="18" t="n">
        <v>0</v>
      </c>
      <c r="D7556" s="0" t="n">
        <v>0</v>
      </c>
      <c r="E7556" s="19" t="n">
        <v>29.6666666666667</v>
      </c>
    </row>
    <row r="7557" customFormat="false" ht="15" hidden="false" customHeight="false" outlineLevel="0" collapsed="false">
      <c r="A7557" s="0" t="n">
        <v>7556</v>
      </c>
      <c r="B7557" s="18" t="n">
        <v>1449873.16772548</v>
      </c>
      <c r="C7557" s="18" t="n">
        <v>3161900.06698978</v>
      </c>
      <c r="D7557" s="0" t="n">
        <v>1</v>
      </c>
    </row>
    <row r="7558" customFormat="false" ht="15" hidden="false" customHeight="false" outlineLevel="0" collapsed="false">
      <c r="A7558" s="0" t="n">
        <v>7557</v>
      </c>
      <c r="B7558" s="18" t="n">
        <v>1728103.97770778</v>
      </c>
      <c r="C7558" s="18" t="n">
        <v>8784926.62231176</v>
      </c>
      <c r="D7558" s="0" t="n">
        <v>1</v>
      </c>
    </row>
    <row r="7559" customFormat="false" ht="15" hidden="false" customHeight="false" outlineLevel="0" collapsed="false">
      <c r="A7559" s="0" t="n">
        <v>7558</v>
      </c>
      <c r="B7559" s="18" t="n">
        <v>1090986.9021091</v>
      </c>
      <c r="C7559" s="18" t="n">
        <v>0</v>
      </c>
      <c r="D7559" s="0" t="n">
        <v>0</v>
      </c>
      <c r="E7559" s="19" t="n">
        <v>43.5833333333333</v>
      </c>
    </row>
    <row r="7560" customFormat="false" ht="15" hidden="false" customHeight="false" outlineLevel="0" collapsed="false">
      <c r="A7560" s="0" t="n">
        <v>7559</v>
      </c>
      <c r="B7560" s="18" t="n">
        <v>772960.749502701</v>
      </c>
      <c r="C7560" s="18" t="n">
        <v>0</v>
      </c>
      <c r="D7560" s="0" t="n">
        <v>0</v>
      </c>
      <c r="E7560" s="19" t="n">
        <v>35.75</v>
      </c>
    </row>
    <row r="7561" customFormat="false" ht="15" hidden="false" customHeight="false" outlineLevel="0" collapsed="false">
      <c r="A7561" s="0" t="n">
        <v>7560</v>
      </c>
      <c r="B7561" s="18" t="n">
        <v>916711.076403754</v>
      </c>
      <c r="C7561" s="18" t="n">
        <v>356403.562932247</v>
      </c>
      <c r="D7561" s="0" t="n">
        <v>1</v>
      </c>
    </row>
    <row r="7562" customFormat="false" ht="15" hidden="false" customHeight="false" outlineLevel="0" collapsed="false">
      <c r="A7562" s="0" t="n">
        <v>7561</v>
      </c>
      <c r="B7562" s="18" t="n">
        <v>1001141.21572816</v>
      </c>
      <c r="C7562" s="18" t="n">
        <v>1863791.48898423</v>
      </c>
      <c r="D7562" s="0" t="n">
        <v>1</v>
      </c>
    </row>
    <row r="7563" customFormat="false" ht="15" hidden="false" customHeight="false" outlineLevel="0" collapsed="false">
      <c r="A7563" s="0" t="n">
        <v>7562</v>
      </c>
      <c r="B7563" s="18" t="n">
        <v>428242.849612505</v>
      </c>
      <c r="C7563" s="18" t="n">
        <v>0</v>
      </c>
      <c r="D7563" s="0" t="n">
        <v>0</v>
      </c>
      <c r="E7563" s="19" t="n">
        <v>33.75</v>
      </c>
    </row>
    <row r="7564" customFormat="false" ht="15" hidden="false" customHeight="false" outlineLevel="0" collapsed="false">
      <c r="A7564" s="0" t="n">
        <v>7563</v>
      </c>
      <c r="B7564" s="18" t="n">
        <v>610735.745193851</v>
      </c>
      <c r="C7564" s="18" t="n">
        <v>0</v>
      </c>
      <c r="D7564" s="0" t="n">
        <v>0</v>
      </c>
      <c r="E7564" s="19" t="n">
        <v>39.9166666666667</v>
      </c>
    </row>
    <row r="7565" customFormat="false" ht="15" hidden="false" customHeight="false" outlineLevel="0" collapsed="false">
      <c r="A7565" s="0" t="n">
        <v>7564</v>
      </c>
      <c r="B7565" s="18" t="n">
        <v>734345.762093412</v>
      </c>
      <c r="C7565" s="18" t="n">
        <v>0</v>
      </c>
      <c r="D7565" s="0" t="n">
        <v>0</v>
      </c>
      <c r="E7565" s="19" t="n">
        <v>37</v>
      </c>
    </row>
    <row r="7566" customFormat="false" ht="15" hidden="false" customHeight="false" outlineLevel="0" collapsed="false">
      <c r="A7566" s="0" t="n">
        <v>7565</v>
      </c>
      <c r="B7566" s="18" t="n">
        <v>828478.874961187</v>
      </c>
      <c r="C7566" s="18" t="n">
        <v>0</v>
      </c>
      <c r="D7566" s="0" t="n">
        <v>0</v>
      </c>
      <c r="E7566" s="19" t="n">
        <v>43.5833333333333</v>
      </c>
    </row>
    <row r="7567" customFormat="false" ht="15" hidden="false" customHeight="false" outlineLevel="0" collapsed="false">
      <c r="A7567" s="0" t="n">
        <v>7566</v>
      </c>
      <c r="B7567" s="18" t="n">
        <v>615475.087647428</v>
      </c>
      <c r="C7567" s="18" t="n">
        <v>0</v>
      </c>
      <c r="D7567" s="0" t="n">
        <v>0</v>
      </c>
      <c r="E7567" s="19" t="n">
        <v>40.1666666666667</v>
      </c>
    </row>
    <row r="7568" customFormat="false" ht="15" hidden="false" customHeight="false" outlineLevel="0" collapsed="false">
      <c r="A7568" s="0" t="n">
        <v>7567</v>
      </c>
      <c r="B7568" s="18" t="n">
        <v>520567.402592249</v>
      </c>
      <c r="C7568" s="18" t="n">
        <v>0</v>
      </c>
      <c r="D7568" s="0" t="n">
        <v>0</v>
      </c>
      <c r="E7568" s="19" t="n">
        <v>34.8333333333333</v>
      </c>
    </row>
    <row r="7569" customFormat="false" ht="15" hidden="false" customHeight="false" outlineLevel="0" collapsed="false">
      <c r="A7569" s="0" t="n">
        <v>7568</v>
      </c>
      <c r="B7569" s="18" t="n">
        <v>2230690.37864733</v>
      </c>
      <c r="C7569" s="18" t="n">
        <v>10609759.6329185</v>
      </c>
      <c r="D7569" s="0" t="n">
        <v>1</v>
      </c>
    </row>
    <row r="7570" customFormat="false" ht="15" hidden="false" customHeight="false" outlineLevel="0" collapsed="false">
      <c r="A7570" s="0" t="n">
        <v>7569</v>
      </c>
      <c r="B7570" s="18" t="n">
        <v>755175.903954852</v>
      </c>
      <c r="C7570" s="18" t="n">
        <v>1723226.10515528</v>
      </c>
      <c r="D7570" s="0" t="n">
        <v>1</v>
      </c>
    </row>
    <row r="7571" customFormat="false" ht="15" hidden="false" customHeight="false" outlineLevel="0" collapsed="false">
      <c r="A7571" s="0" t="n">
        <v>7570</v>
      </c>
      <c r="B7571" s="18" t="n">
        <v>711458.702811679</v>
      </c>
      <c r="C7571" s="18" t="n">
        <v>0</v>
      </c>
      <c r="D7571" s="0" t="n">
        <v>0</v>
      </c>
      <c r="E7571" s="19" t="n">
        <v>46.3333333333333</v>
      </c>
    </row>
    <row r="7572" customFormat="false" ht="15" hidden="false" customHeight="false" outlineLevel="0" collapsed="false">
      <c r="A7572" s="0" t="n">
        <v>7571</v>
      </c>
      <c r="B7572" s="18" t="n">
        <v>683444.142246618</v>
      </c>
      <c r="C7572" s="18" t="n">
        <v>0</v>
      </c>
      <c r="D7572" s="0" t="n">
        <v>0</v>
      </c>
      <c r="E7572" s="19" t="n">
        <v>36.5833333333333</v>
      </c>
    </row>
    <row r="7573" customFormat="false" ht="15" hidden="false" customHeight="false" outlineLevel="0" collapsed="false">
      <c r="A7573" s="0" t="n">
        <v>7572</v>
      </c>
      <c r="B7573" s="18" t="n">
        <v>2289104.65986314</v>
      </c>
      <c r="C7573" s="18" t="n">
        <v>1203165.22517789</v>
      </c>
      <c r="D7573" s="0" t="n">
        <v>1</v>
      </c>
    </row>
    <row r="7574" customFormat="false" ht="15" hidden="false" customHeight="false" outlineLevel="0" collapsed="false">
      <c r="A7574" s="0" t="n">
        <v>7573</v>
      </c>
      <c r="B7574" s="18" t="n">
        <v>1505452.73955662</v>
      </c>
      <c r="C7574" s="18" t="n">
        <v>4004475.00215157</v>
      </c>
      <c r="D7574" s="0" t="n">
        <v>1</v>
      </c>
    </row>
    <row r="7575" customFormat="false" ht="15" hidden="false" customHeight="false" outlineLevel="0" collapsed="false">
      <c r="A7575" s="0" t="n">
        <v>7574</v>
      </c>
      <c r="B7575" s="18" t="n">
        <v>1672143.59563072</v>
      </c>
      <c r="C7575" s="18" t="n">
        <v>0</v>
      </c>
      <c r="D7575" s="0" t="n">
        <v>0</v>
      </c>
      <c r="E7575" s="19" t="n">
        <v>43.5833333333333</v>
      </c>
    </row>
    <row r="7576" customFormat="false" ht="15" hidden="false" customHeight="false" outlineLevel="0" collapsed="false">
      <c r="A7576" s="0" t="n">
        <v>7575</v>
      </c>
      <c r="B7576" s="18" t="n">
        <v>740669.860070835</v>
      </c>
      <c r="C7576" s="18" t="n">
        <v>0</v>
      </c>
      <c r="D7576" s="0" t="n">
        <v>0</v>
      </c>
      <c r="E7576" s="19" t="n">
        <v>34.8333333333333</v>
      </c>
    </row>
    <row r="7577" customFormat="false" ht="15" hidden="false" customHeight="false" outlineLevel="0" collapsed="false">
      <c r="A7577" s="0" t="n">
        <v>7576</v>
      </c>
      <c r="B7577" s="18" t="n">
        <v>581045.319451805</v>
      </c>
      <c r="C7577" s="18" t="n">
        <v>0</v>
      </c>
      <c r="D7577" s="0" t="n">
        <v>0</v>
      </c>
      <c r="E7577" s="19" t="n">
        <v>35.75</v>
      </c>
    </row>
    <row r="7578" customFormat="false" ht="15" hidden="false" customHeight="false" outlineLevel="0" collapsed="false">
      <c r="A7578" s="0" t="n">
        <v>7577</v>
      </c>
      <c r="B7578" s="18" t="n">
        <v>438310.478370726</v>
      </c>
      <c r="C7578" s="18" t="n">
        <v>0</v>
      </c>
      <c r="D7578" s="0" t="n">
        <v>0</v>
      </c>
      <c r="E7578" s="19" t="n">
        <v>32.1666666666667</v>
      </c>
    </row>
    <row r="7579" customFormat="false" ht="15" hidden="false" customHeight="false" outlineLevel="0" collapsed="false">
      <c r="A7579" s="0" t="n">
        <v>7578</v>
      </c>
      <c r="B7579" s="18" t="n">
        <v>782489.161766624</v>
      </c>
      <c r="C7579" s="18" t="n">
        <v>1520722.86374721</v>
      </c>
      <c r="D7579" s="0" t="n">
        <v>1</v>
      </c>
    </row>
    <row r="7580" customFormat="false" ht="15" hidden="false" customHeight="false" outlineLevel="0" collapsed="false">
      <c r="A7580" s="0" t="n">
        <v>7579</v>
      </c>
      <c r="B7580" s="18" t="n">
        <v>737815.608297099</v>
      </c>
      <c r="C7580" s="18" t="n">
        <v>0</v>
      </c>
      <c r="D7580" s="0" t="n">
        <v>0</v>
      </c>
      <c r="E7580" s="19" t="n">
        <v>37.8333333333333</v>
      </c>
    </row>
    <row r="7581" customFormat="false" ht="15" hidden="false" customHeight="false" outlineLevel="0" collapsed="false">
      <c r="A7581" s="0" t="n">
        <v>7580</v>
      </c>
      <c r="B7581" s="18" t="n">
        <v>1858931.91013902</v>
      </c>
      <c r="C7581" s="18" t="n">
        <v>23552825.7764621</v>
      </c>
      <c r="D7581" s="0" t="n">
        <v>1</v>
      </c>
    </row>
    <row r="7582" customFormat="false" ht="15" hidden="false" customHeight="false" outlineLevel="0" collapsed="false">
      <c r="A7582" s="0" t="n">
        <v>7581</v>
      </c>
      <c r="B7582" s="18" t="n">
        <v>939694.949011826</v>
      </c>
      <c r="C7582" s="18" t="n">
        <v>0</v>
      </c>
      <c r="D7582" s="0" t="n">
        <v>0</v>
      </c>
      <c r="E7582" s="19" t="n">
        <v>43.75</v>
      </c>
    </row>
    <row r="7583" customFormat="false" ht="15" hidden="false" customHeight="false" outlineLevel="0" collapsed="false">
      <c r="A7583" s="0" t="n">
        <v>7582</v>
      </c>
      <c r="B7583" s="18" t="n">
        <v>1395834.62484433</v>
      </c>
      <c r="C7583" s="18" t="n">
        <v>506307.143576899</v>
      </c>
      <c r="D7583" s="0" t="n">
        <v>1</v>
      </c>
    </row>
    <row r="7584" customFormat="false" ht="15" hidden="false" customHeight="false" outlineLevel="0" collapsed="false">
      <c r="A7584" s="0" t="n">
        <v>7583</v>
      </c>
      <c r="B7584" s="18" t="n">
        <v>1666058.69828219</v>
      </c>
      <c r="C7584" s="18" t="n">
        <v>0</v>
      </c>
      <c r="D7584" s="0" t="n">
        <v>0</v>
      </c>
      <c r="E7584" s="19" t="n">
        <v>46.75</v>
      </c>
    </row>
    <row r="7585" customFormat="false" ht="15" hidden="false" customHeight="false" outlineLevel="0" collapsed="false">
      <c r="A7585" s="0" t="n">
        <v>7584</v>
      </c>
      <c r="B7585" s="18" t="n">
        <v>372763.830570983</v>
      </c>
      <c r="C7585" s="18" t="n">
        <v>0</v>
      </c>
      <c r="D7585" s="0" t="n">
        <v>0</v>
      </c>
      <c r="E7585" s="19" t="n">
        <v>31.0833333333333</v>
      </c>
    </row>
    <row r="7586" customFormat="false" ht="15" hidden="false" customHeight="false" outlineLevel="0" collapsed="false">
      <c r="A7586" s="0" t="n">
        <v>7585</v>
      </c>
      <c r="B7586" s="18" t="n">
        <v>566304.046340059</v>
      </c>
      <c r="C7586" s="18" t="n">
        <v>0</v>
      </c>
      <c r="D7586" s="0" t="n">
        <v>0</v>
      </c>
      <c r="E7586" s="19" t="n">
        <v>37.5</v>
      </c>
    </row>
    <row r="7587" customFormat="false" ht="15" hidden="false" customHeight="false" outlineLevel="0" collapsed="false">
      <c r="A7587" s="0" t="n">
        <v>7586</v>
      </c>
      <c r="B7587" s="18" t="n">
        <v>1452320.70794556</v>
      </c>
      <c r="C7587" s="18" t="n">
        <v>8647328.91972326</v>
      </c>
      <c r="D7587" s="0" t="n">
        <v>1</v>
      </c>
    </row>
    <row r="7588" customFormat="false" ht="15" hidden="false" customHeight="false" outlineLevel="0" collapsed="false">
      <c r="A7588" s="0" t="n">
        <v>7587</v>
      </c>
      <c r="B7588" s="18" t="n">
        <v>440674.993990194</v>
      </c>
      <c r="C7588" s="18" t="n">
        <v>0</v>
      </c>
      <c r="D7588" s="0" t="n">
        <v>0</v>
      </c>
      <c r="E7588" s="19" t="n">
        <v>35.25</v>
      </c>
    </row>
    <row r="7589" customFormat="false" ht="15" hidden="false" customHeight="false" outlineLevel="0" collapsed="false">
      <c r="A7589" s="0" t="n">
        <v>7588</v>
      </c>
      <c r="B7589" s="18" t="n">
        <v>506410.856811015</v>
      </c>
      <c r="C7589" s="18" t="n">
        <v>0</v>
      </c>
      <c r="D7589" s="0" t="n">
        <v>0</v>
      </c>
      <c r="E7589" s="19" t="n">
        <v>30.5833333333333</v>
      </c>
    </row>
    <row r="7590" customFormat="false" ht="15" hidden="false" customHeight="false" outlineLevel="0" collapsed="false">
      <c r="A7590" s="0" t="n">
        <v>7589</v>
      </c>
      <c r="B7590" s="18" t="n">
        <v>1386764.10025047</v>
      </c>
      <c r="C7590" s="18" t="n">
        <v>7661606.03190234</v>
      </c>
      <c r="D7590" s="0" t="n">
        <v>1</v>
      </c>
    </row>
    <row r="7591" customFormat="false" ht="15" hidden="false" customHeight="false" outlineLevel="0" collapsed="false">
      <c r="A7591" s="0" t="n">
        <v>7590</v>
      </c>
      <c r="B7591" s="18" t="n">
        <v>588487.060646928</v>
      </c>
      <c r="C7591" s="18" t="n">
        <v>0</v>
      </c>
      <c r="D7591" s="0" t="n">
        <v>0</v>
      </c>
      <c r="E7591" s="19" t="n">
        <v>32.8333333333333</v>
      </c>
    </row>
    <row r="7592" customFormat="false" ht="15" hidden="false" customHeight="false" outlineLevel="0" collapsed="false">
      <c r="A7592" s="0" t="n">
        <v>7591</v>
      </c>
      <c r="B7592" s="18" t="n">
        <v>494875.385435305</v>
      </c>
      <c r="C7592" s="18" t="n">
        <v>0</v>
      </c>
      <c r="D7592" s="0" t="n">
        <v>0</v>
      </c>
      <c r="E7592" s="19" t="n">
        <v>31.4166666666667</v>
      </c>
    </row>
    <row r="7593" customFormat="false" ht="15" hidden="false" customHeight="false" outlineLevel="0" collapsed="false">
      <c r="A7593" s="0" t="n">
        <v>7592</v>
      </c>
      <c r="B7593" s="18" t="n">
        <v>1291148.20437391</v>
      </c>
      <c r="C7593" s="18" t="n">
        <v>3874014.75775068</v>
      </c>
      <c r="D7593" s="0" t="n">
        <v>1</v>
      </c>
    </row>
    <row r="7594" customFormat="false" ht="15" hidden="false" customHeight="false" outlineLevel="0" collapsed="false">
      <c r="A7594" s="0" t="n">
        <v>7593</v>
      </c>
      <c r="B7594" s="18" t="n">
        <v>1787256.47906166</v>
      </c>
      <c r="C7594" s="18" t="n">
        <v>0</v>
      </c>
      <c r="D7594" s="0" t="n">
        <v>0</v>
      </c>
      <c r="E7594" s="19" t="n">
        <v>52.0833333333333</v>
      </c>
    </row>
    <row r="7595" customFormat="false" ht="15" hidden="false" customHeight="false" outlineLevel="0" collapsed="false">
      <c r="A7595" s="0" t="n">
        <v>7594</v>
      </c>
      <c r="B7595" s="18" t="n">
        <v>1528776.92319821</v>
      </c>
      <c r="C7595" s="18" t="n">
        <v>7257990.68244941</v>
      </c>
      <c r="D7595" s="0" t="n">
        <v>1</v>
      </c>
    </row>
    <row r="7596" customFormat="false" ht="15" hidden="false" customHeight="false" outlineLevel="0" collapsed="false">
      <c r="A7596" s="0" t="n">
        <v>7595</v>
      </c>
      <c r="B7596" s="18" t="n">
        <v>1831165.55267809</v>
      </c>
      <c r="C7596" s="18" t="n">
        <v>9656131.99502932</v>
      </c>
      <c r="D7596" s="0" t="n">
        <v>1</v>
      </c>
    </row>
    <row r="7597" customFormat="false" ht="15" hidden="false" customHeight="false" outlineLevel="0" collapsed="false">
      <c r="A7597" s="0" t="n">
        <v>7596</v>
      </c>
      <c r="B7597" s="18" t="n">
        <v>1480697.97507705</v>
      </c>
      <c r="C7597" s="18" t="n">
        <v>0</v>
      </c>
      <c r="D7597" s="0" t="n">
        <v>0</v>
      </c>
      <c r="E7597" s="19" t="n">
        <v>50.8333333333333</v>
      </c>
    </row>
    <row r="7598" customFormat="false" ht="15" hidden="false" customHeight="false" outlineLevel="0" collapsed="false">
      <c r="A7598" s="0" t="n">
        <v>7597</v>
      </c>
      <c r="B7598" s="18" t="n">
        <v>472043.657826607</v>
      </c>
      <c r="C7598" s="18" t="n">
        <v>0</v>
      </c>
      <c r="D7598" s="0" t="n">
        <v>0</v>
      </c>
      <c r="E7598" s="19" t="n">
        <v>35.0833333333333</v>
      </c>
    </row>
    <row r="7599" customFormat="false" ht="15" hidden="false" customHeight="false" outlineLevel="0" collapsed="false">
      <c r="A7599" s="0" t="n">
        <v>7598</v>
      </c>
      <c r="B7599" s="18" t="n">
        <v>1745091.68530259</v>
      </c>
      <c r="C7599" s="18" t="n">
        <v>13726571.2392632</v>
      </c>
      <c r="D7599" s="0" t="n">
        <v>1</v>
      </c>
    </row>
    <row r="7600" customFormat="false" ht="15" hidden="false" customHeight="false" outlineLevel="0" collapsed="false">
      <c r="A7600" s="0" t="n">
        <v>7599</v>
      </c>
      <c r="B7600" s="18" t="n">
        <v>505516.77317491</v>
      </c>
      <c r="C7600" s="18" t="n">
        <v>0</v>
      </c>
      <c r="D7600" s="0" t="n">
        <v>0</v>
      </c>
      <c r="E7600" s="19" t="n">
        <v>34.8333333333333</v>
      </c>
    </row>
    <row r="7601" customFormat="false" ht="15" hidden="false" customHeight="false" outlineLevel="0" collapsed="false">
      <c r="A7601" s="0" t="n">
        <v>7600</v>
      </c>
      <c r="B7601" s="18" t="n">
        <v>748781.941232353</v>
      </c>
      <c r="C7601" s="18" t="n">
        <v>0</v>
      </c>
      <c r="D7601" s="0" t="n">
        <v>0</v>
      </c>
      <c r="E7601" s="19" t="n">
        <v>38.4166666666667</v>
      </c>
    </row>
    <row r="7602" customFormat="false" ht="15" hidden="false" customHeight="false" outlineLevel="0" collapsed="false">
      <c r="A7602" s="0" t="n">
        <v>7601</v>
      </c>
      <c r="B7602" s="18" t="n">
        <v>582599.939495758</v>
      </c>
      <c r="C7602" s="18" t="n">
        <v>0</v>
      </c>
      <c r="D7602" s="0" t="n">
        <v>0</v>
      </c>
      <c r="E7602" s="19" t="n">
        <v>35</v>
      </c>
    </row>
    <row r="7603" customFormat="false" ht="15" hidden="false" customHeight="false" outlineLevel="0" collapsed="false">
      <c r="A7603" s="0" t="n">
        <v>7602</v>
      </c>
      <c r="B7603" s="18" t="n">
        <v>876957.652007203</v>
      </c>
      <c r="C7603" s="18" t="n">
        <v>0</v>
      </c>
      <c r="D7603" s="0" t="n">
        <v>0</v>
      </c>
      <c r="E7603" s="19" t="n">
        <v>54.5</v>
      </c>
    </row>
    <row r="7604" customFormat="false" ht="15" hidden="false" customHeight="false" outlineLevel="0" collapsed="false">
      <c r="A7604" s="0" t="n">
        <v>7603</v>
      </c>
      <c r="B7604" s="18" t="n">
        <v>921199.18271942</v>
      </c>
      <c r="C7604" s="18" t="n">
        <v>0</v>
      </c>
      <c r="D7604" s="0" t="n">
        <v>0</v>
      </c>
      <c r="E7604" s="19" t="n">
        <v>41.5833333333333</v>
      </c>
    </row>
    <row r="7605" customFormat="false" ht="15" hidden="false" customHeight="false" outlineLevel="0" collapsed="false">
      <c r="A7605" s="0" t="n">
        <v>7604</v>
      </c>
      <c r="B7605" s="18" t="n">
        <v>1011121.19621771</v>
      </c>
      <c r="C7605" s="18" t="n">
        <v>199883.984577013</v>
      </c>
      <c r="D7605" s="0" t="n">
        <v>1</v>
      </c>
    </row>
    <row r="7606" customFormat="false" ht="15" hidden="false" customHeight="false" outlineLevel="0" collapsed="false">
      <c r="A7606" s="0" t="n">
        <v>7605</v>
      </c>
      <c r="B7606" s="18" t="n">
        <v>648347.844461462</v>
      </c>
      <c r="C7606" s="18" t="n">
        <v>0</v>
      </c>
      <c r="D7606" s="0" t="n">
        <v>0</v>
      </c>
      <c r="E7606" s="19" t="n">
        <v>35.1666666666667</v>
      </c>
    </row>
    <row r="7607" customFormat="false" ht="15" hidden="false" customHeight="false" outlineLevel="0" collapsed="false">
      <c r="A7607" s="0" t="n">
        <v>7606</v>
      </c>
      <c r="B7607" s="18" t="n">
        <v>713416.813378317</v>
      </c>
      <c r="C7607" s="18" t="n">
        <v>0</v>
      </c>
      <c r="D7607" s="0" t="n">
        <v>0</v>
      </c>
      <c r="E7607" s="19" t="n">
        <v>37</v>
      </c>
    </row>
    <row r="7608" customFormat="false" ht="15" hidden="false" customHeight="false" outlineLevel="0" collapsed="false">
      <c r="A7608" s="0" t="n">
        <v>7607</v>
      </c>
      <c r="B7608" s="18" t="n">
        <v>1290419.44488509</v>
      </c>
      <c r="C7608" s="18" t="n">
        <v>0</v>
      </c>
      <c r="D7608" s="0" t="n">
        <v>0</v>
      </c>
      <c r="E7608" s="19" t="n">
        <v>40.5</v>
      </c>
    </row>
    <row r="7609" customFormat="false" ht="15" hidden="false" customHeight="false" outlineLevel="0" collapsed="false">
      <c r="A7609" s="0" t="n">
        <v>7608</v>
      </c>
      <c r="B7609" s="18" t="n">
        <v>1222532.37275622</v>
      </c>
      <c r="C7609" s="18" t="n">
        <v>2062758.40613002</v>
      </c>
      <c r="D7609" s="0" t="n">
        <v>1</v>
      </c>
    </row>
    <row r="7610" customFormat="false" ht="15" hidden="false" customHeight="false" outlineLevel="0" collapsed="false">
      <c r="A7610" s="0" t="n">
        <v>7609</v>
      </c>
      <c r="B7610" s="18" t="n">
        <v>1355619.184156</v>
      </c>
      <c r="C7610" s="18" t="n">
        <v>0</v>
      </c>
      <c r="D7610" s="0" t="n">
        <v>0</v>
      </c>
      <c r="E7610" s="19" t="n">
        <v>38.9166666666667</v>
      </c>
    </row>
    <row r="7611" customFormat="false" ht="15" hidden="false" customHeight="false" outlineLevel="0" collapsed="false">
      <c r="A7611" s="0" t="n">
        <v>7610</v>
      </c>
      <c r="B7611" s="18" t="n">
        <v>1358979.77731999</v>
      </c>
      <c r="C7611" s="18" t="n">
        <v>14511581.6776195</v>
      </c>
      <c r="D7611" s="0" t="n">
        <v>1</v>
      </c>
    </row>
    <row r="7612" customFormat="false" ht="15" hidden="false" customHeight="false" outlineLevel="0" collapsed="false">
      <c r="A7612" s="0" t="n">
        <v>7611</v>
      </c>
      <c r="B7612" s="18" t="n">
        <v>673804.550236179</v>
      </c>
      <c r="C7612" s="18" t="n">
        <v>0</v>
      </c>
      <c r="D7612" s="0" t="n">
        <v>0</v>
      </c>
      <c r="E7612" s="19" t="n">
        <v>53.4166666666667</v>
      </c>
    </row>
    <row r="7613" customFormat="false" ht="15" hidden="false" customHeight="false" outlineLevel="0" collapsed="false">
      <c r="A7613" s="0" t="n">
        <v>7612</v>
      </c>
      <c r="B7613" s="18" t="n">
        <v>893648.733713982</v>
      </c>
      <c r="C7613" s="18" t="n">
        <v>0</v>
      </c>
      <c r="D7613" s="0" t="n">
        <v>0</v>
      </c>
      <c r="E7613" s="19" t="n">
        <v>45.5</v>
      </c>
    </row>
    <row r="7614" customFormat="false" ht="15" hidden="false" customHeight="false" outlineLevel="0" collapsed="false">
      <c r="A7614" s="0" t="n">
        <v>7613</v>
      </c>
      <c r="B7614" s="18" t="n">
        <v>594063.600422434</v>
      </c>
      <c r="C7614" s="18" t="n">
        <v>0</v>
      </c>
      <c r="D7614" s="0" t="n">
        <v>0</v>
      </c>
      <c r="E7614" s="19" t="n">
        <v>40.3333333333333</v>
      </c>
    </row>
    <row r="7615" customFormat="false" ht="15" hidden="false" customHeight="false" outlineLevel="0" collapsed="false">
      <c r="A7615" s="0" t="n">
        <v>7614</v>
      </c>
      <c r="B7615" s="18" t="n">
        <v>2314866.04378337</v>
      </c>
      <c r="C7615" s="18" t="n">
        <v>0</v>
      </c>
      <c r="D7615" s="0" t="n">
        <v>0</v>
      </c>
      <c r="E7615" s="19" t="n">
        <v>46.1666666666667</v>
      </c>
    </row>
    <row r="7616" customFormat="false" ht="15" hidden="false" customHeight="false" outlineLevel="0" collapsed="false">
      <c r="A7616" s="0" t="n">
        <v>7615</v>
      </c>
      <c r="B7616" s="18" t="n">
        <v>609759.70908386</v>
      </c>
      <c r="C7616" s="18" t="n">
        <v>0</v>
      </c>
      <c r="D7616" s="0" t="n">
        <v>0</v>
      </c>
      <c r="E7616" s="19" t="n">
        <v>31.8333333333333</v>
      </c>
    </row>
    <row r="7617" customFormat="false" ht="15" hidden="false" customHeight="false" outlineLevel="0" collapsed="false">
      <c r="A7617" s="0" t="n">
        <v>7616</v>
      </c>
      <c r="B7617" s="18" t="n">
        <v>432994.373396827</v>
      </c>
      <c r="C7617" s="18" t="n">
        <v>0</v>
      </c>
      <c r="D7617" s="0" t="n">
        <v>0</v>
      </c>
      <c r="E7617" s="19" t="n">
        <v>30</v>
      </c>
    </row>
    <row r="7618" customFormat="false" ht="15" hidden="false" customHeight="false" outlineLevel="0" collapsed="false">
      <c r="A7618" s="0" t="n">
        <v>7617</v>
      </c>
      <c r="B7618" s="18" t="n">
        <v>423837.906343396</v>
      </c>
      <c r="C7618" s="18" t="n">
        <v>0</v>
      </c>
      <c r="D7618" s="0" t="n">
        <v>0</v>
      </c>
      <c r="E7618" s="19" t="n">
        <v>35.5833333333333</v>
      </c>
    </row>
    <row r="7619" customFormat="false" ht="15" hidden="false" customHeight="false" outlineLevel="0" collapsed="false">
      <c r="A7619" s="0" t="n">
        <v>7618</v>
      </c>
      <c r="B7619" s="18" t="n">
        <v>1030803.17118509</v>
      </c>
      <c r="C7619" s="18" t="n">
        <v>11876158.5002704</v>
      </c>
      <c r="D7619" s="0" t="n">
        <v>1</v>
      </c>
    </row>
    <row r="7620" customFormat="false" ht="15" hidden="false" customHeight="false" outlineLevel="0" collapsed="false">
      <c r="A7620" s="0" t="n">
        <v>7619</v>
      </c>
      <c r="B7620" s="18" t="n">
        <v>1711970.99117755</v>
      </c>
      <c r="C7620" s="18" t="n">
        <v>0</v>
      </c>
      <c r="D7620" s="0" t="n">
        <v>0</v>
      </c>
      <c r="E7620" s="19" t="n">
        <v>50.25</v>
      </c>
    </row>
    <row r="7621" customFormat="false" ht="15" hidden="false" customHeight="false" outlineLevel="0" collapsed="false">
      <c r="A7621" s="0" t="n">
        <v>7620</v>
      </c>
      <c r="B7621" s="18" t="n">
        <v>541616.812105141</v>
      </c>
      <c r="C7621" s="18" t="n">
        <v>0</v>
      </c>
      <c r="D7621" s="0" t="n">
        <v>0</v>
      </c>
      <c r="E7621" s="19" t="n">
        <v>37.8333333333333</v>
      </c>
    </row>
    <row r="7622" customFormat="false" ht="15" hidden="false" customHeight="false" outlineLevel="0" collapsed="false">
      <c r="A7622" s="0" t="n">
        <v>7621</v>
      </c>
      <c r="B7622" s="18" t="n">
        <v>400337.542358333</v>
      </c>
      <c r="C7622" s="18" t="n">
        <v>0</v>
      </c>
      <c r="D7622" s="0" t="n">
        <v>0</v>
      </c>
      <c r="E7622" s="19" t="n">
        <v>31.0833333333333</v>
      </c>
    </row>
    <row r="7623" customFormat="false" ht="15" hidden="false" customHeight="false" outlineLevel="0" collapsed="false">
      <c r="A7623" s="0" t="n">
        <v>7622</v>
      </c>
      <c r="B7623" s="18" t="n">
        <v>3040292.28981517</v>
      </c>
      <c r="C7623" s="18" t="n">
        <v>24506384.5111204</v>
      </c>
      <c r="D7623" s="0" t="n">
        <v>1</v>
      </c>
    </row>
    <row r="7624" customFormat="false" ht="15" hidden="false" customHeight="false" outlineLevel="0" collapsed="false">
      <c r="A7624" s="0" t="n">
        <v>7623</v>
      </c>
      <c r="B7624" s="18" t="n">
        <v>648876.166117906</v>
      </c>
      <c r="C7624" s="18" t="n">
        <v>0</v>
      </c>
      <c r="D7624" s="0" t="n">
        <v>0</v>
      </c>
      <c r="E7624" s="19" t="n">
        <v>36.5833333333333</v>
      </c>
    </row>
    <row r="7625" customFormat="false" ht="15" hidden="false" customHeight="false" outlineLevel="0" collapsed="false">
      <c r="A7625" s="0" t="n">
        <v>7624</v>
      </c>
      <c r="B7625" s="18" t="n">
        <v>3523797.47603609</v>
      </c>
      <c r="C7625" s="18" t="n">
        <v>1787998.49382064</v>
      </c>
      <c r="D7625" s="0" t="n">
        <v>1</v>
      </c>
    </row>
    <row r="7626" customFormat="false" ht="15" hidden="false" customHeight="false" outlineLevel="0" collapsed="false">
      <c r="A7626" s="0" t="n">
        <v>7625</v>
      </c>
      <c r="B7626" s="18" t="n">
        <v>720623.936624891</v>
      </c>
      <c r="C7626" s="18" t="n">
        <v>0</v>
      </c>
      <c r="D7626" s="0" t="n">
        <v>0</v>
      </c>
      <c r="E7626" s="19" t="n">
        <v>37.75</v>
      </c>
    </row>
    <row r="7627" customFormat="false" ht="15" hidden="false" customHeight="false" outlineLevel="0" collapsed="false">
      <c r="A7627" s="0" t="n">
        <v>7626</v>
      </c>
      <c r="B7627" s="18" t="n">
        <v>1728749.78928315</v>
      </c>
      <c r="C7627" s="18" t="n">
        <v>3572354.83668792</v>
      </c>
      <c r="D7627" s="0" t="n">
        <v>1</v>
      </c>
    </row>
    <row r="7628" customFormat="false" ht="15" hidden="false" customHeight="false" outlineLevel="0" collapsed="false">
      <c r="A7628" s="0" t="n">
        <v>7627</v>
      </c>
      <c r="B7628" s="18" t="n">
        <v>1091153.99685146</v>
      </c>
      <c r="C7628" s="18" t="n">
        <v>4962281.61785127</v>
      </c>
      <c r="D7628" s="0" t="n">
        <v>1</v>
      </c>
    </row>
    <row r="7629" customFormat="false" ht="15" hidden="false" customHeight="false" outlineLevel="0" collapsed="false">
      <c r="A7629" s="0" t="n">
        <v>7628</v>
      </c>
      <c r="B7629" s="18" t="n">
        <v>1659254.45871186</v>
      </c>
      <c r="C7629" s="18" t="n">
        <v>4624281.17350854</v>
      </c>
      <c r="D7629" s="0" t="n">
        <v>1</v>
      </c>
    </row>
    <row r="7630" customFormat="false" ht="15" hidden="false" customHeight="false" outlineLevel="0" collapsed="false">
      <c r="A7630" s="0" t="n">
        <v>7629</v>
      </c>
      <c r="B7630" s="18" t="n">
        <v>705168.126825282</v>
      </c>
      <c r="C7630" s="18" t="n">
        <v>0</v>
      </c>
      <c r="D7630" s="0" t="n">
        <v>0</v>
      </c>
      <c r="E7630" s="19" t="n">
        <v>41.5833333333333</v>
      </c>
    </row>
    <row r="7631" customFormat="false" ht="15" hidden="false" customHeight="false" outlineLevel="0" collapsed="false">
      <c r="A7631" s="0" t="n">
        <v>7630</v>
      </c>
      <c r="B7631" s="18" t="n">
        <v>2073496.97894067</v>
      </c>
      <c r="C7631" s="18" t="n">
        <v>6872938.13804806</v>
      </c>
      <c r="D7631" s="0" t="n">
        <v>1</v>
      </c>
    </row>
    <row r="7632" customFormat="false" ht="15" hidden="false" customHeight="false" outlineLevel="0" collapsed="false">
      <c r="A7632" s="0" t="n">
        <v>7631</v>
      </c>
      <c r="B7632" s="18" t="n">
        <v>991101.377260627</v>
      </c>
      <c r="C7632" s="18" t="n">
        <v>0</v>
      </c>
      <c r="D7632" s="0" t="n">
        <v>0</v>
      </c>
      <c r="E7632" s="19" t="n">
        <v>54.25</v>
      </c>
    </row>
    <row r="7633" customFormat="false" ht="15" hidden="false" customHeight="false" outlineLevel="0" collapsed="false">
      <c r="A7633" s="0" t="n">
        <v>7632</v>
      </c>
      <c r="B7633" s="18" t="n">
        <v>1299684.20480135</v>
      </c>
      <c r="C7633" s="18" t="n">
        <v>2556607.28419181</v>
      </c>
      <c r="D7633" s="0" t="n">
        <v>1</v>
      </c>
    </row>
    <row r="7634" customFormat="false" ht="15" hidden="false" customHeight="false" outlineLevel="0" collapsed="false">
      <c r="A7634" s="0" t="n">
        <v>7633</v>
      </c>
      <c r="B7634" s="18" t="n">
        <v>314996.963981356</v>
      </c>
      <c r="C7634" s="18" t="n">
        <v>0</v>
      </c>
      <c r="D7634" s="0" t="n">
        <v>0</v>
      </c>
      <c r="E7634" s="19" t="n">
        <v>31.3333333333333</v>
      </c>
    </row>
    <row r="7635" customFormat="false" ht="15" hidden="false" customHeight="false" outlineLevel="0" collapsed="false">
      <c r="A7635" s="0" t="n">
        <v>7634</v>
      </c>
      <c r="B7635" s="18" t="n">
        <v>721208.824359499</v>
      </c>
      <c r="C7635" s="18" t="n">
        <v>0</v>
      </c>
      <c r="D7635" s="0" t="n">
        <v>0</v>
      </c>
      <c r="E7635" s="19" t="n">
        <v>54.5833333333333</v>
      </c>
    </row>
    <row r="7636" customFormat="false" ht="15" hidden="false" customHeight="false" outlineLevel="0" collapsed="false">
      <c r="A7636" s="0" t="n">
        <v>7635</v>
      </c>
      <c r="B7636" s="18" t="n">
        <v>470068.93397996</v>
      </c>
      <c r="C7636" s="18" t="n">
        <v>0</v>
      </c>
      <c r="D7636" s="0" t="n">
        <v>0</v>
      </c>
      <c r="E7636" s="19" t="n">
        <v>35.6666666666667</v>
      </c>
    </row>
    <row r="7637" customFormat="false" ht="15" hidden="false" customHeight="false" outlineLevel="0" collapsed="false">
      <c r="A7637" s="0" t="n">
        <v>7636</v>
      </c>
      <c r="B7637" s="18" t="n">
        <v>579476.336836153</v>
      </c>
      <c r="C7637" s="18" t="n">
        <v>4145855.7311776</v>
      </c>
      <c r="D7637" s="0" t="n">
        <v>1</v>
      </c>
    </row>
    <row r="7638" customFormat="false" ht="15" hidden="false" customHeight="false" outlineLevel="0" collapsed="false">
      <c r="A7638" s="0" t="n">
        <v>7637</v>
      </c>
      <c r="B7638" s="18" t="n">
        <v>3095231.23805431</v>
      </c>
      <c r="C7638" s="18" t="n">
        <v>11680329.9955668</v>
      </c>
      <c r="D7638" s="0" t="n">
        <v>1</v>
      </c>
    </row>
    <row r="7639" customFormat="false" ht="15" hidden="false" customHeight="false" outlineLevel="0" collapsed="false">
      <c r="A7639" s="0" t="n">
        <v>7638</v>
      </c>
      <c r="B7639" s="18" t="n">
        <v>1621522.4194169</v>
      </c>
      <c r="C7639" s="18" t="n">
        <v>2145258.84045204</v>
      </c>
      <c r="D7639" s="0" t="n">
        <v>1</v>
      </c>
    </row>
    <row r="7640" customFormat="false" ht="15" hidden="false" customHeight="false" outlineLevel="0" collapsed="false">
      <c r="A7640" s="0" t="n">
        <v>7639</v>
      </c>
      <c r="B7640" s="18" t="n">
        <v>1417729.26465219</v>
      </c>
      <c r="C7640" s="18" t="n">
        <v>782877.374784267</v>
      </c>
      <c r="D7640" s="0" t="n">
        <v>1</v>
      </c>
    </row>
    <row r="7641" customFormat="false" ht="15" hidden="false" customHeight="false" outlineLevel="0" collapsed="false">
      <c r="A7641" s="0" t="n">
        <v>7640</v>
      </c>
      <c r="B7641" s="18" t="n">
        <v>646859.40278433</v>
      </c>
      <c r="C7641" s="18" t="n">
        <v>0</v>
      </c>
      <c r="D7641" s="0" t="n">
        <v>0</v>
      </c>
      <c r="E7641" s="19" t="n">
        <v>33.5</v>
      </c>
    </row>
    <row r="7642" customFormat="false" ht="15" hidden="false" customHeight="false" outlineLevel="0" collapsed="false">
      <c r="A7642" s="0" t="n">
        <v>7641</v>
      </c>
      <c r="B7642" s="18" t="n">
        <v>3017642.840576</v>
      </c>
      <c r="C7642" s="18" t="n">
        <v>14256083.3398559</v>
      </c>
      <c r="D7642" s="0" t="n">
        <v>1</v>
      </c>
    </row>
    <row r="7643" customFormat="false" ht="15" hidden="false" customHeight="false" outlineLevel="0" collapsed="false">
      <c r="A7643" s="0" t="n">
        <v>7642</v>
      </c>
      <c r="B7643" s="18" t="n">
        <v>258572.877909812</v>
      </c>
      <c r="C7643" s="18" t="n">
        <v>0</v>
      </c>
      <c r="D7643" s="0" t="n">
        <v>0</v>
      </c>
      <c r="E7643" s="19" t="n">
        <v>29.75</v>
      </c>
    </row>
    <row r="7644" customFormat="false" ht="15" hidden="false" customHeight="false" outlineLevel="0" collapsed="false">
      <c r="A7644" s="0" t="n">
        <v>7643</v>
      </c>
      <c r="B7644" s="18" t="n">
        <v>721324.037168865</v>
      </c>
      <c r="C7644" s="18" t="n">
        <v>1577226.6783418</v>
      </c>
      <c r="D7644" s="0" t="n">
        <v>1</v>
      </c>
    </row>
    <row r="7645" customFormat="false" ht="15" hidden="false" customHeight="false" outlineLevel="0" collapsed="false">
      <c r="A7645" s="0" t="n">
        <v>7644</v>
      </c>
      <c r="B7645" s="18" t="n">
        <v>572194.241393171</v>
      </c>
      <c r="C7645" s="18" t="n">
        <v>0</v>
      </c>
      <c r="D7645" s="0" t="n">
        <v>0</v>
      </c>
      <c r="E7645" s="19" t="n">
        <v>40.4166666666667</v>
      </c>
    </row>
    <row r="7646" customFormat="false" ht="15" hidden="false" customHeight="false" outlineLevel="0" collapsed="false">
      <c r="A7646" s="0" t="n">
        <v>7645</v>
      </c>
      <c r="B7646" s="18" t="n">
        <v>322919.223765639</v>
      </c>
      <c r="C7646" s="18" t="n">
        <v>0</v>
      </c>
      <c r="D7646" s="0" t="n">
        <v>0</v>
      </c>
      <c r="E7646" s="19" t="n">
        <v>30.0833333333333</v>
      </c>
    </row>
    <row r="7647" customFormat="false" ht="15" hidden="false" customHeight="false" outlineLevel="0" collapsed="false">
      <c r="A7647" s="0" t="n">
        <v>7646</v>
      </c>
      <c r="B7647" s="18" t="n">
        <v>671450.115821246</v>
      </c>
      <c r="C7647" s="18" t="n">
        <v>0</v>
      </c>
      <c r="D7647" s="0" t="n">
        <v>0</v>
      </c>
      <c r="E7647" s="19" t="n">
        <v>36.1666666666667</v>
      </c>
    </row>
    <row r="7648" customFormat="false" ht="15" hidden="false" customHeight="false" outlineLevel="0" collapsed="false">
      <c r="A7648" s="0" t="n">
        <v>7647</v>
      </c>
      <c r="B7648" s="18" t="n">
        <v>1799943.39658365</v>
      </c>
      <c r="C7648" s="18" t="n">
        <v>169408.734030894</v>
      </c>
      <c r="D7648" s="0" t="n">
        <v>1</v>
      </c>
    </row>
    <row r="7649" customFormat="false" ht="15" hidden="false" customHeight="false" outlineLevel="0" collapsed="false">
      <c r="A7649" s="0" t="n">
        <v>7648</v>
      </c>
      <c r="B7649" s="18" t="n">
        <v>2264244.28620558</v>
      </c>
      <c r="C7649" s="18" t="n">
        <v>3318731.64564872</v>
      </c>
      <c r="D7649" s="0" t="n">
        <v>1</v>
      </c>
    </row>
    <row r="7650" customFormat="false" ht="15" hidden="false" customHeight="false" outlineLevel="0" collapsed="false">
      <c r="A7650" s="0" t="n">
        <v>7649</v>
      </c>
      <c r="B7650" s="18" t="n">
        <v>1093131.4413964</v>
      </c>
      <c r="C7650" s="18" t="n">
        <v>0</v>
      </c>
      <c r="D7650" s="0" t="n">
        <v>0</v>
      </c>
      <c r="E7650" s="19" t="n">
        <v>42.9166666666667</v>
      </c>
    </row>
    <row r="7651" customFormat="false" ht="15" hidden="false" customHeight="false" outlineLevel="0" collapsed="false">
      <c r="A7651" s="0" t="n">
        <v>7650</v>
      </c>
      <c r="B7651" s="18" t="n">
        <v>2239438.2000382</v>
      </c>
      <c r="C7651" s="18" t="n">
        <v>5202216.08632335</v>
      </c>
      <c r="D7651" s="0" t="n">
        <v>1</v>
      </c>
    </row>
    <row r="7652" customFormat="false" ht="15" hidden="false" customHeight="false" outlineLevel="0" collapsed="false">
      <c r="A7652" s="0" t="n">
        <v>7651</v>
      </c>
      <c r="B7652" s="18" t="n">
        <v>475422.122057383</v>
      </c>
      <c r="C7652" s="18" t="n">
        <v>0</v>
      </c>
      <c r="D7652" s="0" t="n">
        <v>0</v>
      </c>
      <c r="E7652" s="19" t="n">
        <v>35.75</v>
      </c>
    </row>
    <row r="7653" customFormat="false" ht="15" hidden="false" customHeight="false" outlineLevel="0" collapsed="false">
      <c r="A7653" s="0" t="n">
        <v>7652</v>
      </c>
      <c r="B7653" s="18" t="n">
        <v>1240125.31908327</v>
      </c>
      <c r="C7653" s="18" t="n">
        <v>0</v>
      </c>
      <c r="D7653" s="0" t="n">
        <v>0</v>
      </c>
      <c r="E7653" s="19" t="n">
        <v>48.75</v>
      </c>
    </row>
    <row r="7654" customFormat="false" ht="15" hidden="false" customHeight="false" outlineLevel="0" collapsed="false">
      <c r="A7654" s="0" t="n">
        <v>7653</v>
      </c>
      <c r="B7654" s="18" t="n">
        <v>540257.858237608</v>
      </c>
      <c r="C7654" s="18" t="n">
        <v>0</v>
      </c>
      <c r="D7654" s="0" t="n">
        <v>0</v>
      </c>
      <c r="E7654" s="19" t="n">
        <v>37.9166666666667</v>
      </c>
    </row>
    <row r="7655" customFormat="false" ht="15" hidden="false" customHeight="false" outlineLevel="0" collapsed="false">
      <c r="A7655" s="0" t="n">
        <v>7654</v>
      </c>
      <c r="B7655" s="18" t="n">
        <v>1457019.73563145</v>
      </c>
      <c r="C7655" s="18" t="n">
        <v>1643504.98614341</v>
      </c>
      <c r="D7655" s="0" t="n">
        <v>1</v>
      </c>
    </row>
    <row r="7656" customFormat="false" ht="15" hidden="false" customHeight="false" outlineLevel="0" collapsed="false">
      <c r="A7656" s="0" t="n">
        <v>7655</v>
      </c>
      <c r="B7656" s="18" t="n">
        <v>1873700.78001216</v>
      </c>
      <c r="C7656" s="18" t="n">
        <v>0</v>
      </c>
      <c r="D7656" s="0" t="n">
        <v>0</v>
      </c>
      <c r="E7656" s="19" t="n">
        <v>53.9166666666667</v>
      </c>
    </row>
    <row r="7657" customFormat="false" ht="15" hidden="false" customHeight="false" outlineLevel="0" collapsed="false">
      <c r="A7657" s="0" t="n">
        <v>7656</v>
      </c>
      <c r="B7657" s="18" t="n">
        <v>917029.514189089</v>
      </c>
      <c r="C7657" s="18" t="n">
        <v>0</v>
      </c>
      <c r="D7657" s="0" t="n">
        <v>0</v>
      </c>
      <c r="E7657" s="19" t="n">
        <v>42.0833333333333</v>
      </c>
    </row>
    <row r="7658" customFormat="false" ht="15" hidden="false" customHeight="false" outlineLevel="0" collapsed="false">
      <c r="A7658" s="0" t="n">
        <v>7657</v>
      </c>
      <c r="B7658" s="18" t="n">
        <v>884463.613247764</v>
      </c>
      <c r="C7658" s="18" t="n">
        <v>9070930.52937359</v>
      </c>
      <c r="D7658" s="0" t="n">
        <v>1</v>
      </c>
    </row>
    <row r="7659" customFormat="false" ht="15" hidden="false" customHeight="false" outlineLevel="0" collapsed="false">
      <c r="A7659" s="0" t="n">
        <v>7658</v>
      </c>
      <c r="B7659" s="18" t="n">
        <v>500206.603593124</v>
      </c>
      <c r="C7659" s="18" t="n">
        <v>0</v>
      </c>
      <c r="D7659" s="0" t="n">
        <v>0</v>
      </c>
      <c r="E7659" s="19" t="n">
        <v>33.25</v>
      </c>
    </row>
    <row r="7660" customFormat="false" ht="15" hidden="false" customHeight="false" outlineLevel="0" collapsed="false">
      <c r="A7660" s="0" t="n">
        <v>7659</v>
      </c>
      <c r="B7660" s="18" t="n">
        <v>583384.929177981</v>
      </c>
      <c r="C7660" s="18" t="n">
        <v>0</v>
      </c>
      <c r="D7660" s="0" t="n">
        <v>0</v>
      </c>
      <c r="E7660" s="19" t="n">
        <v>36.4166666666667</v>
      </c>
    </row>
    <row r="7661" customFormat="false" ht="15" hidden="false" customHeight="false" outlineLevel="0" collapsed="false">
      <c r="A7661" s="0" t="n">
        <v>7660</v>
      </c>
      <c r="B7661" s="18" t="n">
        <v>1196140.26175537</v>
      </c>
      <c r="C7661" s="18" t="n">
        <v>845335.608847847</v>
      </c>
      <c r="D7661" s="0" t="n">
        <v>1</v>
      </c>
    </row>
    <row r="7662" customFormat="false" ht="15" hidden="false" customHeight="false" outlineLevel="0" collapsed="false">
      <c r="A7662" s="0" t="n">
        <v>7661</v>
      </c>
      <c r="B7662" s="18" t="n">
        <v>4493173.92669172</v>
      </c>
      <c r="C7662" s="18" t="n">
        <v>19587027.1378744</v>
      </c>
      <c r="D7662" s="0" t="n">
        <v>1</v>
      </c>
    </row>
    <row r="7663" customFormat="false" ht="15" hidden="false" customHeight="false" outlineLevel="0" collapsed="false">
      <c r="A7663" s="0" t="n">
        <v>7662</v>
      </c>
      <c r="B7663" s="18" t="n">
        <v>1318749.7293638</v>
      </c>
      <c r="C7663" s="18" t="n">
        <v>0</v>
      </c>
      <c r="D7663" s="0" t="n">
        <v>0</v>
      </c>
      <c r="E7663" s="19" t="n">
        <v>53.9166666666667</v>
      </c>
    </row>
    <row r="7664" customFormat="false" ht="15" hidden="false" customHeight="false" outlineLevel="0" collapsed="false">
      <c r="A7664" s="0" t="n">
        <v>7663</v>
      </c>
      <c r="B7664" s="18" t="n">
        <v>1057186.89945107</v>
      </c>
      <c r="C7664" s="18" t="n">
        <v>3347039.01798273</v>
      </c>
      <c r="D7664" s="0" t="n">
        <v>1</v>
      </c>
    </row>
    <row r="7665" customFormat="false" ht="15" hidden="false" customHeight="false" outlineLevel="0" collapsed="false">
      <c r="A7665" s="0" t="n">
        <v>7664</v>
      </c>
      <c r="B7665" s="18" t="n">
        <v>654719.831065124</v>
      </c>
      <c r="C7665" s="18" t="n">
        <v>1452019.62757852</v>
      </c>
      <c r="D7665" s="0" t="n">
        <v>1</v>
      </c>
    </row>
    <row r="7666" customFormat="false" ht="15" hidden="false" customHeight="false" outlineLevel="0" collapsed="false">
      <c r="A7666" s="0" t="n">
        <v>7665</v>
      </c>
      <c r="B7666" s="18" t="n">
        <v>926489.627389417</v>
      </c>
      <c r="C7666" s="18" t="n">
        <v>2383570.83307802</v>
      </c>
      <c r="D7666" s="0" t="n">
        <v>1</v>
      </c>
    </row>
    <row r="7667" customFormat="false" ht="15" hidden="false" customHeight="false" outlineLevel="0" collapsed="false">
      <c r="A7667" s="0" t="n">
        <v>7666</v>
      </c>
      <c r="B7667" s="18" t="n">
        <v>817523.361018684</v>
      </c>
      <c r="C7667" s="18" t="n">
        <v>0</v>
      </c>
      <c r="D7667" s="0" t="n">
        <v>0</v>
      </c>
      <c r="E7667" s="19" t="n">
        <v>41</v>
      </c>
    </row>
    <row r="7668" customFormat="false" ht="15" hidden="false" customHeight="false" outlineLevel="0" collapsed="false">
      <c r="A7668" s="0" t="n">
        <v>7667</v>
      </c>
      <c r="B7668" s="18" t="n">
        <v>413235.169610028</v>
      </c>
      <c r="C7668" s="18" t="n">
        <v>0</v>
      </c>
      <c r="D7668" s="0" t="n">
        <v>0</v>
      </c>
      <c r="E7668" s="19" t="n">
        <v>33.1666666666667</v>
      </c>
    </row>
    <row r="7669" customFormat="false" ht="15" hidden="false" customHeight="false" outlineLevel="0" collapsed="false">
      <c r="A7669" s="0" t="n">
        <v>7668</v>
      </c>
      <c r="B7669" s="18" t="n">
        <v>1156647.69307952</v>
      </c>
      <c r="C7669" s="18" t="n">
        <v>4489768.42093664</v>
      </c>
      <c r="D7669" s="0" t="n">
        <v>1</v>
      </c>
    </row>
    <row r="7670" customFormat="false" ht="15" hidden="false" customHeight="false" outlineLevel="0" collapsed="false">
      <c r="A7670" s="0" t="n">
        <v>7669</v>
      </c>
      <c r="B7670" s="18" t="n">
        <v>1231614.41998142</v>
      </c>
      <c r="C7670" s="18" t="n">
        <v>2514146.73856866</v>
      </c>
      <c r="D7670" s="0" t="n">
        <v>1</v>
      </c>
    </row>
    <row r="7671" customFormat="false" ht="15" hidden="false" customHeight="false" outlineLevel="0" collapsed="false">
      <c r="A7671" s="0" t="n">
        <v>7670</v>
      </c>
      <c r="B7671" s="18" t="n">
        <v>1018323.76079894</v>
      </c>
      <c r="C7671" s="18" t="n">
        <v>0</v>
      </c>
      <c r="D7671" s="0" t="n">
        <v>0</v>
      </c>
      <c r="E7671" s="19" t="n">
        <v>44.5833333333333</v>
      </c>
    </row>
    <row r="7672" customFormat="false" ht="15" hidden="false" customHeight="false" outlineLevel="0" collapsed="false">
      <c r="A7672" s="0" t="n">
        <v>7671</v>
      </c>
      <c r="B7672" s="18" t="n">
        <v>448822.922426877</v>
      </c>
      <c r="C7672" s="18" t="n">
        <v>0</v>
      </c>
      <c r="D7672" s="0" t="n">
        <v>0</v>
      </c>
      <c r="E7672" s="19" t="n">
        <v>34.0833333333333</v>
      </c>
    </row>
    <row r="7673" customFormat="false" ht="15" hidden="false" customHeight="false" outlineLevel="0" collapsed="false">
      <c r="A7673" s="0" t="n">
        <v>7672</v>
      </c>
      <c r="B7673" s="18" t="n">
        <v>339381.188690134</v>
      </c>
      <c r="C7673" s="18" t="n">
        <v>0</v>
      </c>
      <c r="D7673" s="0" t="n">
        <v>0</v>
      </c>
      <c r="E7673" s="19" t="n">
        <v>30.0833333333333</v>
      </c>
    </row>
    <row r="7674" customFormat="false" ht="15" hidden="false" customHeight="false" outlineLevel="0" collapsed="false">
      <c r="A7674" s="0" t="n">
        <v>7673</v>
      </c>
      <c r="B7674" s="18" t="n">
        <v>1357266.0978185</v>
      </c>
      <c r="C7674" s="18" t="n">
        <v>20229650.1817644</v>
      </c>
      <c r="D7674" s="0" t="n">
        <v>1</v>
      </c>
    </row>
    <row r="7675" customFormat="false" ht="15" hidden="false" customHeight="false" outlineLevel="0" collapsed="false">
      <c r="A7675" s="0" t="n">
        <v>7674</v>
      </c>
      <c r="B7675" s="18" t="n">
        <v>585892.608162786</v>
      </c>
      <c r="C7675" s="18" t="n">
        <v>0</v>
      </c>
      <c r="D7675" s="0" t="n">
        <v>0</v>
      </c>
      <c r="E7675" s="19" t="n">
        <v>35.5833333333333</v>
      </c>
    </row>
    <row r="7676" customFormat="false" ht="15" hidden="false" customHeight="false" outlineLevel="0" collapsed="false">
      <c r="A7676" s="0" t="n">
        <v>7675</v>
      </c>
      <c r="B7676" s="18" t="n">
        <v>1343041.07445609</v>
      </c>
      <c r="C7676" s="18" t="n">
        <v>1019768.14246322</v>
      </c>
      <c r="D7676" s="0" t="n">
        <v>1</v>
      </c>
    </row>
    <row r="7677" customFormat="false" ht="15" hidden="false" customHeight="false" outlineLevel="0" collapsed="false">
      <c r="A7677" s="0" t="n">
        <v>7676</v>
      </c>
      <c r="B7677" s="18" t="n">
        <v>818246.882495983</v>
      </c>
      <c r="C7677" s="18" t="n">
        <v>0</v>
      </c>
      <c r="D7677" s="0" t="n">
        <v>0</v>
      </c>
      <c r="E7677" s="19" t="n">
        <v>42.5833333333333</v>
      </c>
    </row>
    <row r="7678" customFormat="false" ht="15" hidden="false" customHeight="false" outlineLevel="0" collapsed="false">
      <c r="A7678" s="0" t="n">
        <v>7677</v>
      </c>
      <c r="B7678" s="18" t="n">
        <v>632700.369905331</v>
      </c>
      <c r="C7678" s="18" t="n">
        <v>0</v>
      </c>
      <c r="D7678" s="0" t="n">
        <v>0</v>
      </c>
      <c r="E7678" s="19" t="n">
        <v>47.3333333333333</v>
      </c>
    </row>
    <row r="7679" customFormat="false" ht="15" hidden="false" customHeight="false" outlineLevel="0" collapsed="false">
      <c r="A7679" s="0" t="n">
        <v>7678</v>
      </c>
      <c r="B7679" s="18" t="n">
        <v>775505.267937338</v>
      </c>
      <c r="C7679" s="18" t="n">
        <v>0</v>
      </c>
      <c r="D7679" s="0" t="n">
        <v>0</v>
      </c>
      <c r="E7679" s="19" t="n">
        <v>37.3333333333333</v>
      </c>
    </row>
    <row r="7680" customFormat="false" ht="15" hidden="false" customHeight="false" outlineLevel="0" collapsed="false">
      <c r="A7680" s="0" t="n">
        <v>7679</v>
      </c>
      <c r="B7680" s="18" t="n">
        <v>981830.121267141</v>
      </c>
      <c r="C7680" s="18" t="n">
        <v>18579.0249204605</v>
      </c>
      <c r="D7680" s="0" t="n">
        <v>1</v>
      </c>
    </row>
    <row r="7681" customFormat="false" ht="15" hidden="false" customHeight="false" outlineLevel="0" collapsed="false">
      <c r="A7681" s="0" t="n">
        <v>7680</v>
      </c>
      <c r="B7681" s="18" t="n">
        <v>1317416.55356379</v>
      </c>
      <c r="C7681" s="18" t="n">
        <v>7437788.85537497</v>
      </c>
      <c r="D7681" s="0" t="n">
        <v>1</v>
      </c>
    </row>
    <row r="7682" customFormat="false" ht="15" hidden="false" customHeight="false" outlineLevel="0" collapsed="false">
      <c r="A7682" s="0" t="n">
        <v>7681</v>
      </c>
      <c r="B7682" s="18" t="n">
        <v>2208203.16583825</v>
      </c>
      <c r="C7682" s="18" t="n">
        <v>2831114.46968662</v>
      </c>
      <c r="D7682" s="0" t="n">
        <v>1</v>
      </c>
    </row>
    <row r="7683" customFormat="false" ht="15" hidden="false" customHeight="false" outlineLevel="0" collapsed="false">
      <c r="A7683" s="0" t="n">
        <v>7682</v>
      </c>
      <c r="B7683" s="18" t="n">
        <v>1062618.06145857</v>
      </c>
      <c r="C7683" s="18" t="n">
        <v>0</v>
      </c>
      <c r="D7683" s="0" t="n">
        <v>0</v>
      </c>
      <c r="E7683" s="19" t="n">
        <v>40.1666666666667</v>
      </c>
    </row>
    <row r="7684" customFormat="false" ht="15" hidden="false" customHeight="false" outlineLevel="0" collapsed="false">
      <c r="A7684" s="0" t="n">
        <v>7683</v>
      </c>
      <c r="B7684" s="18" t="n">
        <v>948127.910485646</v>
      </c>
      <c r="C7684" s="18" t="n">
        <v>1944587.27561988</v>
      </c>
      <c r="D7684" s="0" t="n">
        <v>1</v>
      </c>
    </row>
    <row r="7685" customFormat="false" ht="15" hidden="false" customHeight="false" outlineLevel="0" collapsed="false">
      <c r="A7685" s="0" t="n">
        <v>7684</v>
      </c>
      <c r="B7685" s="18" t="n">
        <v>776319.777232831</v>
      </c>
      <c r="C7685" s="18" t="n">
        <v>0</v>
      </c>
      <c r="D7685" s="0" t="n">
        <v>0</v>
      </c>
      <c r="E7685" s="19" t="n">
        <v>36.8333333333333</v>
      </c>
    </row>
    <row r="7686" customFormat="false" ht="15" hidden="false" customHeight="false" outlineLevel="0" collapsed="false">
      <c r="A7686" s="0" t="n">
        <v>7685</v>
      </c>
      <c r="B7686" s="18" t="n">
        <v>351554.439950417</v>
      </c>
      <c r="C7686" s="18" t="n">
        <v>0</v>
      </c>
      <c r="D7686" s="0" t="n">
        <v>0</v>
      </c>
      <c r="E7686" s="19" t="n">
        <v>31.0833333333333</v>
      </c>
    </row>
    <row r="7687" customFormat="false" ht="15" hidden="false" customHeight="false" outlineLevel="0" collapsed="false">
      <c r="A7687" s="0" t="n">
        <v>7686</v>
      </c>
      <c r="B7687" s="18" t="n">
        <v>989003.39859406</v>
      </c>
      <c r="C7687" s="18" t="n">
        <v>253584.783393269</v>
      </c>
      <c r="D7687" s="0" t="n">
        <v>1</v>
      </c>
    </row>
    <row r="7688" customFormat="false" ht="15" hidden="false" customHeight="false" outlineLevel="0" collapsed="false">
      <c r="A7688" s="0" t="n">
        <v>7687</v>
      </c>
      <c r="B7688" s="18" t="n">
        <v>1036376.45754257</v>
      </c>
      <c r="C7688" s="18" t="n">
        <v>0</v>
      </c>
      <c r="D7688" s="0" t="n">
        <v>0</v>
      </c>
      <c r="E7688" s="19" t="n">
        <v>43.8333333333333</v>
      </c>
    </row>
    <row r="7689" customFormat="false" ht="15" hidden="false" customHeight="false" outlineLevel="0" collapsed="false">
      <c r="A7689" s="0" t="n">
        <v>7688</v>
      </c>
      <c r="B7689" s="18" t="n">
        <v>1206985.12564178</v>
      </c>
      <c r="C7689" s="18" t="n">
        <v>0</v>
      </c>
      <c r="D7689" s="0" t="n">
        <v>0</v>
      </c>
      <c r="E7689" s="19" t="n">
        <v>48.4166666666667</v>
      </c>
    </row>
    <row r="7690" customFormat="false" ht="15" hidden="false" customHeight="false" outlineLevel="0" collapsed="false">
      <c r="A7690" s="0" t="n">
        <v>7689</v>
      </c>
      <c r="B7690" s="18" t="n">
        <v>905830.572734042</v>
      </c>
      <c r="C7690" s="18" t="n">
        <v>0</v>
      </c>
      <c r="D7690" s="0" t="n">
        <v>0</v>
      </c>
      <c r="E7690" s="19" t="n">
        <v>40.75</v>
      </c>
    </row>
    <row r="7691" customFormat="false" ht="15" hidden="false" customHeight="false" outlineLevel="0" collapsed="false">
      <c r="A7691" s="0" t="n">
        <v>7690</v>
      </c>
      <c r="B7691" s="18" t="n">
        <v>1270298.11403963</v>
      </c>
      <c r="C7691" s="18" t="n">
        <v>0</v>
      </c>
      <c r="D7691" s="0" t="n">
        <v>0</v>
      </c>
      <c r="E7691" s="19" t="n">
        <v>46.5833333333333</v>
      </c>
    </row>
    <row r="7692" customFormat="false" ht="15" hidden="false" customHeight="false" outlineLevel="0" collapsed="false">
      <c r="A7692" s="0" t="n">
        <v>7691</v>
      </c>
      <c r="B7692" s="18" t="n">
        <v>1088852.37291324</v>
      </c>
      <c r="C7692" s="18" t="n">
        <v>0</v>
      </c>
      <c r="D7692" s="0" t="n">
        <v>0</v>
      </c>
      <c r="E7692" s="19" t="n">
        <v>40.5833333333333</v>
      </c>
    </row>
    <row r="7693" customFormat="false" ht="15" hidden="false" customHeight="false" outlineLevel="0" collapsed="false">
      <c r="A7693" s="0" t="n">
        <v>7692</v>
      </c>
      <c r="B7693" s="18" t="n">
        <v>5250937.63293539</v>
      </c>
      <c r="C7693" s="18" t="n">
        <v>61678695.3157518</v>
      </c>
      <c r="D7693" s="0" t="n">
        <v>1</v>
      </c>
    </row>
    <row r="7694" customFormat="false" ht="15" hidden="false" customHeight="false" outlineLevel="0" collapsed="false">
      <c r="A7694" s="0" t="n">
        <v>7693</v>
      </c>
      <c r="B7694" s="18" t="n">
        <v>522633.697273491</v>
      </c>
      <c r="C7694" s="18" t="n">
        <v>0</v>
      </c>
      <c r="D7694" s="0" t="n">
        <v>0</v>
      </c>
      <c r="E7694" s="19" t="n">
        <v>32.5</v>
      </c>
    </row>
    <row r="7695" customFormat="false" ht="15" hidden="false" customHeight="false" outlineLevel="0" collapsed="false">
      <c r="A7695" s="0" t="n">
        <v>7694</v>
      </c>
      <c r="B7695" s="18" t="n">
        <v>757652.056579414</v>
      </c>
      <c r="C7695" s="18" t="n">
        <v>910170.233516693</v>
      </c>
      <c r="D7695" s="0" t="n">
        <v>1</v>
      </c>
    </row>
    <row r="7696" customFormat="false" ht="15" hidden="false" customHeight="false" outlineLevel="0" collapsed="false">
      <c r="A7696" s="0" t="n">
        <v>7695</v>
      </c>
      <c r="B7696" s="18" t="n">
        <v>1009618.88873167</v>
      </c>
      <c r="C7696" s="18" t="n">
        <v>0</v>
      </c>
      <c r="D7696" s="0" t="n">
        <v>0</v>
      </c>
      <c r="E7696" s="19" t="n">
        <v>54.0833333333333</v>
      </c>
    </row>
    <row r="7697" customFormat="false" ht="15" hidden="false" customHeight="false" outlineLevel="0" collapsed="false">
      <c r="A7697" s="0" t="n">
        <v>7696</v>
      </c>
      <c r="B7697" s="18" t="n">
        <v>1485246.81633377</v>
      </c>
      <c r="C7697" s="18" t="n">
        <v>875567.19008421</v>
      </c>
      <c r="D7697" s="0" t="n">
        <v>1</v>
      </c>
    </row>
    <row r="7698" customFormat="false" ht="15" hidden="false" customHeight="false" outlineLevel="0" collapsed="false">
      <c r="A7698" s="0" t="n">
        <v>7697</v>
      </c>
      <c r="B7698" s="18" t="n">
        <v>1430140.53411874</v>
      </c>
      <c r="C7698" s="18" t="n">
        <v>6545351.40960742</v>
      </c>
      <c r="D7698" s="0" t="n">
        <v>1</v>
      </c>
    </row>
    <row r="7699" customFormat="false" ht="15" hidden="false" customHeight="false" outlineLevel="0" collapsed="false">
      <c r="A7699" s="0" t="n">
        <v>7698</v>
      </c>
      <c r="B7699" s="18" t="n">
        <v>1287733.21879095</v>
      </c>
      <c r="C7699" s="18" t="n">
        <v>0</v>
      </c>
      <c r="D7699" s="0" t="n">
        <v>0</v>
      </c>
      <c r="E7699" s="19" t="n">
        <v>45.6666666666667</v>
      </c>
    </row>
    <row r="7700" customFormat="false" ht="15" hidden="false" customHeight="false" outlineLevel="0" collapsed="false">
      <c r="A7700" s="0" t="n">
        <v>7699</v>
      </c>
      <c r="B7700" s="18" t="n">
        <v>839924.382279653</v>
      </c>
      <c r="C7700" s="18" t="n">
        <v>1685872.8488605</v>
      </c>
      <c r="D7700" s="0" t="n">
        <v>1</v>
      </c>
    </row>
    <row r="7701" customFormat="false" ht="15" hidden="false" customHeight="false" outlineLevel="0" collapsed="false">
      <c r="A7701" s="0" t="n">
        <v>7700</v>
      </c>
      <c r="B7701" s="18" t="n">
        <v>388251.433520863</v>
      </c>
      <c r="C7701" s="18" t="n">
        <v>0</v>
      </c>
      <c r="D7701" s="0" t="n">
        <v>0</v>
      </c>
      <c r="E7701" s="19" t="n">
        <v>30.8333333333333</v>
      </c>
    </row>
    <row r="7702" customFormat="false" ht="15" hidden="false" customHeight="false" outlineLevel="0" collapsed="false">
      <c r="A7702" s="0" t="n">
        <v>7701</v>
      </c>
      <c r="B7702" s="18" t="n">
        <v>641124.688195013</v>
      </c>
      <c r="C7702" s="18" t="n">
        <v>0</v>
      </c>
      <c r="D7702" s="0" t="n">
        <v>0</v>
      </c>
      <c r="E7702" s="19" t="n">
        <v>34.25</v>
      </c>
    </row>
    <row r="7703" customFormat="false" ht="15" hidden="false" customHeight="false" outlineLevel="0" collapsed="false">
      <c r="A7703" s="0" t="n">
        <v>7702</v>
      </c>
      <c r="B7703" s="18" t="n">
        <v>459636.674706697</v>
      </c>
      <c r="C7703" s="18" t="n">
        <v>0</v>
      </c>
      <c r="D7703" s="0" t="n">
        <v>0</v>
      </c>
      <c r="E7703" s="19" t="n">
        <v>36.4166666666667</v>
      </c>
    </row>
    <row r="7704" customFormat="false" ht="15" hidden="false" customHeight="false" outlineLevel="0" collapsed="false">
      <c r="A7704" s="0" t="n">
        <v>7703</v>
      </c>
      <c r="B7704" s="18" t="n">
        <v>2838746.51137409</v>
      </c>
      <c r="C7704" s="18" t="n">
        <v>17199443.0108734</v>
      </c>
      <c r="D7704" s="0" t="n">
        <v>1</v>
      </c>
    </row>
    <row r="7705" customFormat="false" ht="15" hidden="false" customHeight="false" outlineLevel="0" collapsed="false">
      <c r="A7705" s="0" t="n">
        <v>7704</v>
      </c>
      <c r="B7705" s="18" t="n">
        <v>1587192.84458678</v>
      </c>
      <c r="C7705" s="18" t="n">
        <v>0</v>
      </c>
      <c r="D7705" s="0" t="n">
        <v>0</v>
      </c>
      <c r="E7705" s="19" t="n">
        <v>50.5833333333333</v>
      </c>
    </row>
    <row r="7706" customFormat="false" ht="15" hidden="false" customHeight="false" outlineLevel="0" collapsed="false">
      <c r="A7706" s="0" t="n">
        <v>7705</v>
      </c>
      <c r="B7706" s="18" t="n">
        <v>931984.236676445</v>
      </c>
      <c r="C7706" s="18" t="n">
        <v>0</v>
      </c>
      <c r="D7706" s="0" t="n">
        <v>0</v>
      </c>
      <c r="E7706" s="19" t="n">
        <v>38.5</v>
      </c>
    </row>
    <row r="7707" customFormat="false" ht="15" hidden="false" customHeight="false" outlineLevel="0" collapsed="false">
      <c r="A7707" s="0" t="n">
        <v>7706</v>
      </c>
      <c r="B7707" s="18" t="n">
        <v>384708.149986379</v>
      </c>
      <c r="C7707" s="18" t="n">
        <v>0</v>
      </c>
      <c r="D7707" s="0" t="n">
        <v>0</v>
      </c>
      <c r="E7707" s="19" t="n">
        <v>33.3333333333333</v>
      </c>
    </row>
    <row r="7708" customFormat="false" ht="15" hidden="false" customHeight="false" outlineLevel="0" collapsed="false">
      <c r="A7708" s="0" t="n">
        <v>7707</v>
      </c>
      <c r="B7708" s="18" t="n">
        <v>238173.112026073</v>
      </c>
      <c r="C7708" s="18" t="n">
        <v>0</v>
      </c>
      <c r="D7708" s="0" t="n">
        <v>0</v>
      </c>
      <c r="E7708" s="19" t="n">
        <v>28.8333333333333</v>
      </c>
    </row>
    <row r="7709" customFormat="false" ht="15" hidden="false" customHeight="false" outlineLevel="0" collapsed="false">
      <c r="A7709" s="0" t="n">
        <v>7708</v>
      </c>
      <c r="B7709" s="18" t="n">
        <v>366975.739793437</v>
      </c>
      <c r="C7709" s="18" t="n">
        <v>0</v>
      </c>
      <c r="D7709" s="0" t="n">
        <v>0</v>
      </c>
      <c r="E7709" s="19" t="n">
        <v>31.5</v>
      </c>
    </row>
    <row r="7710" customFormat="false" ht="15" hidden="false" customHeight="false" outlineLevel="0" collapsed="false">
      <c r="A7710" s="0" t="n">
        <v>7709</v>
      </c>
      <c r="B7710" s="18" t="n">
        <v>2500498.81124052</v>
      </c>
      <c r="C7710" s="18" t="n">
        <v>3665750.81438217</v>
      </c>
      <c r="D7710" s="0" t="n">
        <v>1</v>
      </c>
    </row>
    <row r="7711" customFormat="false" ht="15" hidden="false" customHeight="false" outlineLevel="0" collapsed="false">
      <c r="A7711" s="0" t="n">
        <v>7710</v>
      </c>
      <c r="B7711" s="18" t="n">
        <v>804960.925513998</v>
      </c>
      <c r="C7711" s="18" t="n">
        <v>0</v>
      </c>
      <c r="D7711" s="0" t="n">
        <v>0</v>
      </c>
      <c r="E7711" s="19" t="n">
        <v>34.8333333333333</v>
      </c>
    </row>
    <row r="7712" customFormat="false" ht="15" hidden="false" customHeight="false" outlineLevel="0" collapsed="false">
      <c r="A7712" s="0" t="n">
        <v>7711</v>
      </c>
      <c r="B7712" s="18" t="n">
        <v>1427116.23542745</v>
      </c>
      <c r="C7712" s="18" t="n">
        <v>59228.3354530731</v>
      </c>
      <c r="D7712" s="0" t="n">
        <v>1</v>
      </c>
    </row>
    <row r="7713" customFormat="false" ht="15" hidden="false" customHeight="false" outlineLevel="0" collapsed="false">
      <c r="A7713" s="0" t="n">
        <v>7712</v>
      </c>
      <c r="B7713" s="18" t="n">
        <v>600818.940596864</v>
      </c>
      <c r="C7713" s="18" t="n">
        <v>0</v>
      </c>
      <c r="D7713" s="0" t="n">
        <v>0</v>
      </c>
      <c r="E7713" s="19" t="n">
        <v>32.5</v>
      </c>
    </row>
    <row r="7714" customFormat="false" ht="15" hidden="false" customHeight="false" outlineLevel="0" collapsed="false">
      <c r="A7714" s="0" t="n">
        <v>7713</v>
      </c>
      <c r="B7714" s="18" t="n">
        <v>3463381.99503349</v>
      </c>
      <c r="C7714" s="18" t="n">
        <v>12825932.2029572</v>
      </c>
      <c r="D7714" s="0" t="n">
        <v>1</v>
      </c>
    </row>
    <row r="7715" customFormat="false" ht="15" hidden="false" customHeight="false" outlineLevel="0" collapsed="false">
      <c r="A7715" s="0" t="n">
        <v>7714</v>
      </c>
      <c r="B7715" s="18" t="n">
        <v>1435550.57999794</v>
      </c>
      <c r="C7715" s="18" t="n">
        <v>0</v>
      </c>
      <c r="D7715" s="0" t="n">
        <v>0</v>
      </c>
      <c r="E7715" s="19" t="n">
        <v>48.4166666666667</v>
      </c>
    </row>
    <row r="7716" customFormat="false" ht="15" hidden="false" customHeight="false" outlineLevel="0" collapsed="false">
      <c r="A7716" s="0" t="n">
        <v>7715</v>
      </c>
      <c r="B7716" s="18" t="n">
        <v>536007.233687705</v>
      </c>
      <c r="C7716" s="18" t="n">
        <v>0</v>
      </c>
      <c r="D7716" s="0" t="n">
        <v>0</v>
      </c>
      <c r="E7716" s="19" t="n">
        <v>33.25</v>
      </c>
    </row>
    <row r="7717" customFormat="false" ht="15" hidden="false" customHeight="false" outlineLevel="0" collapsed="false">
      <c r="A7717" s="0" t="n">
        <v>7716</v>
      </c>
      <c r="B7717" s="18" t="n">
        <v>828102.215263726</v>
      </c>
      <c r="C7717" s="18" t="n">
        <v>0</v>
      </c>
      <c r="D7717" s="0" t="n">
        <v>0</v>
      </c>
      <c r="E7717" s="19" t="n">
        <v>43.9166666666667</v>
      </c>
    </row>
    <row r="7718" customFormat="false" ht="15" hidden="false" customHeight="false" outlineLevel="0" collapsed="false">
      <c r="A7718" s="0" t="n">
        <v>7717</v>
      </c>
      <c r="B7718" s="18" t="n">
        <v>1058339.10471862</v>
      </c>
      <c r="C7718" s="18" t="n">
        <v>0</v>
      </c>
      <c r="D7718" s="0" t="n">
        <v>0</v>
      </c>
      <c r="E7718" s="19" t="n">
        <v>36.4166666666667</v>
      </c>
    </row>
    <row r="7719" customFormat="false" ht="15" hidden="false" customHeight="false" outlineLevel="0" collapsed="false">
      <c r="A7719" s="0" t="n">
        <v>7718</v>
      </c>
      <c r="B7719" s="18" t="n">
        <v>680792.777863044</v>
      </c>
      <c r="C7719" s="18" t="n">
        <v>3696013.10116648</v>
      </c>
      <c r="D7719" s="0" t="n">
        <v>1</v>
      </c>
    </row>
    <row r="7720" customFormat="false" ht="15" hidden="false" customHeight="false" outlineLevel="0" collapsed="false">
      <c r="A7720" s="0" t="n">
        <v>7719</v>
      </c>
      <c r="B7720" s="18" t="n">
        <v>1647827.63433544</v>
      </c>
      <c r="C7720" s="18" t="n">
        <v>0</v>
      </c>
      <c r="D7720" s="0" t="n">
        <v>0</v>
      </c>
      <c r="E7720" s="19" t="n">
        <v>46.0833333333333</v>
      </c>
    </row>
    <row r="7721" customFormat="false" ht="15" hidden="false" customHeight="false" outlineLevel="0" collapsed="false">
      <c r="A7721" s="0" t="n">
        <v>7720</v>
      </c>
      <c r="B7721" s="18" t="n">
        <v>744090.089944523</v>
      </c>
      <c r="C7721" s="18" t="n">
        <v>0</v>
      </c>
      <c r="D7721" s="0" t="n">
        <v>0</v>
      </c>
      <c r="E7721" s="19" t="n">
        <v>48.3333333333333</v>
      </c>
    </row>
    <row r="7722" customFormat="false" ht="15" hidden="false" customHeight="false" outlineLevel="0" collapsed="false">
      <c r="A7722" s="0" t="n">
        <v>7721</v>
      </c>
      <c r="B7722" s="18" t="n">
        <v>493074.827594908</v>
      </c>
      <c r="C7722" s="18" t="n">
        <v>0</v>
      </c>
      <c r="D7722" s="0" t="n">
        <v>0</v>
      </c>
      <c r="E7722" s="19" t="n">
        <v>31.3333333333333</v>
      </c>
    </row>
    <row r="7723" customFormat="false" ht="15" hidden="false" customHeight="false" outlineLevel="0" collapsed="false">
      <c r="A7723" s="0" t="n">
        <v>7722</v>
      </c>
      <c r="B7723" s="18" t="n">
        <v>812379.786271735</v>
      </c>
      <c r="C7723" s="18" t="n">
        <v>0</v>
      </c>
      <c r="D7723" s="0" t="n">
        <v>0</v>
      </c>
      <c r="E7723" s="19" t="n">
        <v>49.9166666666667</v>
      </c>
    </row>
    <row r="7724" customFormat="false" ht="15" hidden="false" customHeight="false" outlineLevel="0" collapsed="false">
      <c r="A7724" s="0" t="n">
        <v>7723</v>
      </c>
      <c r="B7724" s="18" t="n">
        <v>831589.684102771</v>
      </c>
      <c r="C7724" s="18" t="n">
        <v>316139.395776848</v>
      </c>
      <c r="D7724" s="0" t="n">
        <v>1</v>
      </c>
    </row>
    <row r="7725" customFormat="false" ht="15" hidden="false" customHeight="false" outlineLevel="0" collapsed="false">
      <c r="A7725" s="0" t="n">
        <v>7724</v>
      </c>
      <c r="B7725" s="18" t="n">
        <v>980415.690414142</v>
      </c>
      <c r="C7725" s="18" t="n">
        <v>1156210.23852987</v>
      </c>
      <c r="D7725" s="0" t="n">
        <v>1</v>
      </c>
    </row>
    <row r="7726" customFormat="false" ht="15" hidden="false" customHeight="false" outlineLevel="0" collapsed="false">
      <c r="A7726" s="0" t="n">
        <v>7725</v>
      </c>
      <c r="B7726" s="18" t="n">
        <v>462389.566830959</v>
      </c>
      <c r="C7726" s="18" t="n">
        <v>0</v>
      </c>
      <c r="D7726" s="0" t="n">
        <v>0</v>
      </c>
      <c r="E7726" s="19" t="n">
        <v>33.6666666666667</v>
      </c>
    </row>
    <row r="7727" customFormat="false" ht="15" hidden="false" customHeight="false" outlineLevel="0" collapsed="false">
      <c r="A7727" s="0" t="n">
        <v>7726</v>
      </c>
      <c r="B7727" s="18" t="n">
        <v>696379.526556425</v>
      </c>
      <c r="C7727" s="18" t="n">
        <v>0</v>
      </c>
      <c r="D7727" s="0" t="n">
        <v>0</v>
      </c>
      <c r="E7727" s="19" t="n">
        <v>32.8333333333333</v>
      </c>
    </row>
    <row r="7728" customFormat="false" ht="15" hidden="false" customHeight="false" outlineLevel="0" collapsed="false">
      <c r="A7728" s="0" t="n">
        <v>7727</v>
      </c>
      <c r="B7728" s="18" t="n">
        <v>276180.83515664</v>
      </c>
      <c r="C7728" s="18" t="n">
        <v>0</v>
      </c>
      <c r="D7728" s="0" t="n">
        <v>0</v>
      </c>
      <c r="E7728" s="19" t="n">
        <v>31</v>
      </c>
    </row>
    <row r="7729" customFormat="false" ht="15" hidden="false" customHeight="false" outlineLevel="0" collapsed="false">
      <c r="A7729" s="0" t="n">
        <v>7728</v>
      </c>
      <c r="B7729" s="18" t="n">
        <v>577734.004617906</v>
      </c>
      <c r="C7729" s="18" t="n">
        <v>0</v>
      </c>
      <c r="D7729" s="0" t="n">
        <v>0</v>
      </c>
      <c r="E7729" s="19" t="n">
        <v>35.75</v>
      </c>
    </row>
    <row r="7730" customFormat="false" ht="15" hidden="false" customHeight="false" outlineLevel="0" collapsed="false">
      <c r="A7730" s="0" t="n">
        <v>7729</v>
      </c>
      <c r="B7730" s="18" t="n">
        <v>1206850.98163976</v>
      </c>
      <c r="C7730" s="18" t="n">
        <v>0</v>
      </c>
      <c r="D7730" s="0" t="n">
        <v>0</v>
      </c>
      <c r="E7730" s="19" t="n">
        <v>38.4166666666667</v>
      </c>
    </row>
    <row r="7731" customFormat="false" ht="15" hidden="false" customHeight="false" outlineLevel="0" collapsed="false">
      <c r="A7731" s="0" t="n">
        <v>7730</v>
      </c>
      <c r="B7731" s="18" t="n">
        <v>480096.871728888</v>
      </c>
      <c r="C7731" s="18" t="n">
        <v>0</v>
      </c>
      <c r="D7731" s="0" t="n">
        <v>0</v>
      </c>
      <c r="E7731" s="19" t="n">
        <v>31.5833333333333</v>
      </c>
    </row>
    <row r="7732" customFormat="false" ht="15" hidden="false" customHeight="false" outlineLevel="0" collapsed="false">
      <c r="A7732" s="0" t="n">
        <v>7731</v>
      </c>
      <c r="B7732" s="18" t="n">
        <v>714061.049180431</v>
      </c>
      <c r="C7732" s="18" t="n">
        <v>0</v>
      </c>
      <c r="D7732" s="0" t="n">
        <v>0</v>
      </c>
      <c r="E7732" s="19" t="n">
        <v>42.0833333333333</v>
      </c>
    </row>
    <row r="7733" customFormat="false" ht="15" hidden="false" customHeight="false" outlineLevel="0" collapsed="false">
      <c r="A7733" s="0" t="n">
        <v>7732</v>
      </c>
      <c r="B7733" s="18" t="n">
        <v>933852.819311966</v>
      </c>
      <c r="C7733" s="18" t="n">
        <v>0</v>
      </c>
      <c r="D7733" s="0" t="n">
        <v>0</v>
      </c>
      <c r="E7733" s="19" t="n">
        <v>44.6666666666667</v>
      </c>
    </row>
    <row r="7734" customFormat="false" ht="15" hidden="false" customHeight="false" outlineLevel="0" collapsed="false">
      <c r="A7734" s="0" t="n">
        <v>7733</v>
      </c>
      <c r="B7734" s="18" t="n">
        <v>795221.799632925</v>
      </c>
      <c r="C7734" s="18" t="n">
        <v>0</v>
      </c>
      <c r="D7734" s="0" t="n">
        <v>0</v>
      </c>
      <c r="E7734" s="19" t="n">
        <v>37.5833333333333</v>
      </c>
    </row>
    <row r="7735" customFormat="false" ht="15" hidden="false" customHeight="false" outlineLevel="0" collapsed="false">
      <c r="A7735" s="0" t="n">
        <v>7734</v>
      </c>
      <c r="B7735" s="18" t="n">
        <v>769469.714841003</v>
      </c>
      <c r="C7735" s="18" t="n">
        <v>0</v>
      </c>
      <c r="D7735" s="0" t="n">
        <v>0</v>
      </c>
      <c r="E7735" s="19" t="n">
        <v>34.5833333333333</v>
      </c>
    </row>
    <row r="7736" customFormat="false" ht="15" hidden="false" customHeight="false" outlineLevel="0" collapsed="false">
      <c r="A7736" s="0" t="n">
        <v>7735</v>
      </c>
      <c r="B7736" s="18" t="n">
        <v>1963435.52466991</v>
      </c>
      <c r="C7736" s="18" t="n">
        <v>7299563.76176868</v>
      </c>
      <c r="D7736" s="0" t="n">
        <v>1</v>
      </c>
    </row>
    <row r="7737" customFormat="false" ht="15" hidden="false" customHeight="false" outlineLevel="0" collapsed="false">
      <c r="A7737" s="0" t="n">
        <v>7736</v>
      </c>
      <c r="B7737" s="18" t="n">
        <v>422945.845454382</v>
      </c>
      <c r="C7737" s="18" t="n">
        <v>0</v>
      </c>
      <c r="D7737" s="0" t="n">
        <v>0</v>
      </c>
      <c r="E7737" s="19" t="n">
        <v>33.9166666666667</v>
      </c>
    </row>
    <row r="7738" customFormat="false" ht="15" hidden="false" customHeight="false" outlineLevel="0" collapsed="false">
      <c r="A7738" s="0" t="n">
        <v>7737</v>
      </c>
      <c r="B7738" s="18" t="n">
        <v>4898699.60478015</v>
      </c>
      <c r="C7738" s="18" t="n">
        <v>11285262.5364838</v>
      </c>
      <c r="D7738" s="0" t="n">
        <v>1</v>
      </c>
    </row>
    <row r="7739" customFormat="false" ht="15" hidden="false" customHeight="false" outlineLevel="0" collapsed="false">
      <c r="A7739" s="0" t="n">
        <v>7738</v>
      </c>
      <c r="B7739" s="18" t="n">
        <v>484219.237630825</v>
      </c>
      <c r="C7739" s="18" t="n">
        <v>0</v>
      </c>
      <c r="D7739" s="0" t="n">
        <v>0</v>
      </c>
      <c r="E7739" s="19" t="n">
        <v>32.8333333333333</v>
      </c>
    </row>
    <row r="7740" customFormat="false" ht="15" hidden="false" customHeight="false" outlineLevel="0" collapsed="false">
      <c r="A7740" s="0" t="n">
        <v>7739</v>
      </c>
      <c r="B7740" s="18" t="n">
        <v>577202.21714294</v>
      </c>
      <c r="C7740" s="18" t="n">
        <v>0</v>
      </c>
      <c r="D7740" s="0" t="n">
        <v>0</v>
      </c>
      <c r="E7740" s="19" t="n">
        <v>42.25</v>
      </c>
    </row>
    <row r="7741" customFormat="false" ht="15" hidden="false" customHeight="false" outlineLevel="0" collapsed="false">
      <c r="A7741" s="0" t="n">
        <v>7740</v>
      </c>
      <c r="B7741" s="18" t="n">
        <v>284970.814928106</v>
      </c>
      <c r="C7741" s="18" t="n">
        <v>0</v>
      </c>
      <c r="D7741" s="0" t="n">
        <v>0</v>
      </c>
      <c r="E7741" s="19" t="n">
        <v>29</v>
      </c>
    </row>
    <row r="7742" customFormat="false" ht="15" hidden="false" customHeight="false" outlineLevel="0" collapsed="false">
      <c r="A7742" s="0" t="n">
        <v>7741</v>
      </c>
      <c r="B7742" s="18" t="n">
        <v>1414642.88183232</v>
      </c>
      <c r="C7742" s="18" t="n">
        <v>1654852.59786425</v>
      </c>
      <c r="D7742" s="0" t="n">
        <v>1</v>
      </c>
    </row>
    <row r="7743" customFormat="false" ht="15" hidden="false" customHeight="false" outlineLevel="0" collapsed="false">
      <c r="A7743" s="0" t="n">
        <v>7742</v>
      </c>
      <c r="B7743" s="18" t="n">
        <v>809485.111260692</v>
      </c>
      <c r="C7743" s="18" t="n">
        <v>0</v>
      </c>
      <c r="D7743" s="0" t="n">
        <v>0</v>
      </c>
      <c r="E7743" s="19" t="n">
        <v>37.75</v>
      </c>
    </row>
    <row r="7744" customFormat="false" ht="15" hidden="false" customHeight="false" outlineLevel="0" collapsed="false">
      <c r="A7744" s="0" t="n">
        <v>7743</v>
      </c>
      <c r="B7744" s="18" t="n">
        <v>529258.830933765</v>
      </c>
      <c r="C7744" s="18" t="n">
        <v>0</v>
      </c>
      <c r="D7744" s="0" t="n">
        <v>0</v>
      </c>
      <c r="E7744" s="19" t="n">
        <v>35.1666666666667</v>
      </c>
    </row>
    <row r="7745" customFormat="false" ht="15" hidden="false" customHeight="false" outlineLevel="0" collapsed="false">
      <c r="A7745" s="0" t="n">
        <v>7744</v>
      </c>
      <c r="B7745" s="18" t="n">
        <v>915621.408433974</v>
      </c>
      <c r="C7745" s="18" t="n">
        <v>0</v>
      </c>
      <c r="D7745" s="0" t="n">
        <v>0</v>
      </c>
      <c r="E7745" s="19" t="n">
        <v>36.4166666666667</v>
      </c>
    </row>
    <row r="7746" customFormat="false" ht="15" hidden="false" customHeight="false" outlineLevel="0" collapsed="false">
      <c r="A7746" s="0" t="n">
        <v>7745</v>
      </c>
      <c r="B7746" s="18" t="n">
        <v>432758.685650281</v>
      </c>
      <c r="C7746" s="18" t="n">
        <v>0</v>
      </c>
      <c r="D7746" s="0" t="n">
        <v>0</v>
      </c>
      <c r="E7746" s="19" t="n">
        <v>33.5</v>
      </c>
    </row>
    <row r="7747" customFormat="false" ht="15" hidden="false" customHeight="false" outlineLevel="0" collapsed="false">
      <c r="A7747" s="0" t="n">
        <v>7746</v>
      </c>
      <c r="B7747" s="18" t="n">
        <v>801670.690580074</v>
      </c>
      <c r="C7747" s="18" t="n">
        <v>0</v>
      </c>
      <c r="D7747" s="0" t="n">
        <v>0</v>
      </c>
      <c r="E7747" s="19" t="n">
        <v>52.4166666666667</v>
      </c>
    </row>
    <row r="7748" customFormat="false" ht="15" hidden="false" customHeight="false" outlineLevel="0" collapsed="false">
      <c r="A7748" s="0" t="n">
        <v>7747</v>
      </c>
      <c r="B7748" s="18" t="n">
        <v>773966.180923957</v>
      </c>
      <c r="C7748" s="18" t="n">
        <v>0</v>
      </c>
      <c r="D7748" s="0" t="n">
        <v>0</v>
      </c>
      <c r="E7748" s="19" t="n">
        <v>52.8333333333333</v>
      </c>
    </row>
    <row r="7749" customFormat="false" ht="15" hidden="false" customHeight="false" outlineLevel="0" collapsed="false">
      <c r="A7749" s="0" t="n">
        <v>7748</v>
      </c>
      <c r="B7749" s="18" t="n">
        <v>825515.08796371</v>
      </c>
      <c r="C7749" s="18" t="n">
        <v>0</v>
      </c>
      <c r="D7749" s="0" t="n">
        <v>0</v>
      </c>
      <c r="E7749" s="19" t="n">
        <v>42.6666666666667</v>
      </c>
    </row>
    <row r="7750" customFormat="false" ht="15" hidden="false" customHeight="false" outlineLevel="0" collapsed="false">
      <c r="A7750" s="0" t="n">
        <v>7749</v>
      </c>
      <c r="B7750" s="18" t="n">
        <v>610079.282214267</v>
      </c>
      <c r="C7750" s="18" t="n">
        <v>0</v>
      </c>
      <c r="D7750" s="0" t="n">
        <v>0</v>
      </c>
      <c r="E7750" s="19" t="n">
        <v>37.0833333333333</v>
      </c>
    </row>
    <row r="7751" customFormat="false" ht="15" hidden="false" customHeight="false" outlineLevel="0" collapsed="false">
      <c r="A7751" s="0" t="n">
        <v>7750</v>
      </c>
      <c r="B7751" s="18" t="n">
        <v>601407.582029478</v>
      </c>
      <c r="C7751" s="18" t="n">
        <v>0</v>
      </c>
      <c r="D7751" s="0" t="n">
        <v>0</v>
      </c>
      <c r="E7751" s="19" t="n">
        <v>35.75</v>
      </c>
    </row>
    <row r="7752" customFormat="false" ht="15" hidden="false" customHeight="false" outlineLevel="0" collapsed="false">
      <c r="A7752" s="0" t="n">
        <v>7751</v>
      </c>
      <c r="B7752" s="18" t="n">
        <v>644766.222008568</v>
      </c>
      <c r="C7752" s="18" t="n">
        <v>0</v>
      </c>
      <c r="D7752" s="0" t="n">
        <v>0</v>
      </c>
      <c r="E7752" s="19" t="n">
        <v>34</v>
      </c>
    </row>
    <row r="7753" customFormat="false" ht="15" hidden="false" customHeight="false" outlineLevel="0" collapsed="false">
      <c r="A7753" s="0" t="n">
        <v>7752</v>
      </c>
      <c r="B7753" s="18" t="n">
        <v>1458628.10548609</v>
      </c>
      <c r="C7753" s="18" t="n">
        <v>43431522.334485</v>
      </c>
      <c r="D7753" s="0" t="n">
        <v>1</v>
      </c>
    </row>
    <row r="7754" customFormat="false" ht="15" hidden="false" customHeight="false" outlineLevel="0" collapsed="false">
      <c r="A7754" s="0" t="n">
        <v>7753</v>
      </c>
      <c r="B7754" s="18" t="n">
        <v>741643.155446175</v>
      </c>
      <c r="C7754" s="18" t="n">
        <v>0</v>
      </c>
      <c r="D7754" s="0" t="n">
        <v>0</v>
      </c>
      <c r="E7754" s="19" t="n">
        <v>37.3333333333333</v>
      </c>
    </row>
    <row r="7755" customFormat="false" ht="15" hidden="false" customHeight="false" outlineLevel="0" collapsed="false">
      <c r="A7755" s="0" t="n">
        <v>7754</v>
      </c>
      <c r="B7755" s="18" t="n">
        <v>1255415.98564383</v>
      </c>
      <c r="C7755" s="18" t="n">
        <v>11133865.3902949</v>
      </c>
      <c r="D7755" s="0" t="n">
        <v>1</v>
      </c>
    </row>
    <row r="7756" customFormat="false" ht="15" hidden="false" customHeight="false" outlineLevel="0" collapsed="false">
      <c r="A7756" s="0" t="n">
        <v>7755</v>
      </c>
      <c r="B7756" s="18" t="n">
        <v>2573526.5971305</v>
      </c>
      <c r="C7756" s="18" t="n">
        <v>4580788.65856612</v>
      </c>
      <c r="D7756" s="0" t="n">
        <v>1</v>
      </c>
    </row>
    <row r="7757" customFormat="false" ht="15" hidden="false" customHeight="false" outlineLevel="0" collapsed="false">
      <c r="A7757" s="0" t="n">
        <v>7756</v>
      </c>
      <c r="B7757" s="18" t="n">
        <v>1140546.7379334</v>
      </c>
      <c r="C7757" s="18" t="n">
        <v>0</v>
      </c>
      <c r="D7757" s="0" t="n">
        <v>0</v>
      </c>
      <c r="E7757" s="19" t="n">
        <v>50.5833333333333</v>
      </c>
    </row>
    <row r="7758" customFormat="false" ht="15" hidden="false" customHeight="false" outlineLevel="0" collapsed="false">
      <c r="A7758" s="0" t="n">
        <v>7757</v>
      </c>
      <c r="B7758" s="18" t="n">
        <v>903754.5981833</v>
      </c>
      <c r="C7758" s="18" t="n">
        <v>0</v>
      </c>
      <c r="D7758" s="0" t="n">
        <v>0</v>
      </c>
      <c r="E7758" s="19" t="n">
        <v>48</v>
      </c>
    </row>
    <row r="7759" customFormat="false" ht="15" hidden="false" customHeight="false" outlineLevel="0" collapsed="false">
      <c r="A7759" s="0" t="n">
        <v>7758</v>
      </c>
      <c r="B7759" s="18" t="n">
        <v>479477.351107836</v>
      </c>
      <c r="C7759" s="18" t="n">
        <v>0</v>
      </c>
      <c r="D7759" s="0" t="n">
        <v>0</v>
      </c>
      <c r="E7759" s="19" t="n">
        <v>32.5833333333333</v>
      </c>
    </row>
    <row r="7760" customFormat="false" ht="15" hidden="false" customHeight="false" outlineLevel="0" collapsed="false">
      <c r="A7760" s="0" t="n">
        <v>7759</v>
      </c>
      <c r="B7760" s="18" t="n">
        <v>369778.178574841</v>
      </c>
      <c r="C7760" s="18" t="n">
        <v>0</v>
      </c>
      <c r="D7760" s="0" t="n">
        <v>0</v>
      </c>
      <c r="E7760" s="19" t="n">
        <v>30.5833333333333</v>
      </c>
    </row>
    <row r="7761" customFormat="false" ht="15" hidden="false" customHeight="false" outlineLevel="0" collapsed="false">
      <c r="A7761" s="0" t="n">
        <v>7760</v>
      </c>
      <c r="B7761" s="18" t="n">
        <v>1330206.70809819</v>
      </c>
      <c r="C7761" s="18" t="n">
        <v>0</v>
      </c>
      <c r="D7761" s="0" t="n">
        <v>0</v>
      </c>
      <c r="E7761" s="19" t="n">
        <v>47.0833333333333</v>
      </c>
    </row>
    <row r="7762" customFormat="false" ht="15" hidden="false" customHeight="false" outlineLevel="0" collapsed="false">
      <c r="A7762" s="0" t="n">
        <v>7761</v>
      </c>
      <c r="B7762" s="18" t="n">
        <v>1029603.49059613</v>
      </c>
      <c r="C7762" s="18" t="n">
        <v>5300375.5596607</v>
      </c>
      <c r="D7762" s="0" t="n">
        <v>1</v>
      </c>
    </row>
    <row r="7763" customFormat="false" ht="15" hidden="false" customHeight="false" outlineLevel="0" collapsed="false">
      <c r="A7763" s="0" t="n">
        <v>7762</v>
      </c>
      <c r="B7763" s="18" t="n">
        <v>498682.998437178</v>
      </c>
      <c r="C7763" s="18" t="n">
        <v>0</v>
      </c>
      <c r="D7763" s="0" t="n">
        <v>0</v>
      </c>
      <c r="E7763" s="19" t="n">
        <v>32.5833333333333</v>
      </c>
    </row>
    <row r="7764" customFormat="false" ht="15" hidden="false" customHeight="false" outlineLevel="0" collapsed="false">
      <c r="A7764" s="0" t="n">
        <v>7763</v>
      </c>
      <c r="B7764" s="18" t="n">
        <v>380731.875325376</v>
      </c>
      <c r="C7764" s="18" t="n">
        <v>0</v>
      </c>
      <c r="D7764" s="0" t="n">
        <v>0</v>
      </c>
      <c r="E7764" s="19" t="n">
        <v>31.5</v>
      </c>
    </row>
    <row r="7765" customFormat="false" ht="15" hidden="false" customHeight="false" outlineLevel="0" collapsed="false">
      <c r="A7765" s="0" t="n">
        <v>7764</v>
      </c>
      <c r="B7765" s="18" t="n">
        <v>712255.617649976</v>
      </c>
      <c r="C7765" s="18" t="n">
        <v>0</v>
      </c>
      <c r="D7765" s="0" t="n">
        <v>0</v>
      </c>
      <c r="E7765" s="19" t="n">
        <v>41.5833333333333</v>
      </c>
    </row>
    <row r="7766" customFormat="false" ht="15" hidden="false" customHeight="false" outlineLevel="0" collapsed="false">
      <c r="A7766" s="0" t="n">
        <v>7765</v>
      </c>
      <c r="B7766" s="18" t="n">
        <v>855957.283906965</v>
      </c>
      <c r="C7766" s="18" t="n">
        <v>0</v>
      </c>
      <c r="D7766" s="0" t="n">
        <v>0</v>
      </c>
      <c r="E7766" s="19" t="n">
        <v>37.3333333333333</v>
      </c>
    </row>
    <row r="7767" customFormat="false" ht="15" hidden="false" customHeight="false" outlineLevel="0" collapsed="false">
      <c r="A7767" s="0" t="n">
        <v>7766</v>
      </c>
      <c r="B7767" s="18" t="n">
        <v>727559.632620676</v>
      </c>
      <c r="C7767" s="18" t="n">
        <v>0</v>
      </c>
      <c r="D7767" s="0" t="n">
        <v>0</v>
      </c>
      <c r="E7767" s="19" t="n">
        <v>41.6666666666667</v>
      </c>
    </row>
    <row r="7768" customFormat="false" ht="15" hidden="false" customHeight="false" outlineLevel="0" collapsed="false">
      <c r="A7768" s="0" t="n">
        <v>7767</v>
      </c>
      <c r="B7768" s="18" t="n">
        <v>627672.764479893</v>
      </c>
      <c r="C7768" s="18" t="n">
        <v>0</v>
      </c>
      <c r="D7768" s="0" t="n">
        <v>0</v>
      </c>
      <c r="E7768" s="19" t="n">
        <v>34.6666666666667</v>
      </c>
    </row>
    <row r="7769" customFormat="false" ht="15" hidden="false" customHeight="false" outlineLevel="0" collapsed="false">
      <c r="A7769" s="0" t="n">
        <v>7768</v>
      </c>
      <c r="B7769" s="18" t="n">
        <v>1456734.55911649</v>
      </c>
      <c r="C7769" s="18" t="n">
        <v>6479670.51099397</v>
      </c>
      <c r="D7769" s="0" t="n">
        <v>1</v>
      </c>
    </row>
    <row r="7770" customFormat="false" ht="15" hidden="false" customHeight="false" outlineLevel="0" collapsed="false">
      <c r="A7770" s="0" t="n">
        <v>7769</v>
      </c>
      <c r="B7770" s="18" t="n">
        <v>988986.018523726</v>
      </c>
      <c r="C7770" s="18" t="n">
        <v>0</v>
      </c>
      <c r="D7770" s="0" t="n">
        <v>0</v>
      </c>
      <c r="E7770" s="19" t="n">
        <v>50.1666666666667</v>
      </c>
    </row>
    <row r="7771" customFormat="false" ht="15" hidden="false" customHeight="false" outlineLevel="0" collapsed="false">
      <c r="A7771" s="0" t="n">
        <v>7770</v>
      </c>
      <c r="B7771" s="18" t="n">
        <v>1077176.69601464</v>
      </c>
      <c r="C7771" s="18" t="n">
        <v>693908.584974079</v>
      </c>
      <c r="D7771" s="0" t="n">
        <v>1</v>
      </c>
    </row>
    <row r="7772" customFormat="false" ht="15" hidden="false" customHeight="false" outlineLevel="0" collapsed="false">
      <c r="A7772" s="0" t="n">
        <v>7771</v>
      </c>
      <c r="B7772" s="18" t="n">
        <v>1806348.8148494</v>
      </c>
      <c r="C7772" s="18" t="n">
        <v>22543589.4327796</v>
      </c>
      <c r="D7772" s="0" t="n">
        <v>1</v>
      </c>
    </row>
    <row r="7773" customFormat="false" ht="15" hidden="false" customHeight="false" outlineLevel="0" collapsed="false">
      <c r="A7773" s="0" t="n">
        <v>7772</v>
      </c>
      <c r="B7773" s="18" t="n">
        <v>856926.569349831</v>
      </c>
      <c r="C7773" s="18" t="n">
        <v>0</v>
      </c>
      <c r="D7773" s="0" t="n">
        <v>0</v>
      </c>
      <c r="E7773" s="19" t="n">
        <v>36.3333333333333</v>
      </c>
    </row>
    <row r="7774" customFormat="false" ht="15" hidden="false" customHeight="false" outlineLevel="0" collapsed="false">
      <c r="A7774" s="0" t="n">
        <v>7773</v>
      </c>
      <c r="B7774" s="18" t="n">
        <v>661608.831713533</v>
      </c>
      <c r="C7774" s="18" t="n">
        <v>0</v>
      </c>
      <c r="D7774" s="0" t="n">
        <v>0</v>
      </c>
      <c r="E7774" s="19" t="n">
        <v>36.0833333333333</v>
      </c>
    </row>
    <row r="7775" customFormat="false" ht="15" hidden="false" customHeight="false" outlineLevel="0" collapsed="false">
      <c r="A7775" s="0" t="n">
        <v>7774</v>
      </c>
      <c r="B7775" s="18" t="n">
        <v>787510.138171523</v>
      </c>
      <c r="C7775" s="18" t="n">
        <v>0</v>
      </c>
      <c r="D7775" s="0" t="n">
        <v>0</v>
      </c>
      <c r="E7775" s="19" t="n">
        <v>34.9166666666667</v>
      </c>
    </row>
    <row r="7776" customFormat="false" ht="15" hidden="false" customHeight="false" outlineLevel="0" collapsed="false">
      <c r="A7776" s="0" t="n">
        <v>7775</v>
      </c>
      <c r="B7776" s="18" t="n">
        <v>485725.75445088</v>
      </c>
      <c r="C7776" s="18" t="n">
        <v>0</v>
      </c>
      <c r="D7776" s="0" t="n">
        <v>0</v>
      </c>
      <c r="E7776" s="19" t="n">
        <v>38.75</v>
      </c>
    </row>
    <row r="7777" customFormat="false" ht="15" hidden="false" customHeight="false" outlineLevel="0" collapsed="false">
      <c r="A7777" s="0" t="n">
        <v>7776</v>
      </c>
      <c r="B7777" s="18" t="n">
        <v>818126.877688959</v>
      </c>
      <c r="C7777" s="18" t="n">
        <v>0</v>
      </c>
      <c r="D7777" s="0" t="n">
        <v>0</v>
      </c>
      <c r="E7777" s="19" t="n">
        <v>44.0833333333333</v>
      </c>
    </row>
    <row r="7778" customFormat="false" ht="15" hidden="false" customHeight="false" outlineLevel="0" collapsed="false">
      <c r="A7778" s="0" t="n">
        <v>7777</v>
      </c>
      <c r="B7778" s="18" t="n">
        <v>1876144.07370589</v>
      </c>
      <c r="C7778" s="18" t="n">
        <v>8896897.86732543</v>
      </c>
      <c r="D7778" s="0" t="n">
        <v>1</v>
      </c>
    </row>
    <row r="7779" customFormat="false" ht="15" hidden="false" customHeight="false" outlineLevel="0" collapsed="false">
      <c r="A7779" s="0" t="n">
        <v>7778</v>
      </c>
      <c r="B7779" s="18" t="n">
        <v>1143045.52832564</v>
      </c>
      <c r="C7779" s="18" t="n">
        <v>0</v>
      </c>
      <c r="D7779" s="0" t="n">
        <v>0</v>
      </c>
      <c r="E7779" s="19" t="n">
        <v>37.6666666666667</v>
      </c>
    </row>
    <row r="7780" customFormat="false" ht="15" hidden="false" customHeight="false" outlineLevel="0" collapsed="false">
      <c r="A7780" s="0" t="n">
        <v>7779</v>
      </c>
      <c r="B7780" s="18" t="n">
        <v>765228.708625927</v>
      </c>
      <c r="C7780" s="18" t="n">
        <v>1928638.14953657</v>
      </c>
      <c r="D7780" s="0" t="n">
        <v>1</v>
      </c>
    </row>
    <row r="7781" customFormat="false" ht="15" hidden="false" customHeight="false" outlineLevel="0" collapsed="false">
      <c r="A7781" s="0" t="n">
        <v>7780</v>
      </c>
      <c r="B7781" s="18" t="n">
        <v>655719.443483117</v>
      </c>
      <c r="C7781" s="18" t="n">
        <v>0</v>
      </c>
      <c r="D7781" s="0" t="n">
        <v>0</v>
      </c>
      <c r="E7781" s="19" t="n">
        <v>46.9166666666667</v>
      </c>
    </row>
    <row r="7782" customFormat="false" ht="15" hidden="false" customHeight="false" outlineLevel="0" collapsed="false">
      <c r="A7782" s="0" t="n">
        <v>7781</v>
      </c>
      <c r="B7782" s="18" t="n">
        <v>1245276.70803392</v>
      </c>
      <c r="C7782" s="18" t="n">
        <v>0</v>
      </c>
      <c r="D7782" s="0" t="n">
        <v>0</v>
      </c>
      <c r="E7782" s="19" t="n">
        <v>40.9166666666667</v>
      </c>
    </row>
    <row r="7783" customFormat="false" ht="15" hidden="false" customHeight="false" outlineLevel="0" collapsed="false">
      <c r="A7783" s="0" t="n">
        <v>7782</v>
      </c>
      <c r="B7783" s="18" t="n">
        <v>1081814.01559973</v>
      </c>
      <c r="C7783" s="18" t="n">
        <v>0</v>
      </c>
      <c r="D7783" s="0" t="n">
        <v>0</v>
      </c>
      <c r="E7783" s="19" t="n">
        <v>44</v>
      </c>
    </row>
    <row r="7784" customFormat="false" ht="15" hidden="false" customHeight="false" outlineLevel="0" collapsed="false">
      <c r="A7784" s="0" t="n">
        <v>7783</v>
      </c>
      <c r="B7784" s="18" t="n">
        <v>458060.475366927</v>
      </c>
      <c r="C7784" s="18" t="n">
        <v>0</v>
      </c>
      <c r="D7784" s="0" t="n">
        <v>0</v>
      </c>
      <c r="E7784" s="19" t="n">
        <v>31.0833333333333</v>
      </c>
    </row>
    <row r="7785" customFormat="false" ht="15" hidden="false" customHeight="false" outlineLevel="0" collapsed="false">
      <c r="A7785" s="0" t="n">
        <v>7784</v>
      </c>
      <c r="B7785" s="18" t="n">
        <v>666071.25001113</v>
      </c>
      <c r="C7785" s="18" t="n">
        <v>0</v>
      </c>
      <c r="D7785" s="0" t="n">
        <v>0</v>
      </c>
      <c r="E7785" s="19" t="n">
        <v>33.75</v>
      </c>
    </row>
    <row r="7786" customFormat="false" ht="15" hidden="false" customHeight="false" outlineLevel="0" collapsed="false">
      <c r="A7786" s="0" t="n">
        <v>7785</v>
      </c>
      <c r="B7786" s="18" t="n">
        <v>555659.729420538</v>
      </c>
      <c r="C7786" s="18" t="n">
        <v>0</v>
      </c>
      <c r="D7786" s="0" t="n">
        <v>0</v>
      </c>
      <c r="E7786" s="19" t="n">
        <v>38</v>
      </c>
    </row>
    <row r="7787" customFormat="false" ht="15" hidden="false" customHeight="false" outlineLevel="0" collapsed="false">
      <c r="A7787" s="0" t="n">
        <v>7786</v>
      </c>
      <c r="B7787" s="18" t="n">
        <v>1066353.44283758</v>
      </c>
      <c r="C7787" s="18" t="n">
        <v>0</v>
      </c>
      <c r="D7787" s="0" t="n">
        <v>0</v>
      </c>
      <c r="E7787" s="19" t="n">
        <v>49.4166666666667</v>
      </c>
    </row>
    <row r="7788" customFormat="false" ht="15" hidden="false" customHeight="false" outlineLevel="0" collapsed="false">
      <c r="A7788" s="0" t="n">
        <v>7787</v>
      </c>
      <c r="B7788" s="18" t="n">
        <v>872542.797538896</v>
      </c>
      <c r="C7788" s="18" t="n">
        <v>0</v>
      </c>
      <c r="D7788" s="0" t="n">
        <v>0</v>
      </c>
      <c r="E7788" s="19" t="n">
        <v>42.5833333333333</v>
      </c>
    </row>
    <row r="7789" customFormat="false" ht="15" hidden="false" customHeight="false" outlineLevel="0" collapsed="false">
      <c r="A7789" s="0" t="n">
        <v>7788</v>
      </c>
      <c r="B7789" s="18" t="n">
        <v>1293844.08901328</v>
      </c>
      <c r="C7789" s="18" t="n">
        <v>0</v>
      </c>
      <c r="D7789" s="0" t="n">
        <v>0</v>
      </c>
      <c r="E7789" s="19" t="n">
        <v>44.0833333333333</v>
      </c>
    </row>
    <row r="7790" customFormat="false" ht="15" hidden="false" customHeight="false" outlineLevel="0" collapsed="false">
      <c r="A7790" s="0" t="n">
        <v>7789</v>
      </c>
      <c r="B7790" s="18" t="n">
        <v>482884.956121961</v>
      </c>
      <c r="C7790" s="18" t="n">
        <v>0</v>
      </c>
      <c r="D7790" s="0" t="n">
        <v>0</v>
      </c>
      <c r="E7790" s="19" t="n">
        <v>35</v>
      </c>
    </row>
    <row r="7791" customFormat="false" ht="15" hidden="false" customHeight="false" outlineLevel="0" collapsed="false">
      <c r="A7791" s="0" t="n">
        <v>7790</v>
      </c>
      <c r="B7791" s="18" t="n">
        <v>1267881.02540593</v>
      </c>
      <c r="C7791" s="18" t="n">
        <v>0</v>
      </c>
      <c r="D7791" s="0" t="n">
        <v>0</v>
      </c>
      <c r="E7791" s="19" t="n">
        <v>41.25</v>
      </c>
    </row>
    <row r="7792" customFormat="false" ht="15" hidden="false" customHeight="false" outlineLevel="0" collapsed="false">
      <c r="A7792" s="0" t="n">
        <v>7791</v>
      </c>
      <c r="B7792" s="18" t="n">
        <v>887399.020359692</v>
      </c>
      <c r="C7792" s="18" t="n">
        <v>0</v>
      </c>
      <c r="D7792" s="0" t="n">
        <v>0</v>
      </c>
      <c r="E7792" s="19" t="n">
        <v>43.3333333333333</v>
      </c>
    </row>
    <row r="7793" customFormat="false" ht="15" hidden="false" customHeight="false" outlineLevel="0" collapsed="false">
      <c r="A7793" s="0" t="n">
        <v>7792</v>
      </c>
      <c r="B7793" s="18" t="n">
        <v>443240.961911759</v>
      </c>
      <c r="C7793" s="18" t="n">
        <v>0</v>
      </c>
      <c r="D7793" s="0" t="n">
        <v>0</v>
      </c>
      <c r="E7793" s="19" t="n">
        <v>34</v>
      </c>
    </row>
    <row r="7794" customFormat="false" ht="15" hidden="false" customHeight="false" outlineLevel="0" collapsed="false">
      <c r="A7794" s="0" t="n">
        <v>7793</v>
      </c>
      <c r="B7794" s="18" t="n">
        <v>2285893.13731647</v>
      </c>
      <c r="C7794" s="18" t="n">
        <v>16977594.2864942</v>
      </c>
      <c r="D7794" s="0" t="n">
        <v>1</v>
      </c>
    </row>
    <row r="7795" customFormat="false" ht="15" hidden="false" customHeight="false" outlineLevel="0" collapsed="false">
      <c r="A7795" s="0" t="n">
        <v>7794</v>
      </c>
      <c r="B7795" s="18" t="n">
        <v>1044083.96156148</v>
      </c>
      <c r="C7795" s="18" t="n">
        <v>3189470.26082498</v>
      </c>
      <c r="D7795" s="0" t="n">
        <v>1</v>
      </c>
    </row>
    <row r="7796" customFormat="false" ht="15" hidden="false" customHeight="false" outlineLevel="0" collapsed="false">
      <c r="A7796" s="0" t="n">
        <v>7795</v>
      </c>
      <c r="B7796" s="18" t="n">
        <v>915339.373597234</v>
      </c>
      <c r="C7796" s="18" t="n">
        <v>4416377.01943326</v>
      </c>
      <c r="D7796" s="0" t="n">
        <v>1</v>
      </c>
    </row>
    <row r="7797" customFormat="false" ht="15" hidden="false" customHeight="false" outlineLevel="0" collapsed="false">
      <c r="A7797" s="0" t="n">
        <v>7796</v>
      </c>
      <c r="B7797" s="18" t="n">
        <v>1732286.1929471</v>
      </c>
      <c r="C7797" s="18" t="n">
        <v>9523088.91399994</v>
      </c>
      <c r="D7797" s="0" t="n">
        <v>1</v>
      </c>
    </row>
    <row r="7798" customFormat="false" ht="15" hidden="false" customHeight="false" outlineLevel="0" collapsed="false">
      <c r="A7798" s="0" t="n">
        <v>7797</v>
      </c>
      <c r="B7798" s="18" t="n">
        <v>503929.044252928</v>
      </c>
      <c r="C7798" s="18" t="n">
        <v>0</v>
      </c>
      <c r="D7798" s="0" t="n">
        <v>0</v>
      </c>
      <c r="E7798" s="19" t="n">
        <v>36.1666666666667</v>
      </c>
    </row>
    <row r="7799" customFormat="false" ht="15" hidden="false" customHeight="false" outlineLevel="0" collapsed="false">
      <c r="A7799" s="0" t="n">
        <v>7798</v>
      </c>
      <c r="B7799" s="18" t="n">
        <v>627347.031517666</v>
      </c>
      <c r="C7799" s="18" t="n">
        <v>0</v>
      </c>
      <c r="D7799" s="0" t="n">
        <v>0</v>
      </c>
      <c r="E7799" s="19" t="n">
        <v>45.5</v>
      </c>
    </row>
    <row r="7800" customFormat="false" ht="15" hidden="false" customHeight="false" outlineLevel="0" collapsed="false">
      <c r="A7800" s="0" t="n">
        <v>7799</v>
      </c>
      <c r="B7800" s="18" t="n">
        <v>3291557.02336574</v>
      </c>
      <c r="C7800" s="18" t="n">
        <v>21024862.0190539</v>
      </c>
      <c r="D7800" s="0" t="n">
        <v>1</v>
      </c>
    </row>
    <row r="7801" customFormat="false" ht="15" hidden="false" customHeight="false" outlineLevel="0" collapsed="false">
      <c r="A7801" s="0" t="n">
        <v>7800</v>
      </c>
      <c r="B7801" s="18" t="n">
        <v>370977.574583762</v>
      </c>
      <c r="C7801" s="18" t="n">
        <v>0</v>
      </c>
      <c r="D7801" s="0" t="n">
        <v>0</v>
      </c>
      <c r="E7801" s="19" t="n">
        <v>33.3333333333333</v>
      </c>
    </row>
    <row r="7802" customFormat="false" ht="15" hidden="false" customHeight="false" outlineLevel="0" collapsed="false">
      <c r="A7802" s="0" t="n">
        <v>7801</v>
      </c>
      <c r="B7802" s="18" t="n">
        <v>469661.769601314</v>
      </c>
      <c r="C7802" s="18" t="n">
        <v>0</v>
      </c>
      <c r="D7802" s="0" t="n">
        <v>0</v>
      </c>
      <c r="E7802" s="19" t="n">
        <v>34.25</v>
      </c>
    </row>
    <row r="7803" customFormat="false" ht="15" hidden="false" customHeight="false" outlineLevel="0" collapsed="false">
      <c r="A7803" s="0" t="n">
        <v>7802</v>
      </c>
      <c r="B7803" s="18" t="n">
        <v>1474411.25407547</v>
      </c>
      <c r="C7803" s="18" t="n">
        <v>3905745.78656125</v>
      </c>
      <c r="D7803" s="0" t="n">
        <v>1</v>
      </c>
    </row>
    <row r="7804" customFormat="false" ht="15" hidden="false" customHeight="false" outlineLevel="0" collapsed="false">
      <c r="A7804" s="0" t="n">
        <v>7803</v>
      </c>
      <c r="B7804" s="18" t="n">
        <v>835546.5549803</v>
      </c>
      <c r="C7804" s="18" t="n">
        <v>0</v>
      </c>
      <c r="D7804" s="0" t="n">
        <v>0</v>
      </c>
      <c r="E7804" s="19" t="n">
        <v>41.5833333333333</v>
      </c>
    </row>
    <row r="7805" customFormat="false" ht="15" hidden="false" customHeight="false" outlineLevel="0" collapsed="false">
      <c r="A7805" s="0" t="n">
        <v>7804</v>
      </c>
      <c r="B7805" s="18" t="n">
        <v>1137495.98696526</v>
      </c>
      <c r="C7805" s="18" t="n">
        <v>4617283.88838466</v>
      </c>
      <c r="D7805" s="0" t="n">
        <v>1</v>
      </c>
    </row>
    <row r="7806" customFormat="false" ht="15" hidden="false" customHeight="false" outlineLevel="0" collapsed="false">
      <c r="A7806" s="0" t="n">
        <v>7805</v>
      </c>
      <c r="B7806" s="18" t="n">
        <v>1386389.51066734</v>
      </c>
      <c r="C7806" s="18" t="n">
        <v>17606877.4848716</v>
      </c>
      <c r="D7806" s="0" t="n">
        <v>1</v>
      </c>
    </row>
    <row r="7807" customFormat="false" ht="15" hidden="false" customHeight="false" outlineLevel="0" collapsed="false">
      <c r="A7807" s="0" t="n">
        <v>7806</v>
      </c>
      <c r="B7807" s="18" t="n">
        <v>691977.251331459</v>
      </c>
      <c r="C7807" s="18" t="n">
        <v>0</v>
      </c>
      <c r="D7807" s="0" t="n">
        <v>0</v>
      </c>
      <c r="E7807" s="19" t="n">
        <v>45.5833333333333</v>
      </c>
    </row>
    <row r="7808" customFormat="false" ht="15" hidden="false" customHeight="false" outlineLevel="0" collapsed="false">
      <c r="A7808" s="0" t="n">
        <v>7807</v>
      </c>
      <c r="B7808" s="18" t="n">
        <v>508740.45054957</v>
      </c>
      <c r="C7808" s="18" t="n">
        <v>0</v>
      </c>
      <c r="D7808" s="0" t="n">
        <v>0</v>
      </c>
      <c r="E7808" s="19" t="n">
        <v>34.25</v>
      </c>
    </row>
    <row r="7809" customFormat="false" ht="15" hidden="false" customHeight="false" outlineLevel="0" collapsed="false">
      <c r="A7809" s="0" t="n">
        <v>7808</v>
      </c>
      <c r="B7809" s="18" t="n">
        <v>1076605.13626853</v>
      </c>
      <c r="C7809" s="18" t="n">
        <v>5458378.90814744</v>
      </c>
      <c r="D7809" s="0" t="n">
        <v>1</v>
      </c>
    </row>
    <row r="7810" customFormat="false" ht="15" hidden="false" customHeight="false" outlineLevel="0" collapsed="false">
      <c r="A7810" s="0" t="n">
        <v>7809</v>
      </c>
      <c r="B7810" s="18" t="n">
        <v>4960718.52604151</v>
      </c>
      <c r="C7810" s="18" t="n">
        <v>14423066.3714239</v>
      </c>
      <c r="D7810" s="0" t="n">
        <v>1</v>
      </c>
    </row>
    <row r="7811" customFormat="false" ht="15" hidden="false" customHeight="false" outlineLevel="0" collapsed="false">
      <c r="A7811" s="0" t="n">
        <v>7810</v>
      </c>
      <c r="B7811" s="18" t="n">
        <v>4105591.00823566</v>
      </c>
      <c r="C7811" s="18" t="n">
        <v>6599540.22168378</v>
      </c>
      <c r="D7811" s="0" t="n">
        <v>1</v>
      </c>
    </row>
    <row r="7812" customFormat="false" ht="15" hidden="false" customHeight="false" outlineLevel="0" collapsed="false">
      <c r="A7812" s="0" t="n">
        <v>7811</v>
      </c>
      <c r="B7812" s="18" t="n">
        <v>1196343.37896799</v>
      </c>
      <c r="C7812" s="18" t="n">
        <v>0</v>
      </c>
      <c r="D7812" s="0" t="n">
        <v>0</v>
      </c>
      <c r="E7812" s="19" t="n">
        <v>42.4166666666667</v>
      </c>
    </row>
    <row r="7813" customFormat="false" ht="15" hidden="false" customHeight="false" outlineLevel="0" collapsed="false">
      <c r="A7813" s="0" t="n">
        <v>7812</v>
      </c>
      <c r="B7813" s="18" t="n">
        <v>1087514.74740325</v>
      </c>
      <c r="C7813" s="18" t="n">
        <v>0</v>
      </c>
      <c r="D7813" s="0" t="n">
        <v>0</v>
      </c>
      <c r="E7813" s="19" t="n">
        <v>51.0833333333333</v>
      </c>
    </row>
    <row r="7814" customFormat="false" ht="15" hidden="false" customHeight="false" outlineLevel="0" collapsed="false">
      <c r="A7814" s="0" t="n">
        <v>7813</v>
      </c>
      <c r="B7814" s="18" t="n">
        <v>675128.90690961</v>
      </c>
      <c r="C7814" s="18" t="n">
        <v>729020.340179454</v>
      </c>
      <c r="D7814" s="0" t="n">
        <v>1</v>
      </c>
    </row>
    <row r="7815" customFormat="false" ht="15" hidden="false" customHeight="false" outlineLevel="0" collapsed="false">
      <c r="A7815" s="0" t="n">
        <v>7814</v>
      </c>
      <c r="B7815" s="18" t="n">
        <v>516539.994418472</v>
      </c>
      <c r="C7815" s="18" t="n">
        <v>0</v>
      </c>
      <c r="D7815" s="0" t="n">
        <v>0</v>
      </c>
      <c r="E7815" s="19" t="n">
        <v>44.4166666666667</v>
      </c>
    </row>
    <row r="7816" customFormat="false" ht="15" hidden="false" customHeight="false" outlineLevel="0" collapsed="false">
      <c r="A7816" s="0" t="n">
        <v>7815</v>
      </c>
      <c r="B7816" s="18" t="n">
        <v>555066.987676981</v>
      </c>
      <c r="C7816" s="18" t="n">
        <v>0</v>
      </c>
      <c r="D7816" s="0" t="n">
        <v>0</v>
      </c>
      <c r="E7816" s="19" t="n">
        <v>33.8333333333333</v>
      </c>
    </row>
    <row r="7817" customFormat="false" ht="15" hidden="false" customHeight="false" outlineLevel="0" collapsed="false">
      <c r="A7817" s="0" t="n">
        <v>7816</v>
      </c>
      <c r="B7817" s="18" t="n">
        <v>736053.822131565</v>
      </c>
      <c r="C7817" s="18" t="n">
        <v>0</v>
      </c>
      <c r="D7817" s="0" t="n">
        <v>0</v>
      </c>
      <c r="E7817" s="19" t="n">
        <v>53.0833333333333</v>
      </c>
    </row>
    <row r="7818" customFormat="false" ht="15" hidden="false" customHeight="false" outlineLevel="0" collapsed="false">
      <c r="A7818" s="0" t="n">
        <v>7817</v>
      </c>
      <c r="B7818" s="18" t="n">
        <v>719505.329725529</v>
      </c>
      <c r="C7818" s="18" t="n">
        <v>0</v>
      </c>
      <c r="D7818" s="0" t="n">
        <v>0</v>
      </c>
      <c r="E7818" s="19" t="n">
        <v>41.9166666666667</v>
      </c>
    </row>
    <row r="7819" customFormat="false" ht="15" hidden="false" customHeight="false" outlineLevel="0" collapsed="false">
      <c r="A7819" s="0" t="n">
        <v>7818</v>
      </c>
      <c r="B7819" s="18" t="n">
        <v>1085114.04250101</v>
      </c>
      <c r="C7819" s="18" t="n">
        <v>1174365.73733809</v>
      </c>
      <c r="D7819" s="0" t="n">
        <v>1</v>
      </c>
    </row>
    <row r="7820" customFormat="false" ht="15" hidden="false" customHeight="false" outlineLevel="0" collapsed="false">
      <c r="A7820" s="0" t="n">
        <v>7819</v>
      </c>
      <c r="B7820" s="18" t="n">
        <v>3241700.73341327</v>
      </c>
      <c r="C7820" s="18" t="n">
        <v>43425735.3916701</v>
      </c>
      <c r="D7820" s="0" t="n">
        <v>1</v>
      </c>
    </row>
    <row r="7821" customFormat="false" ht="15" hidden="false" customHeight="false" outlineLevel="0" collapsed="false">
      <c r="A7821" s="0" t="n">
        <v>7820</v>
      </c>
      <c r="B7821" s="18" t="n">
        <v>1036886.43341171</v>
      </c>
      <c r="C7821" s="18" t="n">
        <v>0</v>
      </c>
      <c r="D7821" s="0" t="n">
        <v>0</v>
      </c>
      <c r="E7821" s="19" t="n">
        <v>41.1666666666667</v>
      </c>
    </row>
    <row r="7822" customFormat="false" ht="15" hidden="false" customHeight="false" outlineLevel="0" collapsed="false">
      <c r="A7822" s="0" t="n">
        <v>7821</v>
      </c>
      <c r="B7822" s="18" t="n">
        <v>1088081.14847143</v>
      </c>
      <c r="C7822" s="18" t="n">
        <v>0</v>
      </c>
      <c r="D7822" s="0" t="n">
        <v>0</v>
      </c>
      <c r="E7822" s="19" t="n">
        <v>40.75</v>
      </c>
    </row>
    <row r="7823" customFormat="false" ht="15" hidden="false" customHeight="false" outlineLevel="0" collapsed="false">
      <c r="A7823" s="0" t="n">
        <v>7822</v>
      </c>
      <c r="B7823" s="18" t="n">
        <v>457210.168319795</v>
      </c>
      <c r="C7823" s="18" t="n">
        <v>0</v>
      </c>
      <c r="D7823" s="0" t="n">
        <v>0</v>
      </c>
      <c r="E7823" s="19" t="n">
        <v>33.4166666666667</v>
      </c>
    </row>
    <row r="7824" customFormat="false" ht="15" hidden="false" customHeight="false" outlineLevel="0" collapsed="false">
      <c r="A7824" s="0" t="n">
        <v>7823</v>
      </c>
      <c r="B7824" s="18" t="n">
        <v>468197.285628491</v>
      </c>
      <c r="C7824" s="18" t="n">
        <v>0</v>
      </c>
      <c r="D7824" s="0" t="n">
        <v>0</v>
      </c>
      <c r="E7824" s="19" t="n">
        <v>48.75</v>
      </c>
    </row>
    <row r="7825" customFormat="false" ht="15" hidden="false" customHeight="false" outlineLevel="0" collapsed="false">
      <c r="A7825" s="0" t="n">
        <v>7824</v>
      </c>
      <c r="B7825" s="18" t="n">
        <v>752919.286139814</v>
      </c>
      <c r="C7825" s="18" t="n">
        <v>0</v>
      </c>
      <c r="D7825" s="0" t="n">
        <v>0</v>
      </c>
      <c r="E7825" s="19" t="n">
        <v>39.75</v>
      </c>
    </row>
    <row r="7826" customFormat="false" ht="15" hidden="false" customHeight="false" outlineLevel="0" collapsed="false">
      <c r="A7826" s="0" t="n">
        <v>7825</v>
      </c>
      <c r="B7826" s="18" t="n">
        <v>548281.621046863</v>
      </c>
      <c r="C7826" s="18" t="n">
        <v>108037.25481801</v>
      </c>
      <c r="D7826" s="0" t="n">
        <v>1</v>
      </c>
    </row>
    <row r="7827" customFormat="false" ht="15" hidden="false" customHeight="false" outlineLevel="0" collapsed="false">
      <c r="A7827" s="0" t="n">
        <v>7826</v>
      </c>
      <c r="B7827" s="18" t="n">
        <v>200053.910162937</v>
      </c>
      <c r="C7827" s="18" t="n">
        <v>0</v>
      </c>
      <c r="D7827" s="0" t="n">
        <v>0</v>
      </c>
      <c r="E7827" s="19" t="n">
        <v>28.5</v>
      </c>
    </row>
    <row r="7828" customFormat="false" ht="15" hidden="false" customHeight="false" outlineLevel="0" collapsed="false">
      <c r="A7828" s="0" t="n">
        <v>7827</v>
      </c>
      <c r="B7828" s="18" t="n">
        <v>1048428.99979709</v>
      </c>
      <c r="C7828" s="18" t="n">
        <v>839027.658772793</v>
      </c>
      <c r="D7828" s="0" t="n">
        <v>1</v>
      </c>
    </row>
    <row r="7829" customFormat="false" ht="15" hidden="false" customHeight="false" outlineLevel="0" collapsed="false">
      <c r="A7829" s="0" t="n">
        <v>7828</v>
      </c>
      <c r="B7829" s="18" t="n">
        <v>1596866.5028772</v>
      </c>
      <c r="C7829" s="18" t="n">
        <v>413880.125586636</v>
      </c>
      <c r="D7829" s="0" t="n">
        <v>1</v>
      </c>
    </row>
    <row r="7830" customFormat="false" ht="15" hidden="false" customHeight="false" outlineLevel="0" collapsed="false">
      <c r="A7830" s="0" t="n">
        <v>7829</v>
      </c>
      <c r="B7830" s="18" t="n">
        <v>1557729.88241017</v>
      </c>
      <c r="C7830" s="18" t="n">
        <v>0</v>
      </c>
      <c r="D7830" s="0" t="n">
        <v>0</v>
      </c>
      <c r="E7830" s="19" t="n">
        <v>49.1666666666667</v>
      </c>
    </row>
    <row r="7831" customFormat="false" ht="15" hidden="false" customHeight="false" outlineLevel="0" collapsed="false">
      <c r="A7831" s="0" t="n">
        <v>7830</v>
      </c>
      <c r="B7831" s="18" t="n">
        <v>303539.164566416</v>
      </c>
      <c r="C7831" s="18" t="n">
        <v>0</v>
      </c>
      <c r="D7831" s="0" t="n">
        <v>0</v>
      </c>
      <c r="E7831" s="19" t="n">
        <v>30.3333333333333</v>
      </c>
    </row>
    <row r="7832" customFormat="false" ht="15" hidden="false" customHeight="false" outlineLevel="0" collapsed="false">
      <c r="A7832" s="0" t="n">
        <v>7831</v>
      </c>
      <c r="B7832" s="18" t="n">
        <v>1189075.81869726</v>
      </c>
      <c r="C7832" s="18" t="n">
        <v>1115999.62481454</v>
      </c>
      <c r="D7832" s="0" t="n">
        <v>1</v>
      </c>
    </row>
    <row r="7833" customFormat="false" ht="15" hidden="false" customHeight="false" outlineLevel="0" collapsed="false">
      <c r="A7833" s="0" t="n">
        <v>7832</v>
      </c>
      <c r="B7833" s="18" t="n">
        <v>408173.03724475</v>
      </c>
      <c r="C7833" s="18" t="n">
        <v>0</v>
      </c>
      <c r="D7833" s="0" t="n">
        <v>0</v>
      </c>
      <c r="E7833" s="19" t="n">
        <v>29.25</v>
      </c>
    </row>
    <row r="7834" customFormat="false" ht="15" hidden="false" customHeight="false" outlineLevel="0" collapsed="false">
      <c r="A7834" s="0" t="n">
        <v>7833</v>
      </c>
      <c r="B7834" s="18" t="n">
        <v>667504.86624768</v>
      </c>
      <c r="C7834" s="18" t="n">
        <v>0</v>
      </c>
      <c r="D7834" s="0" t="n">
        <v>0</v>
      </c>
      <c r="E7834" s="19" t="n">
        <v>38.75</v>
      </c>
    </row>
    <row r="7835" customFormat="false" ht="15" hidden="false" customHeight="false" outlineLevel="0" collapsed="false">
      <c r="A7835" s="0" t="n">
        <v>7834</v>
      </c>
      <c r="B7835" s="18" t="n">
        <v>470976.677680091</v>
      </c>
      <c r="C7835" s="18" t="n">
        <v>0</v>
      </c>
      <c r="D7835" s="0" t="n">
        <v>0</v>
      </c>
      <c r="E7835" s="19" t="n">
        <v>36.9166666666667</v>
      </c>
    </row>
    <row r="7836" customFormat="false" ht="15" hidden="false" customHeight="false" outlineLevel="0" collapsed="false">
      <c r="A7836" s="0" t="n">
        <v>7835</v>
      </c>
      <c r="B7836" s="18" t="n">
        <v>2040722.81685662</v>
      </c>
      <c r="C7836" s="18" t="n">
        <v>34809730.5440167</v>
      </c>
      <c r="D7836" s="0" t="n">
        <v>1</v>
      </c>
    </row>
    <row r="7837" customFormat="false" ht="15" hidden="false" customHeight="false" outlineLevel="0" collapsed="false">
      <c r="A7837" s="0" t="n">
        <v>7836</v>
      </c>
      <c r="B7837" s="18" t="n">
        <v>1789684.0416645</v>
      </c>
      <c r="C7837" s="18" t="n">
        <v>1502352.40418151</v>
      </c>
      <c r="D7837" s="0" t="n">
        <v>1</v>
      </c>
    </row>
    <row r="7838" customFormat="false" ht="15" hidden="false" customHeight="false" outlineLevel="0" collapsed="false">
      <c r="A7838" s="0" t="n">
        <v>7837</v>
      </c>
      <c r="B7838" s="18" t="n">
        <v>770514.995130039</v>
      </c>
      <c r="C7838" s="18" t="n">
        <v>0</v>
      </c>
      <c r="D7838" s="0" t="n">
        <v>0</v>
      </c>
      <c r="E7838" s="19" t="n">
        <v>46.5833333333333</v>
      </c>
    </row>
    <row r="7839" customFormat="false" ht="15" hidden="false" customHeight="false" outlineLevel="0" collapsed="false">
      <c r="A7839" s="0" t="n">
        <v>7838</v>
      </c>
      <c r="B7839" s="18" t="n">
        <v>921553.410900969</v>
      </c>
      <c r="C7839" s="18" t="n">
        <v>0</v>
      </c>
      <c r="D7839" s="0" t="n">
        <v>0</v>
      </c>
      <c r="E7839" s="19" t="n">
        <v>45.5</v>
      </c>
    </row>
    <row r="7840" customFormat="false" ht="15" hidden="false" customHeight="false" outlineLevel="0" collapsed="false">
      <c r="A7840" s="0" t="n">
        <v>7839</v>
      </c>
      <c r="B7840" s="18" t="n">
        <v>1741594.81313486</v>
      </c>
      <c r="C7840" s="18" t="n">
        <v>0</v>
      </c>
      <c r="D7840" s="0" t="n">
        <v>0</v>
      </c>
      <c r="E7840" s="19" t="n">
        <v>54.0833333333333</v>
      </c>
    </row>
    <row r="7841" customFormat="false" ht="15" hidden="false" customHeight="false" outlineLevel="0" collapsed="false">
      <c r="A7841" s="0" t="n">
        <v>7840</v>
      </c>
      <c r="B7841" s="18" t="n">
        <v>2062082.29987842</v>
      </c>
      <c r="C7841" s="18" t="n">
        <v>42285512.7873329</v>
      </c>
      <c r="D7841" s="0" t="n">
        <v>1</v>
      </c>
    </row>
    <row r="7842" customFormat="false" ht="15" hidden="false" customHeight="false" outlineLevel="0" collapsed="false">
      <c r="A7842" s="0" t="n">
        <v>7841</v>
      </c>
      <c r="B7842" s="18" t="n">
        <v>1064305.77170689</v>
      </c>
      <c r="C7842" s="18" t="n">
        <v>0</v>
      </c>
      <c r="D7842" s="0" t="n">
        <v>0</v>
      </c>
      <c r="E7842" s="19" t="n">
        <v>38.0833333333333</v>
      </c>
    </row>
    <row r="7843" customFormat="false" ht="15" hidden="false" customHeight="false" outlineLevel="0" collapsed="false">
      <c r="A7843" s="0" t="n">
        <v>7842</v>
      </c>
      <c r="B7843" s="18" t="n">
        <v>1449475.07561359</v>
      </c>
      <c r="C7843" s="18" t="n">
        <v>2672256.70598222</v>
      </c>
      <c r="D7843" s="0" t="n">
        <v>1</v>
      </c>
    </row>
    <row r="7844" customFormat="false" ht="15" hidden="false" customHeight="false" outlineLevel="0" collapsed="false">
      <c r="A7844" s="0" t="n">
        <v>7843</v>
      </c>
      <c r="B7844" s="18" t="n">
        <v>1900966.327281</v>
      </c>
      <c r="C7844" s="18" t="n">
        <v>3772358.36889358</v>
      </c>
      <c r="D7844" s="0" t="n">
        <v>1</v>
      </c>
    </row>
    <row r="7845" customFormat="false" ht="15" hidden="false" customHeight="false" outlineLevel="0" collapsed="false">
      <c r="A7845" s="0" t="n">
        <v>7844</v>
      </c>
      <c r="B7845" s="18" t="n">
        <v>669928.814213065</v>
      </c>
      <c r="C7845" s="18" t="n">
        <v>0</v>
      </c>
      <c r="D7845" s="0" t="n">
        <v>0</v>
      </c>
      <c r="E7845" s="19" t="n">
        <v>39.5833333333333</v>
      </c>
    </row>
    <row r="7846" customFormat="false" ht="15" hidden="false" customHeight="false" outlineLevel="0" collapsed="false">
      <c r="A7846" s="0" t="n">
        <v>7845</v>
      </c>
      <c r="B7846" s="18" t="n">
        <v>1152615.56001101</v>
      </c>
      <c r="C7846" s="18" t="n">
        <v>0</v>
      </c>
      <c r="D7846" s="0" t="n">
        <v>0</v>
      </c>
      <c r="E7846" s="19" t="n">
        <v>39.8333333333333</v>
      </c>
    </row>
    <row r="7847" customFormat="false" ht="15" hidden="false" customHeight="false" outlineLevel="0" collapsed="false">
      <c r="A7847" s="0" t="n">
        <v>7846</v>
      </c>
      <c r="B7847" s="18" t="n">
        <v>2090652.15992314</v>
      </c>
      <c r="C7847" s="18" t="n">
        <v>13581111.1567079</v>
      </c>
      <c r="D7847" s="0" t="n">
        <v>1</v>
      </c>
    </row>
    <row r="7848" customFormat="false" ht="15" hidden="false" customHeight="false" outlineLevel="0" collapsed="false">
      <c r="A7848" s="0" t="n">
        <v>7847</v>
      </c>
      <c r="B7848" s="18" t="n">
        <v>958172.929106188</v>
      </c>
      <c r="C7848" s="18" t="n">
        <v>510810.488983495</v>
      </c>
      <c r="D7848" s="0" t="n">
        <v>1</v>
      </c>
    </row>
    <row r="7849" customFormat="false" ht="15" hidden="false" customHeight="false" outlineLevel="0" collapsed="false">
      <c r="A7849" s="0" t="n">
        <v>7848</v>
      </c>
      <c r="B7849" s="18" t="n">
        <v>1635506.00718857</v>
      </c>
      <c r="C7849" s="18" t="n">
        <v>9607664.73319802</v>
      </c>
      <c r="D7849" s="0" t="n">
        <v>1</v>
      </c>
    </row>
    <row r="7850" customFormat="false" ht="15" hidden="false" customHeight="false" outlineLevel="0" collapsed="false">
      <c r="A7850" s="0" t="n">
        <v>7849</v>
      </c>
      <c r="B7850" s="18" t="n">
        <v>523410.722638352</v>
      </c>
      <c r="C7850" s="18" t="n">
        <v>0</v>
      </c>
      <c r="D7850" s="0" t="n">
        <v>0</v>
      </c>
      <c r="E7850" s="19" t="n">
        <v>42.8333333333333</v>
      </c>
    </row>
    <row r="7851" customFormat="false" ht="15" hidden="false" customHeight="false" outlineLevel="0" collapsed="false">
      <c r="A7851" s="0" t="n">
        <v>7850</v>
      </c>
      <c r="B7851" s="18" t="n">
        <v>515597.334395296</v>
      </c>
      <c r="C7851" s="18" t="n">
        <v>0</v>
      </c>
      <c r="D7851" s="0" t="n">
        <v>0</v>
      </c>
      <c r="E7851" s="19" t="n">
        <v>35.0833333333333</v>
      </c>
    </row>
    <row r="7852" customFormat="false" ht="15" hidden="false" customHeight="false" outlineLevel="0" collapsed="false">
      <c r="A7852" s="0" t="n">
        <v>7851</v>
      </c>
      <c r="B7852" s="18" t="n">
        <v>472022.849194557</v>
      </c>
      <c r="C7852" s="18" t="n">
        <v>0</v>
      </c>
      <c r="D7852" s="0" t="n">
        <v>0</v>
      </c>
      <c r="E7852" s="19" t="n">
        <v>33.0833333333333</v>
      </c>
    </row>
    <row r="7853" customFormat="false" ht="15" hidden="false" customHeight="false" outlineLevel="0" collapsed="false">
      <c r="A7853" s="0" t="n">
        <v>7852</v>
      </c>
      <c r="B7853" s="18" t="n">
        <v>400082.141283634</v>
      </c>
      <c r="C7853" s="18" t="n">
        <v>0</v>
      </c>
      <c r="D7853" s="0" t="n">
        <v>0</v>
      </c>
      <c r="E7853" s="19" t="n">
        <v>32.5833333333333</v>
      </c>
    </row>
    <row r="7854" customFormat="false" ht="15" hidden="false" customHeight="false" outlineLevel="0" collapsed="false">
      <c r="A7854" s="0" t="n">
        <v>7853</v>
      </c>
      <c r="B7854" s="18" t="n">
        <v>1404067.43065093</v>
      </c>
      <c r="C7854" s="18" t="n">
        <v>2492409.67122609</v>
      </c>
      <c r="D7854" s="0" t="n">
        <v>1</v>
      </c>
    </row>
    <row r="7855" customFormat="false" ht="15" hidden="false" customHeight="false" outlineLevel="0" collapsed="false">
      <c r="A7855" s="0" t="n">
        <v>7854</v>
      </c>
      <c r="B7855" s="18" t="n">
        <v>923812.755238183</v>
      </c>
      <c r="C7855" s="18" t="n">
        <v>0</v>
      </c>
      <c r="D7855" s="0" t="n">
        <v>0</v>
      </c>
      <c r="E7855" s="19" t="n">
        <v>41</v>
      </c>
    </row>
    <row r="7856" customFormat="false" ht="15" hidden="false" customHeight="false" outlineLevel="0" collapsed="false">
      <c r="A7856" s="0" t="n">
        <v>7855</v>
      </c>
      <c r="B7856" s="18" t="n">
        <v>616120.268975982</v>
      </c>
      <c r="C7856" s="18" t="n">
        <v>0</v>
      </c>
      <c r="D7856" s="0" t="n">
        <v>0</v>
      </c>
      <c r="E7856" s="19" t="n">
        <v>37.4166666666667</v>
      </c>
    </row>
    <row r="7857" customFormat="false" ht="15" hidden="false" customHeight="false" outlineLevel="0" collapsed="false">
      <c r="A7857" s="0" t="n">
        <v>7856</v>
      </c>
      <c r="B7857" s="18" t="n">
        <v>881964.703055967</v>
      </c>
      <c r="C7857" s="18" t="n">
        <v>0</v>
      </c>
      <c r="D7857" s="0" t="n">
        <v>0</v>
      </c>
      <c r="E7857" s="19" t="n">
        <v>49.9166666666667</v>
      </c>
    </row>
    <row r="7858" customFormat="false" ht="15" hidden="false" customHeight="false" outlineLevel="0" collapsed="false">
      <c r="A7858" s="0" t="n">
        <v>7857</v>
      </c>
      <c r="B7858" s="18" t="n">
        <v>992078.093954754</v>
      </c>
      <c r="C7858" s="18" t="n">
        <v>0</v>
      </c>
      <c r="D7858" s="0" t="n">
        <v>0</v>
      </c>
      <c r="E7858" s="19" t="n">
        <v>42.75</v>
      </c>
    </row>
    <row r="7859" customFormat="false" ht="15" hidden="false" customHeight="false" outlineLevel="0" collapsed="false">
      <c r="A7859" s="0" t="n">
        <v>7858</v>
      </c>
      <c r="B7859" s="18" t="n">
        <v>2335967.85499851</v>
      </c>
      <c r="C7859" s="18" t="n">
        <v>17599740.8819743</v>
      </c>
      <c r="D7859" s="0" t="n">
        <v>1</v>
      </c>
    </row>
    <row r="7860" customFormat="false" ht="15" hidden="false" customHeight="false" outlineLevel="0" collapsed="false">
      <c r="A7860" s="0" t="n">
        <v>7859</v>
      </c>
      <c r="B7860" s="18" t="n">
        <v>562068.468148812</v>
      </c>
      <c r="C7860" s="18" t="n">
        <v>0</v>
      </c>
      <c r="D7860" s="0" t="n">
        <v>0</v>
      </c>
      <c r="E7860" s="19" t="n">
        <v>37.75</v>
      </c>
    </row>
    <row r="7861" customFormat="false" ht="15" hidden="false" customHeight="false" outlineLevel="0" collapsed="false">
      <c r="A7861" s="0" t="n">
        <v>7860</v>
      </c>
      <c r="B7861" s="18" t="n">
        <v>673624.331915043</v>
      </c>
      <c r="C7861" s="18" t="n">
        <v>0</v>
      </c>
      <c r="D7861" s="0" t="n">
        <v>0</v>
      </c>
      <c r="E7861" s="19" t="n">
        <v>39.1666666666667</v>
      </c>
    </row>
    <row r="7862" customFormat="false" ht="15" hidden="false" customHeight="false" outlineLevel="0" collapsed="false">
      <c r="A7862" s="0" t="n">
        <v>7861</v>
      </c>
      <c r="B7862" s="18" t="n">
        <v>1344221.53276388</v>
      </c>
      <c r="C7862" s="18" t="n">
        <v>0</v>
      </c>
      <c r="D7862" s="0" t="n">
        <v>0</v>
      </c>
      <c r="E7862" s="19" t="n">
        <v>54.3333333333333</v>
      </c>
    </row>
    <row r="7863" customFormat="false" ht="15" hidden="false" customHeight="false" outlineLevel="0" collapsed="false">
      <c r="A7863" s="0" t="n">
        <v>7862</v>
      </c>
      <c r="B7863" s="18" t="n">
        <v>694299.280681984</v>
      </c>
      <c r="C7863" s="18" t="n">
        <v>0</v>
      </c>
      <c r="D7863" s="0" t="n">
        <v>0</v>
      </c>
      <c r="E7863" s="19" t="n">
        <v>37.0833333333333</v>
      </c>
    </row>
    <row r="7864" customFormat="false" ht="15" hidden="false" customHeight="false" outlineLevel="0" collapsed="false">
      <c r="A7864" s="0" t="n">
        <v>7863</v>
      </c>
      <c r="B7864" s="18" t="n">
        <v>485002.170493015</v>
      </c>
      <c r="C7864" s="18" t="n">
        <v>0</v>
      </c>
      <c r="D7864" s="0" t="n">
        <v>0</v>
      </c>
      <c r="E7864" s="19" t="n">
        <v>32.9166666666667</v>
      </c>
    </row>
    <row r="7865" customFormat="false" ht="15" hidden="false" customHeight="false" outlineLevel="0" collapsed="false">
      <c r="A7865" s="0" t="n">
        <v>7864</v>
      </c>
      <c r="B7865" s="18" t="n">
        <v>1459289.71789498</v>
      </c>
      <c r="C7865" s="18" t="n">
        <v>37348756.7522164</v>
      </c>
      <c r="D7865" s="0" t="n">
        <v>1</v>
      </c>
    </row>
    <row r="7866" customFormat="false" ht="15" hidden="false" customHeight="false" outlineLevel="0" collapsed="false">
      <c r="A7866" s="0" t="n">
        <v>7865</v>
      </c>
      <c r="B7866" s="18" t="n">
        <v>1401834.35198837</v>
      </c>
      <c r="C7866" s="18" t="n">
        <v>1972480.50518184</v>
      </c>
      <c r="D7866" s="0" t="n">
        <v>1</v>
      </c>
    </row>
    <row r="7867" customFormat="false" ht="15" hidden="false" customHeight="false" outlineLevel="0" collapsed="false">
      <c r="A7867" s="0" t="n">
        <v>7866</v>
      </c>
      <c r="B7867" s="18" t="n">
        <v>546501.636730962</v>
      </c>
      <c r="C7867" s="18" t="n">
        <v>0</v>
      </c>
      <c r="D7867" s="0" t="n">
        <v>0</v>
      </c>
      <c r="E7867" s="19" t="n">
        <v>35.8333333333333</v>
      </c>
    </row>
    <row r="7868" customFormat="false" ht="15" hidden="false" customHeight="false" outlineLevel="0" collapsed="false">
      <c r="A7868" s="0" t="n">
        <v>7867</v>
      </c>
      <c r="B7868" s="18" t="n">
        <v>1990065.42102195</v>
      </c>
      <c r="C7868" s="18" t="n">
        <v>5980192.15248524</v>
      </c>
      <c r="D7868" s="0" t="n">
        <v>1</v>
      </c>
    </row>
    <row r="7869" customFormat="false" ht="15" hidden="false" customHeight="false" outlineLevel="0" collapsed="false">
      <c r="A7869" s="0" t="n">
        <v>7868</v>
      </c>
      <c r="B7869" s="18" t="n">
        <v>842578.516685269</v>
      </c>
      <c r="C7869" s="18" t="n">
        <v>0</v>
      </c>
      <c r="D7869" s="0" t="n">
        <v>0</v>
      </c>
      <c r="E7869" s="19" t="n">
        <v>41.5833333333333</v>
      </c>
    </row>
    <row r="7870" customFormat="false" ht="15" hidden="false" customHeight="false" outlineLevel="0" collapsed="false">
      <c r="A7870" s="0" t="n">
        <v>7869</v>
      </c>
      <c r="B7870" s="18" t="n">
        <v>2025518.74177494</v>
      </c>
      <c r="C7870" s="18" t="n">
        <v>6439451.48795403</v>
      </c>
      <c r="D7870" s="0" t="n">
        <v>1</v>
      </c>
    </row>
    <row r="7871" customFormat="false" ht="15" hidden="false" customHeight="false" outlineLevel="0" collapsed="false">
      <c r="A7871" s="0" t="n">
        <v>7870</v>
      </c>
      <c r="B7871" s="18" t="n">
        <v>670836.36659277</v>
      </c>
      <c r="C7871" s="18" t="n">
        <v>0</v>
      </c>
      <c r="D7871" s="0" t="n">
        <v>0</v>
      </c>
      <c r="E7871" s="19" t="n">
        <v>49.8333333333333</v>
      </c>
    </row>
    <row r="7872" customFormat="false" ht="15" hidden="false" customHeight="false" outlineLevel="0" collapsed="false">
      <c r="A7872" s="0" t="n">
        <v>7871</v>
      </c>
      <c r="B7872" s="18" t="n">
        <v>837242.456175625</v>
      </c>
      <c r="C7872" s="18" t="n">
        <v>0</v>
      </c>
      <c r="D7872" s="0" t="n">
        <v>0</v>
      </c>
      <c r="E7872" s="19" t="n">
        <v>38.75</v>
      </c>
    </row>
    <row r="7873" customFormat="false" ht="15" hidden="false" customHeight="false" outlineLevel="0" collapsed="false">
      <c r="A7873" s="0" t="n">
        <v>7872</v>
      </c>
      <c r="B7873" s="18" t="n">
        <v>1328592.02105572</v>
      </c>
      <c r="C7873" s="18" t="n">
        <v>2753865.85801187</v>
      </c>
      <c r="D7873" s="0" t="n">
        <v>1</v>
      </c>
    </row>
    <row r="7874" customFormat="false" ht="15" hidden="false" customHeight="false" outlineLevel="0" collapsed="false">
      <c r="A7874" s="0" t="n">
        <v>7873</v>
      </c>
      <c r="B7874" s="18" t="n">
        <v>659838.604654995</v>
      </c>
      <c r="C7874" s="18" t="n">
        <v>0</v>
      </c>
      <c r="D7874" s="0" t="n">
        <v>0</v>
      </c>
      <c r="E7874" s="19" t="n">
        <v>33.1666666666667</v>
      </c>
    </row>
    <row r="7875" customFormat="false" ht="15" hidden="false" customHeight="false" outlineLevel="0" collapsed="false">
      <c r="A7875" s="0" t="n">
        <v>7874</v>
      </c>
      <c r="B7875" s="18" t="n">
        <v>475383.128034004</v>
      </c>
      <c r="C7875" s="18" t="n">
        <v>0</v>
      </c>
      <c r="D7875" s="0" t="n">
        <v>0</v>
      </c>
      <c r="E7875" s="19" t="n">
        <v>32.4166666666667</v>
      </c>
    </row>
    <row r="7876" customFormat="false" ht="15" hidden="false" customHeight="false" outlineLevel="0" collapsed="false">
      <c r="A7876" s="0" t="n">
        <v>7875</v>
      </c>
      <c r="B7876" s="18" t="n">
        <v>601069.849994948</v>
      </c>
      <c r="C7876" s="18" t="n">
        <v>0</v>
      </c>
      <c r="D7876" s="0" t="n">
        <v>0</v>
      </c>
      <c r="E7876" s="19" t="n">
        <v>38.1666666666667</v>
      </c>
    </row>
    <row r="7877" customFormat="false" ht="15" hidden="false" customHeight="false" outlineLevel="0" collapsed="false">
      <c r="A7877" s="0" t="n">
        <v>7876</v>
      </c>
      <c r="B7877" s="18" t="n">
        <v>826772.841683118</v>
      </c>
      <c r="C7877" s="18" t="n">
        <v>0</v>
      </c>
      <c r="D7877" s="0" t="n">
        <v>0</v>
      </c>
      <c r="E7877" s="19" t="n">
        <v>51.75</v>
      </c>
    </row>
    <row r="7878" customFormat="false" ht="15" hidden="false" customHeight="false" outlineLevel="0" collapsed="false">
      <c r="A7878" s="0" t="n">
        <v>7877</v>
      </c>
      <c r="B7878" s="18" t="n">
        <v>646944.285207914</v>
      </c>
      <c r="C7878" s="18" t="n">
        <v>0</v>
      </c>
      <c r="D7878" s="0" t="n">
        <v>0</v>
      </c>
      <c r="E7878" s="19" t="n">
        <v>37.4166666666667</v>
      </c>
    </row>
    <row r="7879" customFormat="false" ht="15" hidden="false" customHeight="false" outlineLevel="0" collapsed="false">
      <c r="A7879" s="0" t="n">
        <v>7878</v>
      </c>
      <c r="B7879" s="18" t="n">
        <v>2197754.72049519</v>
      </c>
      <c r="C7879" s="18" t="n">
        <v>22713837.5801989</v>
      </c>
      <c r="D7879" s="0" t="n">
        <v>1</v>
      </c>
    </row>
    <row r="7880" customFormat="false" ht="15" hidden="false" customHeight="false" outlineLevel="0" collapsed="false">
      <c r="A7880" s="0" t="n">
        <v>7879</v>
      </c>
      <c r="B7880" s="18" t="n">
        <v>906740.032027906</v>
      </c>
      <c r="C7880" s="18" t="n">
        <v>0</v>
      </c>
      <c r="D7880" s="0" t="n">
        <v>0</v>
      </c>
      <c r="E7880" s="19" t="n">
        <v>36.4166666666667</v>
      </c>
    </row>
    <row r="7881" customFormat="false" ht="15" hidden="false" customHeight="false" outlineLevel="0" collapsed="false">
      <c r="A7881" s="0" t="n">
        <v>7880</v>
      </c>
      <c r="B7881" s="18" t="n">
        <v>1094445.76640936</v>
      </c>
      <c r="C7881" s="18" t="n">
        <v>0</v>
      </c>
      <c r="D7881" s="0" t="n">
        <v>0</v>
      </c>
      <c r="E7881" s="19" t="n">
        <v>39.5833333333333</v>
      </c>
    </row>
    <row r="7882" customFormat="false" ht="15" hidden="false" customHeight="false" outlineLevel="0" collapsed="false">
      <c r="A7882" s="0" t="n">
        <v>7881</v>
      </c>
      <c r="B7882" s="18" t="n">
        <v>237409.3575399</v>
      </c>
      <c r="C7882" s="18" t="n">
        <v>0</v>
      </c>
      <c r="D7882" s="0" t="n">
        <v>0</v>
      </c>
      <c r="E7882" s="19" t="n">
        <v>28.5833333333333</v>
      </c>
    </row>
    <row r="7883" customFormat="false" ht="15" hidden="false" customHeight="false" outlineLevel="0" collapsed="false">
      <c r="A7883" s="0" t="n">
        <v>7882</v>
      </c>
      <c r="B7883" s="18" t="n">
        <v>1041924.44885191</v>
      </c>
      <c r="C7883" s="18" t="n">
        <v>0</v>
      </c>
      <c r="D7883" s="0" t="n">
        <v>0</v>
      </c>
      <c r="E7883" s="19" t="n">
        <v>45.25</v>
      </c>
    </row>
    <row r="7884" customFormat="false" ht="15" hidden="false" customHeight="false" outlineLevel="0" collapsed="false">
      <c r="A7884" s="0" t="n">
        <v>7883</v>
      </c>
      <c r="B7884" s="18" t="n">
        <v>879445.662351818</v>
      </c>
      <c r="C7884" s="18" t="n">
        <v>1555707.80289617</v>
      </c>
      <c r="D7884" s="0" t="n">
        <v>1</v>
      </c>
    </row>
    <row r="7885" customFormat="false" ht="15" hidden="false" customHeight="false" outlineLevel="0" collapsed="false">
      <c r="A7885" s="0" t="n">
        <v>7884</v>
      </c>
      <c r="B7885" s="18" t="n">
        <v>579221.105271695</v>
      </c>
      <c r="C7885" s="18" t="n">
        <v>0</v>
      </c>
      <c r="D7885" s="0" t="n">
        <v>0</v>
      </c>
      <c r="E7885" s="19" t="n">
        <v>36.0833333333333</v>
      </c>
    </row>
    <row r="7886" customFormat="false" ht="15" hidden="false" customHeight="false" outlineLevel="0" collapsed="false">
      <c r="A7886" s="0" t="n">
        <v>7885</v>
      </c>
      <c r="B7886" s="18" t="n">
        <v>1236335.03473914</v>
      </c>
      <c r="C7886" s="18" t="n">
        <v>2892996.37521027</v>
      </c>
      <c r="D7886" s="0" t="n">
        <v>1</v>
      </c>
    </row>
    <row r="7887" customFormat="false" ht="15" hidden="false" customHeight="false" outlineLevel="0" collapsed="false">
      <c r="A7887" s="0" t="n">
        <v>7886</v>
      </c>
      <c r="B7887" s="18" t="n">
        <v>545625.323907621</v>
      </c>
      <c r="C7887" s="18" t="n">
        <v>0</v>
      </c>
      <c r="D7887" s="0" t="n">
        <v>0</v>
      </c>
      <c r="E7887" s="19" t="n">
        <v>31.8333333333333</v>
      </c>
    </row>
    <row r="7888" customFormat="false" ht="15" hidden="false" customHeight="false" outlineLevel="0" collapsed="false">
      <c r="A7888" s="0" t="n">
        <v>7887</v>
      </c>
      <c r="B7888" s="18" t="n">
        <v>889840.975012193</v>
      </c>
      <c r="C7888" s="18" t="n">
        <v>0</v>
      </c>
      <c r="D7888" s="0" t="n">
        <v>0</v>
      </c>
      <c r="E7888" s="19" t="n">
        <v>42.75</v>
      </c>
    </row>
    <row r="7889" customFormat="false" ht="15" hidden="false" customHeight="false" outlineLevel="0" collapsed="false">
      <c r="A7889" s="0" t="n">
        <v>7888</v>
      </c>
      <c r="B7889" s="18" t="n">
        <v>1195875.05494153</v>
      </c>
      <c r="C7889" s="18" t="n">
        <v>6397545.78503406</v>
      </c>
      <c r="D7889" s="0" t="n">
        <v>1</v>
      </c>
    </row>
    <row r="7890" customFormat="false" ht="15" hidden="false" customHeight="false" outlineLevel="0" collapsed="false">
      <c r="A7890" s="0" t="n">
        <v>7889</v>
      </c>
      <c r="B7890" s="18" t="n">
        <v>1401870.70635536</v>
      </c>
      <c r="C7890" s="18" t="n">
        <v>0</v>
      </c>
      <c r="D7890" s="0" t="n">
        <v>0</v>
      </c>
      <c r="E7890" s="19" t="n">
        <v>54.5833333333333</v>
      </c>
    </row>
    <row r="7891" customFormat="false" ht="15" hidden="false" customHeight="false" outlineLevel="0" collapsed="false">
      <c r="A7891" s="0" t="n">
        <v>7890</v>
      </c>
      <c r="B7891" s="18" t="n">
        <v>360459.059754448</v>
      </c>
      <c r="C7891" s="18" t="n">
        <v>0</v>
      </c>
      <c r="D7891" s="0" t="n">
        <v>0</v>
      </c>
      <c r="E7891" s="19" t="n">
        <v>35.1666666666667</v>
      </c>
    </row>
    <row r="7892" customFormat="false" ht="15" hidden="false" customHeight="false" outlineLevel="0" collapsed="false">
      <c r="A7892" s="0" t="n">
        <v>7891</v>
      </c>
      <c r="B7892" s="18" t="n">
        <v>655046.665144836</v>
      </c>
      <c r="C7892" s="18" t="n">
        <v>0</v>
      </c>
      <c r="D7892" s="0" t="n">
        <v>0</v>
      </c>
      <c r="E7892" s="19" t="n">
        <v>37</v>
      </c>
    </row>
    <row r="7893" customFormat="false" ht="15" hidden="false" customHeight="false" outlineLevel="0" collapsed="false">
      <c r="A7893" s="0" t="n">
        <v>7892</v>
      </c>
      <c r="B7893" s="18" t="n">
        <v>1145067.89968208</v>
      </c>
      <c r="C7893" s="18" t="n">
        <v>0</v>
      </c>
      <c r="D7893" s="0" t="n">
        <v>0</v>
      </c>
      <c r="E7893" s="19" t="n">
        <v>47.8333333333333</v>
      </c>
    </row>
    <row r="7894" customFormat="false" ht="15" hidden="false" customHeight="false" outlineLevel="0" collapsed="false">
      <c r="A7894" s="0" t="n">
        <v>7893</v>
      </c>
      <c r="B7894" s="18" t="n">
        <v>898992.105126777</v>
      </c>
      <c r="C7894" s="18" t="n">
        <v>0</v>
      </c>
      <c r="D7894" s="0" t="n">
        <v>0</v>
      </c>
      <c r="E7894" s="19" t="n">
        <v>47.5833333333333</v>
      </c>
    </row>
    <row r="7895" customFormat="false" ht="15" hidden="false" customHeight="false" outlineLevel="0" collapsed="false">
      <c r="A7895" s="0" t="n">
        <v>7894</v>
      </c>
      <c r="B7895" s="18" t="n">
        <v>853065.09121435</v>
      </c>
      <c r="C7895" s="18" t="n">
        <v>0</v>
      </c>
      <c r="D7895" s="0" t="n">
        <v>0</v>
      </c>
      <c r="E7895" s="19" t="n">
        <v>41.75</v>
      </c>
    </row>
    <row r="7896" customFormat="false" ht="15" hidden="false" customHeight="false" outlineLevel="0" collapsed="false">
      <c r="A7896" s="0" t="n">
        <v>7895</v>
      </c>
      <c r="B7896" s="18" t="n">
        <v>911885.149182354</v>
      </c>
      <c r="C7896" s="18" t="n">
        <v>0</v>
      </c>
      <c r="D7896" s="0" t="n">
        <v>0</v>
      </c>
      <c r="E7896" s="19" t="n">
        <v>53.25</v>
      </c>
    </row>
    <row r="7897" customFormat="false" ht="15" hidden="false" customHeight="false" outlineLevel="0" collapsed="false">
      <c r="A7897" s="0" t="n">
        <v>7896</v>
      </c>
      <c r="B7897" s="18" t="n">
        <v>1003023.22680374</v>
      </c>
      <c r="C7897" s="18" t="n">
        <v>0</v>
      </c>
      <c r="D7897" s="0" t="n">
        <v>0</v>
      </c>
      <c r="E7897" s="19" t="n">
        <v>43.5833333333333</v>
      </c>
    </row>
    <row r="7898" customFormat="false" ht="15" hidden="false" customHeight="false" outlineLevel="0" collapsed="false">
      <c r="A7898" s="0" t="n">
        <v>7897</v>
      </c>
      <c r="B7898" s="18" t="n">
        <v>251618.053404616</v>
      </c>
      <c r="C7898" s="18" t="n">
        <v>0</v>
      </c>
      <c r="D7898" s="0" t="n">
        <v>0</v>
      </c>
      <c r="E7898" s="19" t="n">
        <v>28.8333333333333</v>
      </c>
    </row>
    <row r="7899" customFormat="false" ht="15" hidden="false" customHeight="false" outlineLevel="0" collapsed="false">
      <c r="A7899" s="0" t="n">
        <v>7898</v>
      </c>
      <c r="B7899" s="18" t="n">
        <v>712467.358405455</v>
      </c>
      <c r="C7899" s="18" t="n">
        <v>0</v>
      </c>
      <c r="D7899" s="0" t="n">
        <v>0</v>
      </c>
      <c r="E7899" s="19" t="n">
        <v>45.6666666666667</v>
      </c>
    </row>
    <row r="7900" customFormat="false" ht="15" hidden="false" customHeight="false" outlineLevel="0" collapsed="false">
      <c r="A7900" s="0" t="n">
        <v>7899</v>
      </c>
      <c r="B7900" s="18" t="n">
        <v>1176732.5113267</v>
      </c>
      <c r="C7900" s="18" t="n">
        <v>11516187.3680591</v>
      </c>
      <c r="D7900" s="0" t="n">
        <v>1</v>
      </c>
    </row>
    <row r="7901" customFormat="false" ht="15" hidden="false" customHeight="false" outlineLevel="0" collapsed="false">
      <c r="A7901" s="0" t="n">
        <v>7900</v>
      </c>
      <c r="B7901" s="18" t="n">
        <v>512018.107361118</v>
      </c>
      <c r="C7901" s="18" t="n">
        <v>0</v>
      </c>
      <c r="D7901" s="0" t="n">
        <v>0</v>
      </c>
      <c r="E7901" s="19" t="n">
        <v>32.8333333333333</v>
      </c>
    </row>
    <row r="7902" customFormat="false" ht="15" hidden="false" customHeight="false" outlineLevel="0" collapsed="false">
      <c r="A7902" s="0" t="n">
        <v>7901</v>
      </c>
      <c r="B7902" s="18" t="n">
        <v>1009112.7931811</v>
      </c>
      <c r="C7902" s="18" t="n">
        <v>0</v>
      </c>
      <c r="D7902" s="0" t="n">
        <v>0</v>
      </c>
      <c r="E7902" s="19" t="n">
        <v>44.25</v>
      </c>
    </row>
    <row r="7903" customFormat="false" ht="15" hidden="false" customHeight="false" outlineLevel="0" collapsed="false">
      <c r="A7903" s="0" t="n">
        <v>7902</v>
      </c>
      <c r="B7903" s="18" t="n">
        <v>1101785.32102773</v>
      </c>
      <c r="C7903" s="18" t="n">
        <v>0</v>
      </c>
      <c r="D7903" s="0" t="n">
        <v>0</v>
      </c>
      <c r="E7903" s="19" t="n">
        <v>39.6666666666667</v>
      </c>
    </row>
    <row r="7904" customFormat="false" ht="15" hidden="false" customHeight="false" outlineLevel="0" collapsed="false">
      <c r="A7904" s="0" t="n">
        <v>7903</v>
      </c>
      <c r="B7904" s="18" t="n">
        <v>545196.912338534</v>
      </c>
      <c r="C7904" s="18" t="n">
        <v>0</v>
      </c>
      <c r="D7904" s="0" t="n">
        <v>0</v>
      </c>
      <c r="E7904" s="19" t="n">
        <v>40.0833333333333</v>
      </c>
    </row>
    <row r="7905" customFormat="false" ht="15" hidden="false" customHeight="false" outlineLevel="0" collapsed="false">
      <c r="A7905" s="0" t="n">
        <v>7904</v>
      </c>
      <c r="B7905" s="18" t="n">
        <v>358638.969966756</v>
      </c>
      <c r="C7905" s="18" t="n">
        <v>0</v>
      </c>
      <c r="D7905" s="0" t="n">
        <v>0</v>
      </c>
      <c r="E7905" s="19" t="n">
        <v>30.75</v>
      </c>
    </row>
    <row r="7906" customFormat="false" ht="15" hidden="false" customHeight="false" outlineLevel="0" collapsed="false">
      <c r="A7906" s="0" t="n">
        <v>7905</v>
      </c>
      <c r="B7906" s="18" t="n">
        <v>411512.894486111</v>
      </c>
      <c r="C7906" s="18" t="n">
        <v>0</v>
      </c>
      <c r="D7906" s="0" t="n">
        <v>0</v>
      </c>
      <c r="E7906" s="19" t="n">
        <v>35</v>
      </c>
    </row>
    <row r="7907" customFormat="false" ht="15" hidden="false" customHeight="false" outlineLevel="0" collapsed="false">
      <c r="A7907" s="0" t="n">
        <v>7906</v>
      </c>
      <c r="B7907" s="18" t="n">
        <v>1116652.77233874</v>
      </c>
      <c r="C7907" s="18" t="n">
        <v>0</v>
      </c>
      <c r="D7907" s="0" t="n">
        <v>0</v>
      </c>
      <c r="E7907" s="19" t="n">
        <v>46.75</v>
      </c>
    </row>
    <row r="7908" customFormat="false" ht="15" hidden="false" customHeight="false" outlineLevel="0" collapsed="false">
      <c r="A7908" s="0" t="n">
        <v>7907</v>
      </c>
      <c r="B7908" s="18" t="n">
        <v>776434.575973404</v>
      </c>
      <c r="C7908" s="18" t="n">
        <v>0</v>
      </c>
      <c r="D7908" s="0" t="n">
        <v>0</v>
      </c>
      <c r="E7908" s="19" t="n">
        <v>41.5833333333333</v>
      </c>
    </row>
    <row r="7909" customFormat="false" ht="15" hidden="false" customHeight="false" outlineLevel="0" collapsed="false">
      <c r="A7909" s="0" t="n">
        <v>7908</v>
      </c>
      <c r="B7909" s="18" t="n">
        <v>633221.609814704</v>
      </c>
      <c r="C7909" s="18" t="n">
        <v>791607.871330634</v>
      </c>
      <c r="D7909" s="0" t="n">
        <v>1</v>
      </c>
    </row>
    <row r="7910" customFormat="false" ht="15" hidden="false" customHeight="false" outlineLevel="0" collapsed="false">
      <c r="A7910" s="0" t="n">
        <v>7909</v>
      </c>
      <c r="B7910" s="18" t="n">
        <v>3236590.92456487</v>
      </c>
      <c r="C7910" s="18" t="n">
        <v>5985256.67716564</v>
      </c>
      <c r="D7910" s="0" t="n">
        <v>1</v>
      </c>
    </row>
    <row r="7911" customFormat="false" ht="15" hidden="false" customHeight="false" outlineLevel="0" collapsed="false">
      <c r="A7911" s="0" t="n">
        <v>7910</v>
      </c>
      <c r="B7911" s="18" t="n">
        <v>3813907.63218041</v>
      </c>
      <c r="C7911" s="18" t="n">
        <v>1533487.31909901</v>
      </c>
      <c r="D7911" s="0" t="n">
        <v>1</v>
      </c>
    </row>
    <row r="7912" customFormat="false" ht="15" hidden="false" customHeight="false" outlineLevel="0" collapsed="false">
      <c r="A7912" s="0" t="n">
        <v>7911</v>
      </c>
      <c r="B7912" s="18" t="n">
        <v>1148063.49705841</v>
      </c>
      <c r="C7912" s="18" t="n">
        <v>0</v>
      </c>
      <c r="D7912" s="0" t="n">
        <v>0</v>
      </c>
      <c r="E7912" s="19" t="n">
        <v>51.5833333333333</v>
      </c>
    </row>
    <row r="7913" customFormat="false" ht="15" hidden="false" customHeight="false" outlineLevel="0" collapsed="false">
      <c r="A7913" s="0" t="n">
        <v>7912</v>
      </c>
      <c r="B7913" s="18" t="n">
        <v>2917333.55011698</v>
      </c>
      <c r="C7913" s="18" t="n">
        <v>727149.09615988</v>
      </c>
      <c r="D7913" s="0" t="n">
        <v>1</v>
      </c>
    </row>
    <row r="7914" customFormat="false" ht="15" hidden="false" customHeight="false" outlineLevel="0" collapsed="false">
      <c r="A7914" s="0" t="n">
        <v>7913</v>
      </c>
      <c r="B7914" s="18" t="n">
        <v>586383.137776163</v>
      </c>
      <c r="C7914" s="18" t="n">
        <v>0</v>
      </c>
      <c r="D7914" s="0" t="n">
        <v>0</v>
      </c>
      <c r="E7914" s="19" t="n">
        <v>44.0833333333333</v>
      </c>
    </row>
    <row r="7915" customFormat="false" ht="15" hidden="false" customHeight="false" outlineLevel="0" collapsed="false">
      <c r="A7915" s="0" t="n">
        <v>7914</v>
      </c>
      <c r="B7915" s="18" t="n">
        <v>545182.57486552</v>
      </c>
      <c r="C7915" s="18" t="n">
        <v>0</v>
      </c>
      <c r="D7915" s="0" t="n">
        <v>0</v>
      </c>
      <c r="E7915" s="19" t="n">
        <v>33.8333333333333</v>
      </c>
    </row>
    <row r="7916" customFormat="false" ht="15" hidden="false" customHeight="false" outlineLevel="0" collapsed="false">
      <c r="A7916" s="0" t="n">
        <v>7915</v>
      </c>
      <c r="B7916" s="18" t="n">
        <v>1091511.51315031</v>
      </c>
      <c r="C7916" s="18" t="n">
        <v>0</v>
      </c>
      <c r="D7916" s="0" t="n">
        <v>0</v>
      </c>
      <c r="E7916" s="19" t="n">
        <v>37.25</v>
      </c>
    </row>
    <row r="7917" customFormat="false" ht="15" hidden="false" customHeight="false" outlineLevel="0" collapsed="false">
      <c r="A7917" s="0" t="n">
        <v>7916</v>
      </c>
      <c r="B7917" s="18" t="n">
        <v>4140598.34081457</v>
      </c>
      <c r="C7917" s="18" t="n">
        <v>4828562.09259148</v>
      </c>
      <c r="D7917" s="0" t="n">
        <v>1</v>
      </c>
    </row>
    <row r="7918" customFormat="false" ht="15" hidden="false" customHeight="false" outlineLevel="0" collapsed="false">
      <c r="A7918" s="0" t="n">
        <v>7917</v>
      </c>
      <c r="B7918" s="18" t="n">
        <v>1426961.76999656</v>
      </c>
      <c r="C7918" s="18" t="n">
        <v>0</v>
      </c>
      <c r="D7918" s="0" t="n">
        <v>0</v>
      </c>
      <c r="E7918" s="19" t="n">
        <v>54</v>
      </c>
    </row>
    <row r="7919" customFormat="false" ht="15" hidden="false" customHeight="false" outlineLevel="0" collapsed="false">
      <c r="A7919" s="0" t="n">
        <v>7918</v>
      </c>
      <c r="B7919" s="18" t="n">
        <v>979016.614839322</v>
      </c>
      <c r="C7919" s="18" t="n">
        <v>0</v>
      </c>
      <c r="D7919" s="0" t="n">
        <v>0</v>
      </c>
      <c r="E7919" s="19" t="n">
        <v>42.1666666666667</v>
      </c>
    </row>
    <row r="7920" customFormat="false" ht="15" hidden="false" customHeight="false" outlineLevel="0" collapsed="false">
      <c r="A7920" s="0" t="n">
        <v>7919</v>
      </c>
      <c r="B7920" s="18" t="n">
        <v>3019132.57870312</v>
      </c>
      <c r="C7920" s="18" t="n">
        <v>14941314.6504495</v>
      </c>
      <c r="D7920" s="0" t="n">
        <v>1</v>
      </c>
    </row>
    <row r="7921" customFormat="false" ht="15" hidden="false" customHeight="false" outlineLevel="0" collapsed="false">
      <c r="A7921" s="0" t="n">
        <v>7920</v>
      </c>
      <c r="B7921" s="18" t="n">
        <v>1574186.48265221</v>
      </c>
      <c r="C7921" s="18" t="n">
        <v>2438118.54134619</v>
      </c>
      <c r="D7921" s="0" t="n">
        <v>1</v>
      </c>
    </row>
    <row r="7922" customFormat="false" ht="15" hidden="false" customHeight="false" outlineLevel="0" collapsed="false">
      <c r="A7922" s="0" t="n">
        <v>7921</v>
      </c>
      <c r="B7922" s="18" t="n">
        <v>304305.516392802</v>
      </c>
      <c r="C7922" s="18" t="n">
        <v>0</v>
      </c>
      <c r="D7922" s="0" t="n">
        <v>0</v>
      </c>
      <c r="E7922" s="19" t="n">
        <v>28.9166666666667</v>
      </c>
    </row>
    <row r="7923" customFormat="false" ht="15" hidden="false" customHeight="false" outlineLevel="0" collapsed="false">
      <c r="A7923" s="0" t="n">
        <v>7922</v>
      </c>
      <c r="B7923" s="18" t="n">
        <v>1377171.90811147</v>
      </c>
      <c r="C7923" s="18" t="n">
        <v>818106.740848645</v>
      </c>
      <c r="D7923" s="0" t="n">
        <v>1</v>
      </c>
    </row>
    <row r="7924" customFormat="false" ht="15" hidden="false" customHeight="false" outlineLevel="0" collapsed="false">
      <c r="A7924" s="0" t="n">
        <v>7923</v>
      </c>
      <c r="B7924" s="18" t="n">
        <v>2392286.96113968</v>
      </c>
      <c r="C7924" s="18" t="n">
        <v>9875411.78044522</v>
      </c>
      <c r="D7924" s="0" t="n">
        <v>1</v>
      </c>
    </row>
    <row r="7925" customFormat="false" ht="15" hidden="false" customHeight="false" outlineLevel="0" collapsed="false">
      <c r="A7925" s="0" t="n">
        <v>7924</v>
      </c>
      <c r="B7925" s="18" t="n">
        <v>495060.606992541</v>
      </c>
      <c r="C7925" s="18" t="n">
        <v>0</v>
      </c>
      <c r="D7925" s="0" t="n">
        <v>0</v>
      </c>
      <c r="E7925" s="19" t="n">
        <v>34.5833333333333</v>
      </c>
    </row>
    <row r="7926" customFormat="false" ht="15" hidden="false" customHeight="false" outlineLevel="0" collapsed="false">
      <c r="A7926" s="0" t="n">
        <v>7925</v>
      </c>
      <c r="B7926" s="18" t="n">
        <v>1410749.03730569</v>
      </c>
      <c r="C7926" s="18" t="n">
        <v>5456499.17373698</v>
      </c>
      <c r="D7926" s="0" t="n">
        <v>1</v>
      </c>
    </row>
    <row r="7927" customFormat="false" ht="15" hidden="false" customHeight="false" outlineLevel="0" collapsed="false">
      <c r="A7927" s="0" t="n">
        <v>7926</v>
      </c>
      <c r="B7927" s="18" t="n">
        <v>546342.275860734</v>
      </c>
      <c r="C7927" s="18" t="n">
        <v>0</v>
      </c>
      <c r="D7927" s="0" t="n">
        <v>0</v>
      </c>
      <c r="E7927" s="19" t="n">
        <v>39.1666666666667</v>
      </c>
    </row>
    <row r="7928" customFormat="false" ht="15" hidden="false" customHeight="false" outlineLevel="0" collapsed="false">
      <c r="A7928" s="0" t="n">
        <v>7927</v>
      </c>
      <c r="B7928" s="18" t="n">
        <v>728130.170708147</v>
      </c>
      <c r="C7928" s="18" t="n">
        <v>0</v>
      </c>
      <c r="D7928" s="0" t="n">
        <v>0</v>
      </c>
      <c r="E7928" s="19" t="n">
        <v>39.8333333333333</v>
      </c>
    </row>
    <row r="7929" customFormat="false" ht="15" hidden="false" customHeight="false" outlineLevel="0" collapsed="false">
      <c r="A7929" s="0" t="n">
        <v>7928</v>
      </c>
      <c r="B7929" s="18" t="n">
        <v>1223394.313793</v>
      </c>
      <c r="C7929" s="18" t="n">
        <v>441187.657328449</v>
      </c>
      <c r="D7929" s="0" t="n">
        <v>1</v>
      </c>
    </row>
    <row r="7930" customFormat="false" ht="15" hidden="false" customHeight="false" outlineLevel="0" collapsed="false">
      <c r="A7930" s="0" t="n">
        <v>7929</v>
      </c>
      <c r="B7930" s="18" t="n">
        <v>747302.717349258</v>
      </c>
      <c r="C7930" s="18" t="n">
        <v>0</v>
      </c>
      <c r="D7930" s="0" t="n">
        <v>0</v>
      </c>
      <c r="E7930" s="19" t="n">
        <v>35.3333333333333</v>
      </c>
    </row>
    <row r="7931" customFormat="false" ht="15" hidden="false" customHeight="false" outlineLevel="0" collapsed="false">
      <c r="A7931" s="0" t="n">
        <v>7930</v>
      </c>
      <c r="B7931" s="18" t="n">
        <v>1344698.98911868</v>
      </c>
      <c r="C7931" s="18" t="n">
        <v>0</v>
      </c>
      <c r="D7931" s="0" t="n">
        <v>0</v>
      </c>
      <c r="E7931" s="19" t="n">
        <v>54.6666666666667</v>
      </c>
    </row>
    <row r="7932" customFormat="false" ht="15" hidden="false" customHeight="false" outlineLevel="0" collapsed="false">
      <c r="A7932" s="0" t="n">
        <v>7931</v>
      </c>
      <c r="B7932" s="18" t="n">
        <v>980295.729932491</v>
      </c>
      <c r="C7932" s="18" t="n">
        <v>0</v>
      </c>
      <c r="D7932" s="0" t="n">
        <v>0</v>
      </c>
      <c r="E7932" s="19" t="n">
        <v>36.9166666666667</v>
      </c>
    </row>
    <row r="7933" customFormat="false" ht="15" hidden="false" customHeight="false" outlineLevel="0" collapsed="false">
      <c r="A7933" s="0" t="n">
        <v>7932</v>
      </c>
      <c r="B7933" s="18" t="n">
        <v>491159.84588011</v>
      </c>
      <c r="C7933" s="18" t="n">
        <v>0</v>
      </c>
      <c r="D7933" s="0" t="n">
        <v>0</v>
      </c>
      <c r="E7933" s="19" t="n">
        <v>33.5</v>
      </c>
    </row>
    <row r="7934" customFormat="false" ht="15" hidden="false" customHeight="false" outlineLevel="0" collapsed="false">
      <c r="A7934" s="0" t="n">
        <v>7933</v>
      </c>
      <c r="B7934" s="18" t="n">
        <v>697921.815706675</v>
      </c>
      <c r="C7934" s="18" t="n">
        <v>0</v>
      </c>
      <c r="D7934" s="0" t="n">
        <v>0</v>
      </c>
      <c r="E7934" s="19" t="n">
        <v>37.3333333333333</v>
      </c>
    </row>
    <row r="7935" customFormat="false" ht="15" hidden="false" customHeight="false" outlineLevel="0" collapsed="false">
      <c r="A7935" s="0" t="n">
        <v>7934</v>
      </c>
      <c r="B7935" s="18" t="n">
        <v>946557.838778724</v>
      </c>
      <c r="C7935" s="18" t="n">
        <v>0</v>
      </c>
      <c r="D7935" s="0" t="n">
        <v>0</v>
      </c>
      <c r="E7935" s="19" t="n">
        <v>40.4166666666667</v>
      </c>
    </row>
    <row r="7936" customFormat="false" ht="15" hidden="false" customHeight="false" outlineLevel="0" collapsed="false">
      <c r="A7936" s="0" t="n">
        <v>7935</v>
      </c>
      <c r="B7936" s="18" t="n">
        <v>893906.461512103</v>
      </c>
      <c r="C7936" s="18" t="n">
        <v>0</v>
      </c>
      <c r="D7936" s="0" t="n">
        <v>0</v>
      </c>
      <c r="E7936" s="19" t="n">
        <v>46.75</v>
      </c>
    </row>
    <row r="7937" customFormat="false" ht="15" hidden="false" customHeight="false" outlineLevel="0" collapsed="false">
      <c r="A7937" s="0" t="n">
        <v>7936</v>
      </c>
      <c r="B7937" s="18" t="n">
        <v>702361.058819446</v>
      </c>
      <c r="C7937" s="18" t="n">
        <v>0</v>
      </c>
      <c r="D7937" s="0" t="n">
        <v>0</v>
      </c>
      <c r="E7937" s="19" t="n">
        <v>43.4166666666667</v>
      </c>
    </row>
    <row r="7938" customFormat="false" ht="15" hidden="false" customHeight="false" outlineLevel="0" collapsed="false">
      <c r="A7938" s="0" t="n">
        <v>7937</v>
      </c>
      <c r="B7938" s="18" t="n">
        <v>1232874.25470052</v>
      </c>
      <c r="C7938" s="18" t="n">
        <v>3130656.27523068</v>
      </c>
      <c r="D7938" s="0" t="n">
        <v>1</v>
      </c>
    </row>
    <row r="7939" customFormat="false" ht="15" hidden="false" customHeight="false" outlineLevel="0" collapsed="false">
      <c r="A7939" s="0" t="n">
        <v>7938</v>
      </c>
      <c r="B7939" s="18" t="n">
        <v>758533.509476457</v>
      </c>
      <c r="C7939" s="18" t="n">
        <v>0</v>
      </c>
      <c r="D7939" s="0" t="n">
        <v>0</v>
      </c>
      <c r="E7939" s="19" t="n">
        <v>40.6666666666667</v>
      </c>
    </row>
    <row r="7940" customFormat="false" ht="15" hidden="false" customHeight="false" outlineLevel="0" collapsed="false">
      <c r="A7940" s="0" t="n">
        <v>7939</v>
      </c>
      <c r="B7940" s="18" t="n">
        <v>772263.429378466</v>
      </c>
      <c r="C7940" s="18" t="n">
        <v>0</v>
      </c>
      <c r="D7940" s="0" t="n">
        <v>0</v>
      </c>
      <c r="E7940" s="19" t="n">
        <v>38.6666666666667</v>
      </c>
    </row>
    <row r="7941" customFormat="false" ht="15" hidden="false" customHeight="false" outlineLevel="0" collapsed="false">
      <c r="A7941" s="0" t="n">
        <v>7940</v>
      </c>
      <c r="B7941" s="18" t="n">
        <v>573201.598821694</v>
      </c>
      <c r="C7941" s="18" t="n">
        <v>0</v>
      </c>
      <c r="D7941" s="0" t="n">
        <v>0</v>
      </c>
      <c r="E7941" s="19" t="n">
        <v>35.25</v>
      </c>
    </row>
    <row r="7942" customFormat="false" ht="15" hidden="false" customHeight="false" outlineLevel="0" collapsed="false">
      <c r="A7942" s="0" t="n">
        <v>7941</v>
      </c>
      <c r="B7942" s="18" t="n">
        <v>1083657.80600666</v>
      </c>
      <c r="C7942" s="18" t="n">
        <v>0</v>
      </c>
      <c r="D7942" s="0" t="n">
        <v>0</v>
      </c>
      <c r="E7942" s="19" t="n">
        <v>42.25</v>
      </c>
    </row>
    <row r="7943" customFormat="false" ht="15" hidden="false" customHeight="false" outlineLevel="0" collapsed="false">
      <c r="A7943" s="0" t="n">
        <v>7942</v>
      </c>
      <c r="B7943" s="18" t="n">
        <v>488003.593239855</v>
      </c>
      <c r="C7943" s="18" t="n">
        <v>0</v>
      </c>
      <c r="D7943" s="0" t="n">
        <v>0</v>
      </c>
      <c r="E7943" s="19" t="n">
        <v>36.1666666666667</v>
      </c>
    </row>
    <row r="7944" customFormat="false" ht="15" hidden="false" customHeight="false" outlineLevel="0" collapsed="false">
      <c r="A7944" s="0" t="n">
        <v>7943</v>
      </c>
      <c r="B7944" s="18" t="n">
        <v>572575.835090799</v>
      </c>
      <c r="C7944" s="18" t="n">
        <v>0</v>
      </c>
      <c r="D7944" s="0" t="n">
        <v>0</v>
      </c>
      <c r="E7944" s="19" t="n">
        <v>36.4166666666667</v>
      </c>
    </row>
    <row r="7945" customFormat="false" ht="15" hidden="false" customHeight="false" outlineLevel="0" collapsed="false">
      <c r="A7945" s="0" t="n">
        <v>7944</v>
      </c>
      <c r="B7945" s="18" t="n">
        <v>629879.720102437</v>
      </c>
      <c r="C7945" s="18" t="n">
        <v>0</v>
      </c>
      <c r="D7945" s="0" t="n">
        <v>0</v>
      </c>
      <c r="E7945" s="19" t="n">
        <v>37.4166666666667</v>
      </c>
    </row>
    <row r="7946" customFormat="false" ht="15" hidden="false" customHeight="false" outlineLevel="0" collapsed="false">
      <c r="A7946" s="0" t="n">
        <v>7945</v>
      </c>
      <c r="B7946" s="18" t="n">
        <v>427064.196149852</v>
      </c>
      <c r="C7946" s="18" t="n">
        <v>0</v>
      </c>
      <c r="D7946" s="0" t="n">
        <v>0</v>
      </c>
      <c r="E7946" s="19" t="n">
        <v>31.3333333333333</v>
      </c>
    </row>
    <row r="7947" customFormat="false" ht="15" hidden="false" customHeight="false" outlineLevel="0" collapsed="false">
      <c r="A7947" s="0" t="n">
        <v>7946</v>
      </c>
      <c r="B7947" s="18" t="n">
        <v>910442.150777384</v>
      </c>
      <c r="C7947" s="18" t="n">
        <v>0</v>
      </c>
      <c r="D7947" s="0" t="n">
        <v>0</v>
      </c>
      <c r="E7947" s="19" t="n">
        <v>38.5833333333333</v>
      </c>
    </row>
    <row r="7948" customFormat="false" ht="15" hidden="false" customHeight="false" outlineLevel="0" collapsed="false">
      <c r="A7948" s="0" t="n">
        <v>7947</v>
      </c>
      <c r="B7948" s="18" t="n">
        <v>561083.343957611</v>
      </c>
      <c r="C7948" s="18" t="n">
        <v>0</v>
      </c>
      <c r="D7948" s="0" t="n">
        <v>0</v>
      </c>
      <c r="E7948" s="19" t="n">
        <v>40.5833333333333</v>
      </c>
    </row>
    <row r="7949" customFormat="false" ht="15" hidden="false" customHeight="false" outlineLevel="0" collapsed="false">
      <c r="A7949" s="0" t="n">
        <v>7948</v>
      </c>
      <c r="B7949" s="18" t="n">
        <v>550426.792542085</v>
      </c>
      <c r="C7949" s="18" t="n">
        <v>0</v>
      </c>
      <c r="D7949" s="0" t="n">
        <v>0</v>
      </c>
      <c r="E7949" s="19" t="n">
        <v>32.0833333333333</v>
      </c>
    </row>
    <row r="7950" customFormat="false" ht="15" hidden="false" customHeight="false" outlineLevel="0" collapsed="false">
      <c r="A7950" s="0" t="n">
        <v>7949</v>
      </c>
      <c r="B7950" s="18" t="n">
        <v>919928.496514622</v>
      </c>
      <c r="C7950" s="18" t="n">
        <v>0</v>
      </c>
      <c r="D7950" s="0" t="n">
        <v>0</v>
      </c>
      <c r="E7950" s="19" t="n">
        <v>42.6666666666667</v>
      </c>
    </row>
    <row r="7951" customFormat="false" ht="15" hidden="false" customHeight="false" outlineLevel="0" collapsed="false">
      <c r="A7951" s="0" t="n">
        <v>7950</v>
      </c>
      <c r="B7951" s="18" t="n">
        <v>981065.374244385</v>
      </c>
      <c r="C7951" s="18" t="n">
        <v>0</v>
      </c>
      <c r="D7951" s="0" t="n">
        <v>0</v>
      </c>
      <c r="E7951" s="19" t="n">
        <v>40.5833333333333</v>
      </c>
    </row>
    <row r="7952" customFormat="false" ht="15" hidden="false" customHeight="false" outlineLevel="0" collapsed="false">
      <c r="A7952" s="0" t="n">
        <v>7951</v>
      </c>
      <c r="B7952" s="18" t="n">
        <v>904724.397018322</v>
      </c>
      <c r="C7952" s="18" t="n">
        <v>0</v>
      </c>
      <c r="D7952" s="0" t="n">
        <v>0</v>
      </c>
      <c r="E7952" s="19" t="n">
        <v>47.5833333333333</v>
      </c>
    </row>
    <row r="7953" customFormat="false" ht="15" hidden="false" customHeight="false" outlineLevel="0" collapsed="false">
      <c r="A7953" s="0" t="n">
        <v>7952</v>
      </c>
      <c r="B7953" s="18" t="n">
        <v>1682450.82925025</v>
      </c>
      <c r="C7953" s="18" t="n">
        <v>0</v>
      </c>
      <c r="D7953" s="0" t="n">
        <v>0</v>
      </c>
      <c r="E7953" s="19" t="n">
        <v>53.9166666666667</v>
      </c>
    </row>
    <row r="7954" customFormat="false" ht="15" hidden="false" customHeight="false" outlineLevel="0" collapsed="false">
      <c r="A7954" s="0" t="n">
        <v>7953</v>
      </c>
      <c r="B7954" s="18" t="n">
        <v>3004132.81601275</v>
      </c>
      <c r="C7954" s="18" t="n">
        <v>6122230.63438716</v>
      </c>
      <c r="D7954" s="0" t="n">
        <v>1</v>
      </c>
    </row>
    <row r="7955" customFormat="false" ht="15" hidden="false" customHeight="false" outlineLevel="0" collapsed="false">
      <c r="A7955" s="0" t="n">
        <v>7954</v>
      </c>
      <c r="B7955" s="18" t="n">
        <v>1107279.47883796</v>
      </c>
      <c r="C7955" s="18" t="n">
        <v>3962350.47763553</v>
      </c>
      <c r="D7955" s="0" t="n">
        <v>1</v>
      </c>
    </row>
    <row r="7956" customFormat="false" ht="15" hidden="false" customHeight="false" outlineLevel="0" collapsed="false">
      <c r="A7956" s="0" t="n">
        <v>7955</v>
      </c>
      <c r="B7956" s="18" t="n">
        <v>1001410.48483064</v>
      </c>
      <c r="C7956" s="18" t="n">
        <v>0</v>
      </c>
      <c r="D7956" s="0" t="n">
        <v>0</v>
      </c>
      <c r="E7956" s="19" t="n">
        <v>48.6666666666667</v>
      </c>
    </row>
    <row r="7957" customFormat="false" ht="15" hidden="false" customHeight="false" outlineLevel="0" collapsed="false">
      <c r="A7957" s="0" t="n">
        <v>7956</v>
      </c>
      <c r="B7957" s="18" t="n">
        <v>1067308.423791</v>
      </c>
      <c r="C7957" s="18" t="n">
        <v>4487755.29140945</v>
      </c>
      <c r="D7957" s="0" t="n">
        <v>1</v>
      </c>
    </row>
    <row r="7958" customFormat="false" ht="15" hidden="false" customHeight="false" outlineLevel="0" collapsed="false">
      <c r="A7958" s="0" t="n">
        <v>7957</v>
      </c>
      <c r="B7958" s="18" t="n">
        <v>918940.377653771</v>
      </c>
      <c r="C7958" s="18" t="n">
        <v>1889015.41902583</v>
      </c>
      <c r="D7958" s="0" t="n">
        <v>1</v>
      </c>
    </row>
    <row r="7959" customFormat="false" ht="15" hidden="false" customHeight="false" outlineLevel="0" collapsed="false">
      <c r="A7959" s="0" t="n">
        <v>7958</v>
      </c>
      <c r="B7959" s="18" t="n">
        <v>1716334.27990353</v>
      </c>
      <c r="C7959" s="18" t="n">
        <v>202442.123279803</v>
      </c>
      <c r="D7959" s="0" t="n">
        <v>1</v>
      </c>
    </row>
    <row r="7960" customFormat="false" ht="15" hidden="false" customHeight="false" outlineLevel="0" collapsed="false">
      <c r="A7960" s="0" t="n">
        <v>7959</v>
      </c>
      <c r="B7960" s="18" t="n">
        <v>1473803.42569602</v>
      </c>
      <c r="C7960" s="18" t="n">
        <v>10992455.9677629</v>
      </c>
      <c r="D7960" s="0" t="n">
        <v>1</v>
      </c>
    </row>
    <row r="7961" customFormat="false" ht="15" hidden="false" customHeight="false" outlineLevel="0" collapsed="false">
      <c r="A7961" s="0" t="n">
        <v>7960</v>
      </c>
      <c r="B7961" s="18" t="n">
        <v>1107495.75185675</v>
      </c>
      <c r="C7961" s="18" t="n">
        <v>0</v>
      </c>
      <c r="D7961" s="0" t="n">
        <v>0</v>
      </c>
      <c r="E7961" s="19" t="n">
        <v>53.3333333333333</v>
      </c>
    </row>
    <row r="7962" customFormat="false" ht="15" hidden="false" customHeight="false" outlineLevel="0" collapsed="false">
      <c r="A7962" s="0" t="n">
        <v>7961</v>
      </c>
      <c r="B7962" s="18" t="n">
        <v>335992.135272765</v>
      </c>
      <c r="C7962" s="18" t="n">
        <v>0</v>
      </c>
      <c r="D7962" s="0" t="n">
        <v>0</v>
      </c>
      <c r="E7962" s="19" t="n">
        <v>33</v>
      </c>
    </row>
    <row r="7963" customFormat="false" ht="15" hidden="false" customHeight="false" outlineLevel="0" collapsed="false">
      <c r="A7963" s="0" t="n">
        <v>7962</v>
      </c>
      <c r="B7963" s="18" t="n">
        <v>1266269.92140651</v>
      </c>
      <c r="C7963" s="18" t="n">
        <v>2568649.89093037</v>
      </c>
      <c r="D7963" s="0" t="n">
        <v>1</v>
      </c>
    </row>
    <row r="7964" customFormat="false" ht="15" hidden="false" customHeight="false" outlineLevel="0" collapsed="false">
      <c r="A7964" s="0" t="n">
        <v>7963</v>
      </c>
      <c r="B7964" s="18" t="n">
        <v>1987052.76640617</v>
      </c>
      <c r="C7964" s="18" t="n">
        <v>5199288.98864155</v>
      </c>
      <c r="D7964" s="0" t="n">
        <v>1</v>
      </c>
    </row>
    <row r="7965" customFormat="false" ht="15" hidden="false" customHeight="false" outlineLevel="0" collapsed="false">
      <c r="A7965" s="0" t="n">
        <v>7964</v>
      </c>
      <c r="B7965" s="18" t="n">
        <v>3444060.0468533</v>
      </c>
      <c r="C7965" s="18" t="n">
        <v>0</v>
      </c>
      <c r="D7965" s="0" t="n">
        <v>0</v>
      </c>
      <c r="E7965" s="19" t="n">
        <v>54.1666666666667</v>
      </c>
    </row>
    <row r="7966" customFormat="false" ht="15" hidden="false" customHeight="false" outlineLevel="0" collapsed="false">
      <c r="A7966" s="0" t="n">
        <v>7965</v>
      </c>
      <c r="B7966" s="18" t="n">
        <v>476164.299428581</v>
      </c>
      <c r="C7966" s="18" t="n">
        <v>0</v>
      </c>
      <c r="D7966" s="0" t="n">
        <v>0</v>
      </c>
      <c r="E7966" s="19" t="n">
        <v>34.3333333333333</v>
      </c>
    </row>
    <row r="7967" customFormat="false" ht="15" hidden="false" customHeight="false" outlineLevel="0" collapsed="false">
      <c r="A7967" s="0" t="n">
        <v>7966</v>
      </c>
      <c r="B7967" s="18" t="n">
        <v>848807.700440697</v>
      </c>
      <c r="C7967" s="18" t="n">
        <v>0</v>
      </c>
      <c r="D7967" s="0" t="n">
        <v>0</v>
      </c>
      <c r="E7967" s="19" t="n">
        <v>36.5</v>
      </c>
    </row>
    <row r="7968" customFormat="false" ht="15" hidden="false" customHeight="false" outlineLevel="0" collapsed="false">
      <c r="A7968" s="0" t="n">
        <v>7967</v>
      </c>
      <c r="B7968" s="18" t="n">
        <v>958224.687961954</v>
      </c>
      <c r="C7968" s="18" t="n">
        <v>12371780.4600562</v>
      </c>
      <c r="D7968" s="0" t="n">
        <v>1</v>
      </c>
    </row>
    <row r="7969" customFormat="false" ht="15" hidden="false" customHeight="false" outlineLevel="0" collapsed="false">
      <c r="A7969" s="0" t="n">
        <v>7968</v>
      </c>
      <c r="B7969" s="18" t="n">
        <v>1182098.50472164</v>
      </c>
      <c r="C7969" s="18" t="n">
        <v>1461064.97263682</v>
      </c>
      <c r="D7969" s="0" t="n">
        <v>1</v>
      </c>
    </row>
    <row r="7970" customFormat="false" ht="15" hidden="false" customHeight="false" outlineLevel="0" collapsed="false">
      <c r="A7970" s="0" t="n">
        <v>7969</v>
      </c>
      <c r="B7970" s="18" t="n">
        <v>586931.838405785</v>
      </c>
      <c r="C7970" s="18" t="n">
        <v>0</v>
      </c>
      <c r="D7970" s="0" t="n">
        <v>0</v>
      </c>
      <c r="E7970" s="19" t="n">
        <v>36.25</v>
      </c>
    </row>
    <row r="7971" customFormat="false" ht="15" hidden="false" customHeight="false" outlineLevel="0" collapsed="false">
      <c r="A7971" s="0" t="n">
        <v>7970</v>
      </c>
      <c r="B7971" s="18" t="n">
        <v>482387.969412512</v>
      </c>
      <c r="C7971" s="18" t="n">
        <v>0</v>
      </c>
      <c r="D7971" s="0" t="n">
        <v>0</v>
      </c>
      <c r="E7971" s="19" t="n">
        <v>37.5833333333333</v>
      </c>
    </row>
    <row r="7972" customFormat="false" ht="15" hidden="false" customHeight="false" outlineLevel="0" collapsed="false">
      <c r="A7972" s="0" t="n">
        <v>7971</v>
      </c>
      <c r="B7972" s="18" t="n">
        <v>848667.298427596</v>
      </c>
      <c r="C7972" s="18" t="n">
        <v>0</v>
      </c>
      <c r="D7972" s="0" t="n">
        <v>0</v>
      </c>
      <c r="E7972" s="19" t="n">
        <v>41.1666666666667</v>
      </c>
    </row>
    <row r="7973" customFormat="false" ht="15" hidden="false" customHeight="false" outlineLevel="0" collapsed="false">
      <c r="A7973" s="0" t="n">
        <v>7972</v>
      </c>
      <c r="B7973" s="18" t="n">
        <v>2339589.59654602</v>
      </c>
      <c r="C7973" s="18" t="n">
        <v>4163048.8240076</v>
      </c>
      <c r="D7973" s="0" t="n">
        <v>1</v>
      </c>
    </row>
    <row r="7974" customFormat="false" ht="15" hidden="false" customHeight="false" outlineLevel="0" collapsed="false">
      <c r="A7974" s="0" t="n">
        <v>7973</v>
      </c>
      <c r="B7974" s="18" t="n">
        <v>1027960.67475183</v>
      </c>
      <c r="C7974" s="18" t="n">
        <v>0</v>
      </c>
      <c r="D7974" s="0" t="n">
        <v>0</v>
      </c>
      <c r="E7974" s="19" t="n">
        <v>44.4166666666667</v>
      </c>
    </row>
    <row r="7975" customFormat="false" ht="15" hidden="false" customHeight="false" outlineLevel="0" collapsed="false">
      <c r="A7975" s="0" t="n">
        <v>7974</v>
      </c>
      <c r="B7975" s="18" t="n">
        <v>702574.193221942</v>
      </c>
      <c r="C7975" s="18" t="n">
        <v>264063.920490902</v>
      </c>
      <c r="D7975" s="0" t="n">
        <v>1</v>
      </c>
    </row>
    <row r="7976" customFormat="false" ht="15" hidden="false" customHeight="false" outlineLevel="0" collapsed="false">
      <c r="A7976" s="0" t="n">
        <v>7975</v>
      </c>
      <c r="B7976" s="18" t="n">
        <v>813746.465480955</v>
      </c>
      <c r="C7976" s="18" t="n">
        <v>0</v>
      </c>
      <c r="D7976" s="0" t="n">
        <v>0</v>
      </c>
      <c r="E7976" s="19" t="n">
        <v>36.25</v>
      </c>
    </row>
    <row r="7977" customFormat="false" ht="15" hidden="false" customHeight="false" outlineLevel="0" collapsed="false">
      <c r="A7977" s="0" t="n">
        <v>7976</v>
      </c>
      <c r="B7977" s="18" t="n">
        <v>325471.225800792</v>
      </c>
      <c r="C7977" s="18" t="n">
        <v>0</v>
      </c>
      <c r="D7977" s="0" t="n">
        <v>0</v>
      </c>
      <c r="E7977" s="19" t="n">
        <v>31</v>
      </c>
    </row>
    <row r="7978" customFormat="false" ht="15" hidden="false" customHeight="false" outlineLevel="0" collapsed="false">
      <c r="A7978" s="0" t="n">
        <v>7977</v>
      </c>
      <c r="B7978" s="18" t="n">
        <v>908863.254070864</v>
      </c>
      <c r="C7978" s="18" t="n">
        <v>0</v>
      </c>
      <c r="D7978" s="0" t="n">
        <v>0</v>
      </c>
      <c r="E7978" s="19" t="n">
        <v>40.9166666666667</v>
      </c>
    </row>
    <row r="7979" customFormat="false" ht="15" hidden="false" customHeight="false" outlineLevel="0" collapsed="false">
      <c r="A7979" s="0" t="n">
        <v>7978</v>
      </c>
      <c r="B7979" s="18" t="n">
        <v>432916.981185203</v>
      </c>
      <c r="C7979" s="18" t="n">
        <v>0</v>
      </c>
      <c r="D7979" s="0" t="n">
        <v>0</v>
      </c>
      <c r="E7979" s="19" t="n">
        <v>35.9166666666667</v>
      </c>
    </row>
    <row r="7980" customFormat="false" ht="15" hidden="false" customHeight="false" outlineLevel="0" collapsed="false">
      <c r="A7980" s="0" t="n">
        <v>7979</v>
      </c>
      <c r="B7980" s="18" t="n">
        <v>1590359.97683783</v>
      </c>
      <c r="C7980" s="18" t="n">
        <v>1605853.79791518</v>
      </c>
      <c r="D7980" s="0" t="n">
        <v>1</v>
      </c>
    </row>
    <row r="7981" customFormat="false" ht="15" hidden="false" customHeight="false" outlineLevel="0" collapsed="false">
      <c r="A7981" s="0" t="n">
        <v>7980</v>
      </c>
      <c r="B7981" s="18" t="n">
        <v>582226.712049652</v>
      </c>
      <c r="C7981" s="18" t="n">
        <v>0</v>
      </c>
      <c r="D7981" s="0" t="n">
        <v>0</v>
      </c>
      <c r="E7981" s="19" t="n">
        <v>33.9166666666667</v>
      </c>
    </row>
    <row r="7982" customFormat="false" ht="15" hidden="false" customHeight="false" outlineLevel="0" collapsed="false">
      <c r="A7982" s="0" t="n">
        <v>7981</v>
      </c>
      <c r="B7982" s="18" t="n">
        <v>613451.357166342</v>
      </c>
      <c r="C7982" s="18" t="n">
        <v>0</v>
      </c>
      <c r="D7982" s="0" t="n">
        <v>0</v>
      </c>
      <c r="E7982" s="19" t="n">
        <v>38.75</v>
      </c>
    </row>
    <row r="7983" customFormat="false" ht="15" hidden="false" customHeight="false" outlineLevel="0" collapsed="false">
      <c r="A7983" s="0" t="n">
        <v>7982</v>
      </c>
      <c r="B7983" s="18" t="n">
        <v>1153296.76139063</v>
      </c>
      <c r="C7983" s="18" t="n">
        <v>0</v>
      </c>
      <c r="D7983" s="0" t="n">
        <v>0</v>
      </c>
      <c r="E7983" s="19" t="n">
        <v>46.6666666666667</v>
      </c>
    </row>
    <row r="7984" customFormat="false" ht="15" hidden="false" customHeight="false" outlineLevel="0" collapsed="false">
      <c r="A7984" s="0" t="n">
        <v>7983</v>
      </c>
      <c r="B7984" s="18" t="n">
        <v>683819.487547544</v>
      </c>
      <c r="C7984" s="18" t="n">
        <v>0</v>
      </c>
      <c r="D7984" s="0" t="n">
        <v>0</v>
      </c>
      <c r="E7984" s="19" t="n">
        <v>39.75</v>
      </c>
    </row>
    <row r="7985" customFormat="false" ht="15" hidden="false" customHeight="false" outlineLevel="0" collapsed="false">
      <c r="A7985" s="0" t="n">
        <v>7984</v>
      </c>
      <c r="B7985" s="18" t="n">
        <v>409708.643909749</v>
      </c>
      <c r="C7985" s="18" t="n">
        <v>0</v>
      </c>
      <c r="D7985" s="0" t="n">
        <v>0</v>
      </c>
      <c r="E7985" s="19" t="n">
        <v>30.75</v>
      </c>
    </row>
    <row r="7986" customFormat="false" ht="15" hidden="false" customHeight="false" outlineLevel="0" collapsed="false">
      <c r="A7986" s="0" t="n">
        <v>7985</v>
      </c>
      <c r="B7986" s="18" t="n">
        <v>1141953.46161856</v>
      </c>
      <c r="C7986" s="18" t="n">
        <v>0</v>
      </c>
      <c r="D7986" s="0" t="n">
        <v>0</v>
      </c>
      <c r="E7986" s="19" t="n">
        <v>38.1666666666667</v>
      </c>
    </row>
    <row r="7987" customFormat="false" ht="15" hidden="false" customHeight="false" outlineLevel="0" collapsed="false">
      <c r="A7987" s="0" t="n">
        <v>7986</v>
      </c>
      <c r="B7987" s="18" t="n">
        <v>1893558.38401533</v>
      </c>
      <c r="C7987" s="18" t="n">
        <v>34804537.8036299</v>
      </c>
      <c r="D7987" s="0" t="n">
        <v>1</v>
      </c>
    </row>
    <row r="7988" customFormat="false" ht="15" hidden="false" customHeight="false" outlineLevel="0" collapsed="false">
      <c r="A7988" s="0" t="n">
        <v>7987</v>
      </c>
      <c r="B7988" s="18" t="n">
        <v>554631.051004064</v>
      </c>
      <c r="C7988" s="18" t="n">
        <v>0</v>
      </c>
      <c r="D7988" s="0" t="n">
        <v>0</v>
      </c>
      <c r="E7988" s="19" t="n">
        <v>38.9166666666667</v>
      </c>
    </row>
    <row r="7989" customFormat="false" ht="15" hidden="false" customHeight="false" outlineLevel="0" collapsed="false">
      <c r="A7989" s="0" t="n">
        <v>7988</v>
      </c>
      <c r="B7989" s="18" t="n">
        <v>887062.787913107</v>
      </c>
      <c r="C7989" s="18" t="n">
        <v>0</v>
      </c>
      <c r="D7989" s="0" t="n">
        <v>0</v>
      </c>
      <c r="E7989" s="19" t="n">
        <v>41.5</v>
      </c>
    </row>
    <row r="7990" customFormat="false" ht="15" hidden="false" customHeight="false" outlineLevel="0" collapsed="false">
      <c r="A7990" s="0" t="n">
        <v>7989</v>
      </c>
      <c r="B7990" s="18" t="n">
        <v>492936.219539551</v>
      </c>
      <c r="C7990" s="18" t="n">
        <v>0</v>
      </c>
      <c r="D7990" s="0" t="n">
        <v>0</v>
      </c>
      <c r="E7990" s="19" t="n">
        <v>31.6666666666667</v>
      </c>
    </row>
    <row r="7991" customFormat="false" ht="15" hidden="false" customHeight="false" outlineLevel="0" collapsed="false">
      <c r="A7991" s="0" t="n">
        <v>7990</v>
      </c>
      <c r="B7991" s="18" t="n">
        <v>751066.552066466</v>
      </c>
      <c r="C7991" s="18" t="n">
        <v>0</v>
      </c>
      <c r="D7991" s="0" t="n">
        <v>0</v>
      </c>
      <c r="E7991" s="19" t="n">
        <v>41.0833333333333</v>
      </c>
    </row>
    <row r="7992" customFormat="false" ht="15" hidden="false" customHeight="false" outlineLevel="0" collapsed="false">
      <c r="A7992" s="0" t="n">
        <v>7991</v>
      </c>
      <c r="B7992" s="18" t="n">
        <v>995267.300326925</v>
      </c>
      <c r="C7992" s="18" t="n">
        <v>0</v>
      </c>
      <c r="D7992" s="0" t="n">
        <v>0</v>
      </c>
      <c r="E7992" s="19" t="n">
        <v>41.75</v>
      </c>
    </row>
    <row r="7993" customFormat="false" ht="15" hidden="false" customHeight="false" outlineLevel="0" collapsed="false">
      <c r="A7993" s="0" t="n">
        <v>7992</v>
      </c>
      <c r="B7993" s="18" t="n">
        <v>729534.626383817</v>
      </c>
      <c r="C7993" s="18" t="n">
        <v>0</v>
      </c>
      <c r="D7993" s="0" t="n">
        <v>0</v>
      </c>
      <c r="E7993" s="19" t="n">
        <v>34.1666666666667</v>
      </c>
    </row>
    <row r="7994" customFormat="false" ht="15" hidden="false" customHeight="false" outlineLevel="0" collapsed="false">
      <c r="A7994" s="0" t="n">
        <v>7993</v>
      </c>
      <c r="B7994" s="18" t="n">
        <v>1090795.77018415</v>
      </c>
      <c r="C7994" s="18" t="n">
        <v>0</v>
      </c>
      <c r="D7994" s="0" t="n">
        <v>0</v>
      </c>
      <c r="E7994" s="19" t="n">
        <v>47.4166666666667</v>
      </c>
    </row>
    <row r="7995" customFormat="false" ht="15" hidden="false" customHeight="false" outlineLevel="0" collapsed="false">
      <c r="A7995" s="0" t="n">
        <v>7994</v>
      </c>
      <c r="B7995" s="18" t="n">
        <v>577482.708332993</v>
      </c>
      <c r="C7995" s="18" t="n">
        <v>0</v>
      </c>
      <c r="D7995" s="0" t="n">
        <v>0</v>
      </c>
      <c r="E7995" s="19" t="n">
        <v>36.5</v>
      </c>
    </row>
    <row r="7996" customFormat="false" ht="15" hidden="false" customHeight="false" outlineLevel="0" collapsed="false">
      <c r="A7996" s="0" t="n">
        <v>7995</v>
      </c>
      <c r="B7996" s="18" t="n">
        <v>625620.831941422</v>
      </c>
      <c r="C7996" s="18" t="n">
        <v>413534.713705423</v>
      </c>
      <c r="D7996" s="0" t="n">
        <v>1</v>
      </c>
    </row>
    <row r="7997" customFormat="false" ht="15" hidden="false" customHeight="false" outlineLevel="0" collapsed="false">
      <c r="A7997" s="0" t="n">
        <v>7996</v>
      </c>
      <c r="B7997" s="18" t="n">
        <v>996782.905705994</v>
      </c>
      <c r="C7997" s="18" t="n">
        <v>0</v>
      </c>
      <c r="D7997" s="0" t="n">
        <v>0</v>
      </c>
      <c r="E7997" s="19" t="n">
        <v>44.75</v>
      </c>
    </row>
    <row r="7998" customFormat="false" ht="15" hidden="false" customHeight="false" outlineLevel="0" collapsed="false">
      <c r="A7998" s="0" t="n">
        <v>7997</v>
      </c>
      <c r="B7998" s="18" t="n">
        <v>1261298.33405227</v>
      </c>
      <c r="C7998" s="18" t="n">
        <v>1498980.22981405</v>
      </c>
      <c r="D7998" s="0" t="n">
        <v>1</v>
      </c>
    </row>
    <row r="7999" customFormat="false" ht="15" hidden="false" customHeight="false" outlineLevel="0" collapsed="false">
      <c r="A7999" s="0" t="n">
        <v>7998</v>
      </c>
      <c r="B7999" s="18" t="n">
        <v>841600.638759177</v>
      </c>
      <c r="C7999" s="18" t="n">
        <v>0</v>
      </c>
      <c r="D7999" s="0" t="n">
        <v>0</v>
      </c>
      <c r="E7999" s="19" t="n">
        <v>53.6666666666667</v>
      </c>
    </row>
    <row r="8000" customFormat="false" ht="15" hidden="false" customHeight="false" outlineLevel="0" collapsed="false">
      <c r="A8000" s="0" t="n">
        <v>7999</v>
      </c>
      <c r="B8000" s="18" t="n">
        <v>516462.721864727</v>
      </c>
      <c r="C8000" s="18" t="n">
        <v>0</v>
      </c>
      <c r="D8000" s="0" t="n">
        <v>0</v>
      </c>
      <c r="E8000" s="19" t="n">
        <v>36.25</v>
      </c>
    </row>
    <row r="8001" customFormat="false" ht="15" hidden="false" customHeight="false" outlineLevel="0" collapsed="false">
      <c r="A8001" s="0" t="n">
        <v>8000</v>
      </c>
      <c r="B8001" s="18" t="n">
        <v>688910.094044225</v>
      </c>
      <c r="C8001" s="18" t="n">
        <v>2528009.82605812</v>
      </c>
      <c r="D8001" s="0" t="n">
        <v>1</v>
      </c>
    </row>
    <row r="8002" customFormat="false" ht="15" hidden="false" customHeight="false" outlineLevel="0" collapsed="false">
      <c r="A8002" s="0" t="n">
        <v>8001</v>
      </c>
      <c r="B8002" s="18" t="n">
        <v>599072.864150141</v>
      </c>
      <c r="C8002" s="18" t="n">
        <v>0</v>
      </c>
      <c r="D8002" s="0" t="n">
        <v>0</v>
      </c>
      <c r="E8002" s="19" t="n">
        <v>35.6666666666667</v>
      </c>
    </row>
    <row r="8003" customFormat="false" ht="15" hidden="false" customHeight="false" outlineLevel="0" collapsed="false">
      <c r="A8003" s="0" t="n">
        <v>8002</v>
      </c>
      <c r="B8003" s="18" t="n">
        <v>3478446.63065026</v>
      </c>
      <c r="C8003" s="18" t="n">
        <v>3451520.2605926</v>
      </c>
      <c r="D8003" s="0" t="n">
        <v>1</v>
      </c>
    </row>
    <row r="8004" customFormat="false" ht="15" hidden="false" customHeight="false" outlineLevel="0" collapsed="false">
      <c r="A8004" s="0" t="n">
        <v>8003</v>
      </c>
      <c r="B8004" s="18" t="n">
        <v>1017090.27832185</v>
      </c>
      <c r="C8004" s="18" t="n">
        <v>0</v>
      </c>
      <c r="D8004" s="0" t="n">
        <v>0</v>
      </c>
      <c r="E8004" s="19" t="n">
        <v>35.75</v>
      </c>
    </row>
    <row r="8005" customFormat="false" ht="15" hidden="false" customHeight="false" outlineLevel="0" collapsed="false">
      <c r="A8005" s="0" t="n">
        <v>8004</v>
      </c>
      <c r="B8005" s="18" t="n">
        <v>481663.069005065</v>
      </c>
      <c r="C8005" s="18" t="n">
        <v>0</v>
      </c>
      <c r="D8005" s="0" t="n">
        <v>0</v>
      </c>
      <c r="E8005" s="19" t="n">
        <v>32</v>
      </c>
    </row>
    <row r="8006" customFormat="false" ht="15" hidden="false" customHeight="false" outlineLevel="0" collapsed="false">
      <c r="A8006" s="0" t="n">
        <v>8005</v>
      </c>
      <c r="B8006" s="18" t="n">
        <v>546483.552973299</v>
      </c>
      <c r="C8006" s="18" t="n">
        <v>0</v>
      </c>
      <c r="D8006" s="0" t="n">
        <v>0</v>
      </c>
      <c r="E8006" s="19" t="n">
        <v>35.3333333333333</v>
      </c>
    </row>
    <row r="8007" customFormat="false" ht="15" hidden="false" customHeight="false" outlineLevel="0" collapsed="false">
      <c r="A8007" s="0" t="n">
        <v>8006</v>
      </c>
      <c r="B8007" s="18" t="n">
        <v>222727.370013408</v>
      </c>
      <c r="C8007" s="18" t="n">
        <v>0</v>
      </c>
      <c r="D8007" s="0" t="n">
        <v>0</v>
      </c>
      <c r="E8007" s="19" t="n">
        <v>28</v>
      </c>
    </row>
    <row r="8008" customFormat="false" ht="15" hidden="false" customHeight="false" outlineLevel="0" collapsed="false">
      <c r="A8008" s="0" t="n">
        <v>8007</v>
      </c>
      <c r="B8008" s="18" t="n">
        <v>1547847.33760704</v>
      </c>
      <c r="C8008" s="18" t="n">
        <v>649772.418648362</v>
      </c>
      <c r="D8008" s="0" t="n">
        <v>1</v>
      </c>
    </row>
    <row r="8009" customFormat="false" ht="15" hidden="false" customHeight="false" outlineLevel="0" collapsed="false">
      <c r="A8009" s="0" t="n">
        <v>8008</v>
      </c>
      <c r="B8009" s="18" t="n">
        <v>612981.557982705</v>
      </c>
      <c r="C8009" s="18" t="n">
        <v>0</v>
      </c>
      <c r="D8009" s="0" t="n">
        <v>0</v>
      </c>
      <c r="E8009" s="19" t="n">
        <v>37.3333333333333</v>
      </c>
    </row>
    <row r="8010" customFormat="false" ht="15" hidden="false" customHeight="false" outlineLevel="0" collapsed="false">
      <c r="A8010" s="0" t="n">
        <v>8009</v>
      </c>
      <c r="B8010" s="18" t="n">
        <v>648118.2106567</v>
      </c>
      <c r="C8010" s="18" t="n">
        <v>0</v>
      </c>
      <c r="D8010" s="0" t="n">
        <v>0</v>
      </c>
      <c r="E8010" s="19" t="n">
        <v>35.4166666666667</v>
      </c>
    </row>
    <row r="8011" customFormat="false" ht="15" hidden="false" customHeight="false" outlineLevel="0" collapsed="false">
      <c r="A8011" s="0" t="n">
        <v>8010</v>
      </c>
      <c r="B8011" s="18" t="n">
        <v>572627.525590778</v>
      </c>
      <c r="C8011" s="18" t="n">
        <v>0</v>
      </c>
      <c r="D8011" s="0" t="n">
        <v>0</v>
      </c>
      <c r="E8011" s="19" t="n">
        <v>35.75</v>
      </c>
    </row>
    <row r="8012" customFormat="false" ht="15" hidden="false" customHeight="false" outlineLevel="0" collapsed="false">
      <c r="A8012" s="0" t="n">
        <v>8011</v>
      </c>
      <c r="B8012" s="18" t="n">
        <v>1722223.96136062</v>
      </c>
      <c r="C8012" s="18" t="n">
        <v>1819520.81130912</v>
      </c>
      <c r="D8012" s="0" t="n">
        <v>1</v>
      </c>
    </row>
    <row r="8013" customFormat="false" ht="15" hidden="false" customHeight="false" outlineLevel="0" collapsed="false">
      <c r="A8013" s="0" t="n">
        <v>8012</v>
      </c>
      <c r="B8013" s="18" t="n">
        <v>2194711.2370276</v>
      </c>
      <c r="C8013" s="18" t="n">
        <v>44534.6037293794</v>
      </c>
      <c r="D8013" s="0" t="n">
        <v>1</v>
      </c>
    </row>
    <row r="8014" customFormat="false" ht="15" hidden="false" customHeight="false" outlineLevel="0" collapsed="false">
      <c r="A8014" s="0" t="n">
        <v>8013</v>
      </c>
      <c r="B8014" s="18" t="n">
        <v>579485.757499715</v>
      </c>
      <c r="C8014" s="18" t="n">
        <v>0</v>
      </c>
      <c r="D8014" s="0" t="n">
        <v>0</v>
      </c>
      <c r="E8014" s="19" t="n">
        <v>35.5</v>
      </c>
    </row>
    <row r="8015" customFormat="false" ht="15" hidden="false" customHeight="false" outlineLevel="0" collapsed="false">
      <c r="A8015" s="0" t="n">
        <v>8014</v>
      </c>
      <c r="B8015" s="18" t="n">
        <v>569570.336784668</v>
      </c>
      <c r="C8015" s="18" t="n">
        <v>0</v>
      </c>
      <c r="D8015" s="0" t="n">
        <v>0</v>
      </c>
      <c r="E8015" s="19" t="n">
        <v>32.6666666666667</v>
      </c>
    </row>
    <row r="8016" customFormat="false" ht="15" hidden="false" customHeight="false" outlineLevel="0" collapsed="false">
      <c r="A8016" s="0" t="n">
        <v>8015</v>
      </c>
      <c r="B8016" s="18" t="n">
        <v>1397109.3324679</v>
      </c>
      <c r="C8016" s="18" t="n">
        <v>0</v>
      </c>
      <c r="D8016" s="0" t="n">
        <v>0</v>
      </c>
      <c r="E8016" s="19" t="n">
        <v>45.25</v>
      </c>
    </row>
    <row r="8017" customFormat="false" ht="15" hidden="false" customHeight="false" outlineLevel="0" collapsed="false">
      <c r="A8017" s="0" t="n">
        <v>8016</v>
      </c>
      <c r="B8017" s="18" t="n">
        <v>519697.926337804</v>
      </c>
      <c r="C8017" s="18" t="n">
        <v>0</v>
      </c>
      <c r="D8017" s="0" t="n">
        <v>0</v>
      </c>
      <c r="E8017" s="19" t="n">
        <v>33.5</v>
      </c>
    </row>
    <row r="8018" customFormat="false" ht="15" hidden="false" customHeight="false" outlineLevel="0" collapsed="false">
      <c r="A8018" s="0" t="n">
        <v>8017</v>
      </c>
      <c r="B8018" s="18" t="n">
        <v>1014991.26179683</v>
      </c>
      <c r="C8018" s="18" t="n">
        <v>1697534.85088714</v>
      </c>
      <c r="D8018" s="0" t="n">
        <v>1</v>
      </c>
    </row>
    <row r="8019" customFormat="false" ht="15" hidden="false" customHeight="false" outlineLevel="0" collapsed="false">
      <c r="A8019" s="0" t="n">
        <v>8018</v>
      </c>
      <c r="B8019" s="18" t="n">
        <v>813442.279741377</v>
      </c>
      <c r="C8019" s="18" t="n">
        <v>0</v>
      </c>
      <c r="D8019" s="0" t="n">
        <v>0</v>
      </c>
      <c r="E8019" s="19" t="n">
        <v>39.75</v>
      </c>
    </row>
    <row r="8020" customFormat="false" ht="15" hidden="false" customHeight="false" outlineLevel="0" collapsed="false">
      <c r="A8020" s="0" t="n">
        <v>8019</v>
      </c>
      <c r="B8020" s="18" t="n">
        <v>804665.603715273</v>
      </c>
      <c r="C8020" s="18" t="n">
        <v>0</v>
      </c>
      <c r="D8020" s="0" t="n">
        <v>0</v>
      </c>
      <c r="E8020" s="19" t="n">
        <v>37.25</v>
      </c>
    </row>
    <row r="8021" customFormat="false" ht="15" hidden="false" customHeight="false" outlineLevel="0" collapsed="false">
      <c r="A8021" s="0" t="n">
        <v>8020</v>
      </c>
      <c r="B8021" s="18" t="n">
        <v>1352527.37563236</v>
      </c>
      <c r="C8021" s="18" t="n">
        <v>11066147.8481987</v>
      </c>
      <c r="D8021" s="0" t="n">
        <v>1</v>
      </c>
    </row>
    <row r="8022" customFormat="false" ht="15" hidden="false" customHeight="false" outlineLevel="0" collapsed="false">
      <c r="A8022" s="0" t="n">
        <v>8021</v>
      </c>
      <c r="B8022" s="18" t="n">
        <v>1390603.03644362</v>
      </c>
      <c r="C8022" s="18" t="n">
        <v>0</v>
      </c>
      <c r="D8022" s="0" t="n">
        <v>0</v>
      </c>
      <c r="E8022" s="19" t="n">
        <v>44.0833333333333</v>
      </c>
    </row>
    <row r="8023" customFormat="false" ht="15" hidden="false" customHeight="false" outlineLevel="0" collapsed="false">
      <c r="A8023" s="0" t="n">
        <v>8022</v>
      </c>
      <c r="B8023" s="18" t="n">
        <v>1492829.16172458</v>
      </c>
      <c r="C8023" s="18" t="n">
        <v>24324381.0573637</v>
      </c>
      <c r="D8023" s="0" t="n">
        <v>1</v>
      </c>
    </row>
    <row r="8024" customFormat="false" ht="15" hidden="false" customHeight="false" outlineLevel="0" collapsed="false">
      <c r="A8024" s="0" t="n">
        <v>8023</v>
      </c>
      <c r="B8024" s="18" t="n">
        <v>757500.703073968</v>
      </c>
      <c r="C8024" s="18" t="n">
        <v>328123.447393602</v>
      </c>
      <c r="D8024" s="0" t="n">
        <v>1</v>
      </c>
    </row>
    <row r="8025" customFormat="false" ht="15" hidden="false" customHeight="false" outlineLevel="0" collapsed="false">
      <c r="A8025" s="0" t="n">
        <v>8024</v>
      </c>
      <c r="B8025" s="18" t="n">
        <v>2859646.69851162</v>
      </c>
      <c r="C8025" s="18" t="n">
        <v>31907092.9395633</v>
      </c>
      <c r="D8025" s="0" t="n">
        <v>1</v>
      </c>
    </row>
    <row r="8026" customFormat="false" ht="15" hidden="false" customHeight="false" outlineLevel="0" collapsed="false">
      <c r="A8026" s="0" t="n">
        <v>8025</v>
      </c>
      <c r="B8026" s="18" t="n">
        <v>1350352.86238267</v>
      </c>
      <c r="C8026" s="18" t="n">
        <v>17945944.5937219</v>
      </c>
      <c r="D8026" s="0" t="n">
        <v>1</v>
      </c>
    </row>
    <row r="8027" customFormat="false" ht="15" hidden="false" customHeight="false" outlineLevel="0" collapsed="false">
      <c r="A8027" s="0" t="n">
        <v>8026</v>
      </c>
      <c r="B8027" s="18" t="n">
        <v>1540414.0189093</v>
      </c>
      <c r="C8027" s="18" t="n">
        <v>0</v>
      </c>
      <c r="D8027" s="0" t="n">
        <v>0</v>
      </c>
      <c r="E8027" s="19" t="n">
        <v>49.1666666666667</v>
      </c>
    </row>
    <row r="8028" customFormat="false" ht="15" hidden="false" customHeight="false" outlineLevel="0" collapsed="false">
      <c r="A8028" s="0" t="n">
        <v>8027</v>
      </c>
      <c r="B8028" s="18" t="n">
        <v>565483.487926744</v>
      </c>
      <c r="C8028" s="18" t="n">
        <v>0</v>
      </c>
      <c r="D8028" s="0" t="n">
        <v>0</v>
      </c>
      <c r="E8028" s="19" t="n">
        <v>35.8333333333333</v>
      </c>
    </row>
    <row r="8029" customFormat="false" ht="15" hidden="false" customHeight="false" outlineLevel="0" collapsed="false">
      <c r="A8029" s="0" t="n">
        <v>8028</v>
      </c>
      <c r="B8029" s="18" t="n">
        <v>830596.834163942</v>
      </c>
      <c r="C8029" s="18" t="n">
        <v>0</v>
      </c>
      <c r="D8029" s="0" t="n">
        <v>0</v>
      </c>
      <c r="E8029" s="19" t="n">
        <v>40.5833333333333</v>
      </c>
    </row>
    <row r="8030" customFormat="false" ht="15" hidden="false" customHeight="false" outlineLevel="0" collapsed="false">
      <c r="A8030" s="0" t="n">
        <v>8029</v>
      </c>
      <c r="B8030" s="18" t="n">
        <v>1347707.22879711</v>
      </c>
      <c r="C8030" s="18" t="n">
        <v>10092844.9101444</v>
      </c>
      <c r="D8030" s="0" t="n">
        <v>1</v>
      </c>
    </row>
    <row r="8031" customFormat="false" ht="15" hidden="false" customHeight="false" outlineLevel="0" collapsed="false">
      <c r="A8031" s="0" t="n">
        <v>8030</v>
      </c>
      <c r="B8031" s="18" t="n">
        <v>1254469.58788818</v>
      </c>
      <c r="C8031" s="18" t="n">
        <v>0</v>
      </c>
      <c r="D8031" s="0" t="n">
        <v>0</v>
      </c>
      <c r="E8031" s="19" t="n">
        <v>47.3333333333333</v>
      </c>
    </row>
    <row r="8032" customFormat="false" ht="15" hidden="false" customHeight="false" outlineLevel="0" collapsed="false">
      <c r="A8032" s="0" t="n">
        <v>8031</v>
      </c>
      <c r="B8032" s="18" t="n">
        <v>552910.992186377</v>
      </c>
      <c r="C8032" s="18" t="n">
        <v>0</v>
      </c>
      <c r="D8032" s="0" t="n">
        <v>0</v>
      </c>
      <c r="E8032" s="19" t="n">
        <v>38.6666666666667</v>
      </c>
    </row>
    <row r="8033" customFormat="false" ht="15" hidden="false" customHeight="false" outlineLevel="0" collapsed="false">
      <c r="A8033" s="0" t="n">
        <v>8032</v>
      </c>
      <c r="B8033" s="18" t="n">
        <v>626078.266418894</v>
      </c>
      <c r="C8033" s="18" t="n">
        <v>0</v>
      </c>
      <c r="D8033" s="0" t="n">
        <v>0</v>
      </c>
      <c r="E8033" s="19" t="n">
        <v>43.9166666666667</v>
      </c>
    </row>
    <row r="8034" customFormat="false" ht="15" hidden="false" customHeight="false" outlineLevel="0" collapsed="false">
      <c r="A8034" s="0" t="n">
        <v>8033</v>
      </c>
      <c r="B8034" s="18" t="n">
        <v>1216034.2536362</v>
      </c>
      <c r="C8034" s="18" t="n">
        <v>1545234.53704307</v>
      </c>
      <c r="D8034" s="0" t="n">
        <v>1</v>
      </c>
    </row>
    <row r="8035" customFormat="false" ht="15" hidden="false" customHeight="false" outlineLevel="0" collapsed="false">
      <c r="A8035" s="0" t="n">
        <v>8034</v>
      </c>
      <c r="B8035" s="18" t="n">
        <v>842744.015570125</v>
      </c>
      <c r="C8035" s="18" t="n">
        <v>525491.036793095</v>
      </c>
      <c r="D8035" s="0" t="n">
        <v>1</v>
      </c>
    </row>
    <row r="8036" customFormat="false" ht="15" hidden="false" customHeight="false" outlineLevel="0" collapsed="false">
      <c r="A8036" s="0" t="n">
        <v>8035</v>
      </c>
      <c r="B8036" s="18" t="n">
        <v>943113.022670661</v>
      </c>
      <c r="C8036" s="18" t="n">
        <v>2661486.2931169</v>
      </c>
      <c r="D8036" s="0" t="n">
        <v>1</v>
      </c>
    </row>
    <row r="8037" customFormat="false" ht="15" hidden="false" customHeight="false" outlineLevel="0" collapsed="false">
      <c r="A8037" s="0" t="n">
        <v>8036</v>
      </c>
      <c r="B8037" s="18" t="n">
        <v>2225049.944875</v>
      </c>
      <c r="C8037" s="18" t="n">
        <v>6538292.01597781</v>
      </c>
      <c r="D8037" s="0" t="n">
        <v>1</v>
      </c>
    </row>
    <row r="8038" customFormat="false" ht="15" hidden="false" customHeight="false" outlineLevel="0" collapsed="false">
      <c r="A8038" s="0" t="n">
        <v>8037</v>
      </c>
      <c r="B8038" s="18" t="n">
        <v>1828551.66265391</v>
      </c>
      <c r="C8038" s="18" t="n">
        <v>2312249.60241903</v>
      </c>
      <c r="D8038" s="0" t="n">
        <v>1</v>
      </c>
    </row>
    <row r="8039" customFormat="false" ht="15" hidden="false" customHeight="false" outlineLevel="0" collapsed="false">
      <c r="A8039" s="0" t="n">
        <v>8038</v>
      </c>
      <c r="B8039" s="18" t="n">
        <v>2417772.88899786</v>
      </c>
      <c r="C8039" s="18" t="n">
        <v>4628088.43264976</v>
      </c>
      <c r="D8039" s="0" t="n">
        <v>1</v>
      </c>
    </row>
    <row r="8040" customFormat="false" ht="15" hidden="false" customHeight="false" outlineLevel="0" collapsed="false">
      <c r="A8040" s="0" t="n">
        <v>8039</v>
      </c>
      <c r="B8040" s="18" t="n">
        <v>1768399.9075169</v>
      </c>
      <c r="C8040" s="18" t="n">
        <v>0</v>
      </c>
      <c r="D8040" s="0" t="n">
        <v>0</v>
      </c>
      <c r="E8040" s="19" t="n">
        <v>54.3333333333333</v>
      </c>
    </row>
    <row r="8041" customFormat="false" ht="15" hidden="false" customHeight="false" outlineLevel="0" collapsed="false">
      <c r="A8041" s="0" t="n">
        <v>8040</v>
      </c>
      <c r="B8041" s="18" t="n">
        <v>895487.390030226</v>
      </c>
      <c r="C8041" s="18" t="n">
        <v>0</v>
      </c>
      <c r="D8041" s="0" t="n">
        <v>0</v>
      </c>
      <c r="E8041" s="19" t="n">
        <v>38.9166666666667</v>
      </c>
    </row>
    <row r="8042" customFormat="false" ht="15" hidden="false" customHeight="false" outlineLevel="0" collapsed="false">
      <c r="A8042" s="0" t="n">
        <v>8041</v>
      </c>
      <c r="B8042" s="18" t="n">
        <v>636941.104951788</v>
      </c>
      <c r="C8042" s="18" t="n">
        <v>0</v>
      </c>
      <c r="D8042" s="0" t="n">
        <v>0</v>
      </c>
      <c r="E8042" s="19" t="n">
        <v>36.1666666666667</v>
      </c>
    </row>
    <row r="8043" customFormat="false" ht="15" hidden="false" customHeight="false" outlineLevel="0" collapsed="false">
      <c r="A8043" s="0" t="n">
        <v>8042</v>
      </c>
      <c r="B8043" s="18" t="n">
        <v>562239.325162171</v>
      </c>
      <c r="C8043" s="18" t="n">
        <v>0</v>
      </c>
      <c r="D8043" s="0" t="n">
        <v>0</v>
      </c>
      <c r="E8043" s="19" t="n">
        <v>35.5833333333333</v>
      </c>
    </row>
    <row r="8044" customFormat="false" ht="15" hidden="false" customHeight="false" outlineLevel="0" collapsed="false">
      <c r="A8044" s="0" t="n">
        <v>8043</v>
      </c>
      <c r="B8044" s="18" t="n">
        <v>1178374.75450824</v>
      </c>
      <c r="C8044" s="18" t="n">
        <v>0</v>
      </c>
      <c r="D8044" s="0" t="n">
        <v>0</v>
      </c>
      <c r="E8044" s="19" t="n">
        <v>39.75</v>
      </c>
    </row>
    <row r="8045" customFormat="false" ht="15" hidden="false" customHeight="false" outlineLevel="0" collapsed="false">
      <c r="A8045" s="0" t="n">
        <v>8044</v>
      </c>
      <c r="B8045" s="18" t="n">
        <v>1870527.81789572</v>
      </c>
      <c r="C8045" s="18" t="n">
        <v>544683.249750532</v>
      </c>
      <c r="D8045" s="0" t="n">
        <v>1</v>
      </c>
    </row>
    <row r="8046" customFormat="false" ht="15" hidden="false" customHeight="false" outlineLevel="0" collapsed="false">
      <c r="A8046" s="0" t="n">
        <v>8045</v>
      </c>
      <c r="B8046" s="18" t="n">
        <v>309945.204676454</v>
      </c>
      <c r="C8046" s="18" t="n">
        <v>0</v>
      </c>
      <c r="D8046" s="0" t="n">
        <v>0</v>
      </c>
      <c r="E8046" s="19" t="n">
        <v>30.4166666666667</v>
      </c>
    </row>
    <row r="8047" customFormat="false" ht="15" hidden="false" customHeight="false" outlineLevel="0" collapsed="false">
      <c r="A8047" s="0" t="n">
        <v>8046</v>
      </c>
      <c r="B8047" s="18" t="n">
        <v>1083664.31380225</v>
      </c>
      <c r="C8047" s="18" t="n">
        <v>0</v>
      </c>
      <c r="D8047" s="0" t="n">
        <v>0</v>
      </c>
      <c r="E8047" s="19" t="n">
        <v>53.5833333333333</v>
      </c>
    </row>
    <row r="8048" customFormat="false" ht="15" hidden="false" customHeight="false" outlineLevel="0" collapsed="false">
      <c r="A8048" s="0" t="n">
        <v>8047</v>
      </c>
      <c r="B8048" s="18" t="n">
        <v>666946.92651018</v>
      </c>
      <c r="C8048" s="18" t="n">
        <v>0</v>
      </c>
      <c r="D8048" s="0" t="n">
        <v>0</v>
      </c>
      <c r="E8048" s="19" t="n">
        <v>36.0833333333333</v>
      </c>
    </row>
    <row r="8049" customFormat="false" ht="15" hidden="false" customHeight="false" outlineLevel="0" collapsed="false">
      <c r="A8049" s="0" t="n">
        <v>8048</v>
      </c>
      <c r="B8049" s="18" t="n">
        <v>569861.697936714</v>
      </c>
      <c r="C8049" s="18" t="n">
        <v>0</v>
      </c>
      <c r="D8049" s="0" t="n">
        <v>0</v>
      </c>
      <c r="E8049" s="19" t="n">
        <v>34.5</v>
      </c>
    </row>
    <row r="8050" customFormat="false" ht="15" hidden="false" customHeight="false" outlineLevel="0" collapsed="false">
      <c r="A8050" s="0" t="n">
        <v>8049</v>
      </c>
      <c r="B8050" s="18" t="n">
        <v>972842.914934231</v>
      </c>
      <c r="C8050" s="18" t="n">
        <v>0</v>
      </c>
      <c r="D8050" s="0" t="n">
        <v>0</v>
      </c>
      <c r="E8050" s="19" t="n">
        <v>46.8333333333333</v>
      </c>
    </row>
    <row r="8051" customFormat="false" ht="15" hidden="false" customHeight="false" outlineLevel="0" collapsed="false">
      <c r="A8051" s="0" t="n">
        <v>8050</v>
      </c>
      <c r="B8051" s="18" t="n">
        <v>826401.857225838</v>
      </c>
      <c r="C8051" s="18" t="n">
        <v>13859947.5795672</v>
      </c>
      <c r="D8051" s="0" t="n">
        <v>1</v>
      </c>
    </row>
    <row r="8052" customFormat="false" ht="15" hidden="false" customHeight="false" outlineLevel="0" collapsed="false">
      <c r="A8052" s="0" t="n">
        <v>8051</v>
      </c>
      <c r="B8052" s="18" t="n">
        <v>481313.321773585</v>
      </c>
      <c r="C8052" s="18" t="n">
        <v>0</v>
      </c>
      <c r="D8052" s="0" t="n">
        <v>0</v>
      </c>
      <c r="E8052" s="19" t="n">
        <v>31</v>
      </c>
    </row>
    <row r="8053" customFormat="false" ht="15" hidden="false" customHeight="false" outlineLevel="0" collapsed="false">
      <c r="A8053" s="0" t="n">
        <v>8052</v>
      </c>
      <c r="B8053" s="18" t="n">
        <v>1035429.32292262</v>
      </c>
      <c r="C8053" s="18" t="n">
        <v>855419.678846611</v>
      </c>
      <c r="D8053" s="0" t="n">
        <v>1</v>
      </c>
    </row>
    <row r="8054" customFormat="false" ht="15" hidden="false" customHeight="false" outlineLevel="0" collapsed="false">
      <c r="A8054" s="0" t="n">
        <v>8053</v>
      </c>
      <c r="B8054" s="18" t="n">
        <v>563519.157317366</v>
      </c>
      <c r="C8054" s="18" t="n">
        <v>0</v>
      </c>
      <c r="D8054" s="0" t="n">
        <v>0</v>
      </c>
      <c r="E8054" s="19" t="n">
        <v>44.4166666666667</v>
      </c>
    </row>
    <row r="8055" customFormat="false" ht="15" hidden="false" customHeight="false" outlineLevel="0" collapsed="false">
      <c r="A8055" s="0" t="n">
        <v>8054</v>
      </c>
      <c r="B8055" s="18" t="n">
        <v>824694.656987519</v>
      </c>
      <c r="C8055" s="18" t="n">
        <v>1436343.73738631</v>
      </c>
      <c r="D8055" s="0" t="n">
        <v>1</v>
      </c>
    </row>
    <row r="8056" customFormat="false" ht="15" hidden="false" customHeight="false" outlineLevel="0" collapsed="false">
      <c r="A8056" s="0" t="n">
        <v>8055</v>
      </c>
      <c r="B8056" s="18" t="n">
        <v>620148.989408576</v>
      </c>
      <c r="C8056" s="18" t="n">
        <v>0</v>
      </c>
      <c r="D8056" s="0" t="n">
        <v>0</v>
      </c>
      <c r="E8056" s="19" t="n">
        <v>39.25</v>
      </c>
    </row>
    <row r="8057" customFormat="false" ht="15" hidden="false" customHeight="false" outlineLevel="0" collapsed="false">
      <c r="A8057" s="0" t="n">
        <v>8056</v>
      </c>
      <c r="B8057" s="18" t="n">
        <v>933045.406501062</v>
      </c>
      <c r="C8057" s="18" t="n">
        <v>1645714.25501683</v>
      </c>
      <c r="D8057" s="0" t="n">
        <v>1</v>
      </c>
    </row>
    <row r="8058" customFormat="false" ht="15" hidden="false" customHeight="false" outlineLevel="0" collapsed="false">
      <c r="A8058" s="0" t="n">
        <v>8057</v>
      </c>
      <c r="B8058" s="18" t="n">
        <v>1097273.58956448</v>
      </c>
      <c r="C8058" s="18" t="n">
        <v>0</v>
      </c>
      <c r="D8058" s="0" t="n">
        <v>0</v>
      </c>
      <c r="E8058" s="19" t="n">
        <v>47.75</v>
      </c>
    </row>
    <row r="8059" customFormat="false" ht="15" hidden="false" customHeight="false" outlineLevel="0" collapsed="false">
      <c r="A8059" s="0" t="n">
        <v>8058</v>
      </c>
      <c r="B8059" s="18" t="n">
        <v>2271374.47999156</v>
      </c>
      <c r="C8059" s="18" t="n">
        <v>4418120.49085796</v>
      </c>
      <c r="D8059" s="0" t="n">
        <v>1</v>
      </c>
    </row>
    <row r="8060" customFormat="false" ht="15" hidden="false" customHeight="false" outlineLevel="0" collapsed="false">
      <c r="A8060" s="0" t="n">
        <v>8059</v>
      </c>
      <c r="B8060" s="18" t="n">
        <v>834373.639984795</v>
      </c>
      <c r="C8060" s="18" t="n">
        <v>0</v>
      </c>
      <c r="D8060" s="0" t="n">
        <v>0</v>
      </c>
      <c r="E8060" s="19" t="n">
        <v>39.9166666666667</v>
      </c>
    </row>
    <row r="8061" customFormat="false" ht="15" hidden="false" customHeight="false" outlineLevel="0" collapsed="false">
      <c r="A8061" s="0" t="n">
        <v>8060</v>
      </c>
      <c r="B8061" s="18" t="n">
        <v>839417.834587571</v>
      </c>
      <c r="C8061" s="18" t="n">
        <v>14295272.3929626</v>
      </c>
      <c r="D8061" s="0" t="n">
        <v>1</v>
      </c>
    </row>
    <row r="8062" customFormat="false" ht="15" hidden="false" customHeight="false" outlineLevel="0" collapsed="false">
      <c r="A8062" s="0" t="n">
        <v>8061</v>
      </c>
      <c r="B8062" s="18" t="n">
        <v>558173.401159366</v>
      </c>
      <c r="C8062" s="18" t="n">
        <v>0</v>
      </c>
      <c r="D8062" s="0" t="n">
        <v>0</v>
      </c>
      <c r="E8062" s="19" t="n">
        <v>35.5833333333333</v>
      </c>
    </row>
    <row r="8063" customFormat="false" ht="15" hidden="false" customHeight="false" outlineLevel="0" collapsed="false">
      <c r="A8063" s="0" t="n">
        <v>8062</v>
      </c>
      <c r="B8063" s="18" t="n">
        <v>1038017.00425121</v>
      </c>
      <c r="C8063" s="18" t="n">
        <v>0</v>
      </c>
      <c r="D8063" s="0" t="n">
        <v>0</v>
      </c>
      <c r="E8063" s="19" t="n">
        <v>39.8333333333333</v>
      </c>
    </row>
    <row r="8064" customFormat="false" ht="15" hidden="false" customHeight="false" outlineLevel="0" collapsed="false">
      <c r="A8064" s="0" t="n">
        <v>8063</v>
      </c>
      <c r="B8064" s="18" t="n">
        <v>489356.744015859</v>
      </c>
      <c r="C8064" s="18" t="n">
        <v>0</v>
      </c>
      <c r="D8064" s="0" t="n">
        <v>0</v>
      </c>
      <c r="E8064" s="19" t="n">
        <v>34.5</v>
      </c>
    </row>
    <row r="8065" customFormat="false" ht="15" hidden="false" customHeight="false" outlineLevel="0" collapsed="false">
      <c r="A8065" s="0" t="n">
        <v>8064</v>
      </c>
      <c r="B8065" s="18" t="n">
        <v>771697.565351824</v>
      </c>
      <c r="C8065" s="18" t="n">
        <v>0</v>
      </c>
      <c r="D8065" s="0" t="n">
        <v>0</v>
      </c>
      <c r="E8065" s="19" t="n">
        <v>44.0833333333333</v>
      </c>
    </row>
    <row r="8066" customFormat="false" ht="15" hidden="false" customHeight="false" outlineLevel="0" collapsed="false">
      <c r="A8066" s="0" t="n">
        <v>8065</v>
      </c>
      <c r="B8066" s="18" t="n">
        <v>644976.711874243</v>
      </c>
      <c r="C8066" s="18" t="n">
        <v>0</v>
      </c>
      <c r="D8066" s="0" t="n">
        <v>0</v>
      </c>
      <c r="E8066" s="19" t="n">
        <v>37.25</v>
      </c>
    </row>
    <row r="8067" customFormat="false" ht="15" hidden="false" customHeight="false" outlineLevel="0" collapsed="false">
      <c r="A8067" s="0" t="n">
        <v>8066</v>
      </c>
      <c r="B8067" s="18" t="n">
        <v>1697087.95685819</v>
      </c>
      <c r="C8067" s="18" t="n">
        <v>2531999.16188011</v>
      </c>
      <c r="D8067" s="0" t="n">
        <v>1</v>
      </c>
    </row>
    <row r="8068" customFormat="false" ht="15" hidden="false" customHeight="false" outlineLevel="0" collapsed="false">
      <c r="A8068" s="0" t="n">
        <v>8067</v>
      </c>
      <c r="B8068" s="18" t="n">
        <v>1213251.84545043</v>
      </c>
      <c r="C8068" s="18" t="n">
        <v>0</v>
      </c>
      <c r="D8068" s="0" t="n">
        <v>0</v>
      </c>
      <c r="E8068" s="19" t="n">
        <v>49.3333333333333</v>
      </c>
    </row>
    <row r="8069" customFormat="false" ht="15" hidden="false" customHeight="false" outlineLevel="0" collapsed="false">
      <c r="A8069" s="0" t="n">
        <v>8068</v>
      </c>
      <c r="B8069" s="18" t="n">
        <v>720753.842231714</v>
      </c>
      <c r="C8069" s="18" t="n">
        <v>0</v>
      </c>
      <c r="D8069" s="0" t="n">
        <v>0</v>
      </c>
      <c r="E8069" s="19" t="n">
        <v>35.4166666666667</v>
      </c>
    </row>
    <row r="8070" customFormat="false" ht="15" hidden="false" customHeight="false" outlineLevel="0" collapsed="false">
      <c r="A8070" s="0" t="n">
        <v>8069</v>
      </c>
      <c r="B8070" s="18" t="n">
        <v>685951.46232432</v>
      </c>
      <c r="C8070" s="18" t="n">
        <v>0</v>
      </c>
      <c r="D8070" s="0" t="n">
        <v>0</v>
      </c>
      <c r="E8070" s="19" t="n">
        <v>51.6666666666667</v>
      </c>
    </row>
    <row r="8071" customFormat="false" ht="15" hidden="false" customHeight="false" outlineLevel="0" collapsed="false">
      <c r="A8071" s="0" t="n">
        <v>8070</v>
      </c>
      <c r="B8071" s="18" t="n">
        <v>3060237.95936946</v>
      </c>
      <c r="C8071" s="18" t="n">
        <v>18051083.7470844</v>
      </c>
      <c r="D8071" s="0" t="n">
        <v>1</v>
      </c>
    </row>
    <row r="8072" customFormat="false" ht="15" hidden="false" customHeight="false" outlineLevel="0" collapsed="false">
      <c r="A8072" s="0" t="n">
        <v>8071</v>
      </c>
      <c r="B8072" s="18" t="n">
        <v>443036.660350845</v>
      </c>
      <c r="C8072" s="18" t="n">
        <v>0</v>
      </c>
      <c r="D8072" s="0" t="n">
        <v>0</v>
      </c>
      <c r="E8072" s="19" t="n">
        <v>30.8333333333333</v>
      </c>
    </row>
    <row r="8073" customFormat="false" ht="15" hidden="false" customHeight="false" outlineLevel="0" collapsed="false">
      <c r="A8073" s="0" t="n">
        <v>8072</v>
      </c>
      <c r="B8073" s="18" t="n">
        <v>345827.863539696</v>
      </c>
      <c r="C8073" s="18" t="n">
        <v>0</v>
      </c>
      <c r="D8073" s="0" t="n">
        <v>0</v>
      </c>
      <c r="E8073" s="19" t="n">
        <v>30.9166666666667</v>
      </c>
    </row>
    <row r="8074" customFormat="false" ht="15" hidden="false" customHeight="false" outlineLevel="0" collapsed="false">
      <c r="A8074" s="0" t="n">
        <v>8073</v>
      </c>
      <c r="B8074" s="18" t="n">
        <v>440701.92593443</v>
      </c>
      <c r="C8074" s="18" t="n">
        <v>0</v>
      </c>
      <c r="D8074" s="0" t="n">
        <v>0</v>
      </c>
      <c r="E8074" s="19" t="n">
        <v>34.4166666666667</v>
      </c>
    </row>
    <row r="8075" customFormat="false" ht="15" hidden="false" customHeight="false" outlineLevel="0" collapsed="false">
      <c r="A8075" s="0" t="n">
        <v>8074</v>
      </c>
      <c r="B8075" s="18" t="n">
        <v>907647.973184057</v>
      </c>
      <c r="C8075" s="18" t="n">
        <v>0</v>
      </c>
      <c r="D8075" s="0" t="n">
        <v>0</v>
      </c>
      <c r="E8075" s="19" t="n">
        <v>37.1666666666667</v>
      </c>
    </row>
    <row r="8076" customFormat="false" ht="15" hidden="false" customHeight="false" outlineLevel="0" collapsed="false">
      <c r="A8076" s="0" t="n">
        <v>8075</v>
      </c>
      <c r="B8076" s="18" t="n">
        <v>675353.546514947</v>
      </c>
      <c r="C8076" s="18" t="n">
        <v>0</v>
      </c>
      <c r="D8076" s="0" t="n">
        <v>0</v>
      </c>
      <c r="E8076" s="19" t="n">
        <v>38.3333333333333</v>
      </c>
    </row>
    <row r="8077" customFormat="false" ht="15" hidden="false" customHeight="false" outlineLevel="0" collapsed="false">
      <c r="A8077" s="0" t="n">
        <v>8076</v>
      </c>
      <c r="B8077" s="18" t="n">
        <v>1484477.48003684</v>
      </c>
      <c r="C8077" s="18" t="n">
        <v>6482146.53300039</v>
      </c>
      <c r="D8077" s="0" t="n">
        <v>1</v>
      </c>
    </row>
    <row r="8078" customFormat="false" ht="15" hidden="false" customHeight="false" outlineLevel="0" collapsed="false">
      <c r="A8078" s="0" t="n">
        <v>8077</v>
      </c>
      <c r="B8078" s="18" t="n">
        <v>298512.886904059</v>
      </c>
      <c r="C8078" s="18" t="n">
        <v>0</v>
      </c>
      <c r="D8078" s="0" t="n">
        <v>0</v>
      </c>
      <c r="E8078" s="19" t="n">
        <v>29.4166666666667</v>
      </c>
    </row>
    <row r="8079" customFormat="false" ht="15" hidden="false" customHeight="false" outlineLevel="0" collapsed="false">
      <c r="A8079" s="0" t="n">
        <v>8078</v>
      </c>
      <c r="B8079" s="18" t="n">
        <v>890706.937383825</v>
      </c>
      <c r="C8079" s="18" t="n">
        <v>0</v>
      </c>
      <c r="D8079" s="0" t="n">
        <v>0</v>
      </c>
      <c r="E8079" s="19" t="n">
        <v>39.5833333333333</v>
      </c>
    </row>
    <row r="8080" customFormat="false" ht="15" hidden="false" customHeight="false" outlineLevel="0" collapsed="false">
      <c r="A8080" s="0" t="n">
        <v>8079</v>
      </c>
      <c r="B8080" s="18" t="n">
        <v>1591396.98188902</v>
      </c>
      <c r="C8080" s="18" t="n">
        <v>342886.12296825</v>
      </c>
      <c r="D8080" s="0" t="n">
        <v>1</v>
      </c>
    </row>
    <row r="8081" customFormat="false" ht="15" hidden="false" customHeight="false" outlineLevel="0" collapsed="false">
      <c r="A8081" s="0" t="n">
        <v>8080</v>
      </c>
      <c r="B8081" s="18" t="n">
        <v>470709.829145667</v>
      </c>
      <c r="C8081" s="18" t="n">
        <v>0</v>
      </c>
      <c r="D8081" s="0" t="n">
        <v>0</v>
      </c>
      <c r="E8081" s="19" t="n">
        <v>35.0833333333333</v>
      </c>
    </row>
    <row r="8082" customFormat="false" ht="15" hidden="false" customHeight="false" outlineLevel="0" collapsed="false">
      <c r="A8082" s="0" t="n">
        <v>8081</v>
      </c>
      <c r="B8082" s="18" t="n">
        <v>466159.369282768</v>
      </c>
      <c r="C8082" s="18" t="n">
        <v>0</v>
      </c>
      <c r="D8082" s="0" t="n">
        <v>0</v>
      </c>
      <c r="E8082" s="19" t="n">
        <v>32</v>
      </c>
    </row>
    <row r="8083" customFormat="false" ht="15" hidden="false" customHeight="false" outlineLevel="0" collapsed="false">
      <c r="A8083" s="0" t="n">
        <v>8082</v>
      </c>
      <c r="B8083" s="18" t="n">
        <v>1234418.28080983</v>
      </c>
      <c r="C8083" s="18" t="n">
        <v>3604912.29451834</v>
      </c>
      <c r="D8083" s="0" t="n">
        <v>1</v>
      </c>
    </row>
    <row r="8084" customFormat="false" ht="15" hidden="false" customHeight="false" outlineLevel="0" collapsed="false">
      <c r="A8084" s="0" t="n">
        <v>8083</v>
      </c>
      <c r="B8084" s="18" t="n">
        <v>1392814.60805166</v>
      </c>
      <c r="C8084" s="18" t="n">
        <v>0</v>
      </c>
      <c r="D8084" s="0" t="n">
        <v>0</v>
      </c>
      <c r="E8084" s="19" t="n">
        <v>47.5833333333333</v>
      </c>
    </row>
    <row r="8085" customFormat="false" ht="15" hidden="false" customHeight="false" outlineLevel="0" collapsed="false">
      <c r="A8085" s="0" t="n">
        <v>8084</v>
      </c>
      <c r="B8085" s="18" t="n">
        <v>486065.043563134</v>
      </c>
      <c r="C8085" s="18" t="n">
        <v>0</v>
      </c>
      <c r="D8085" s="0" t="n">
        <v>0</v>
      </c>
      <c r="E8085" s="19" t="n">
        <v>32.6666666666667</v>
      </c>
    </row>
    <row r="8086" customFormat="false" ht="15" hidden="false" customHeight="false" outlineLevel="0" collapsed="false">
      <c r="A8086" s="0" t="n">
        <v>8085</v>
      </c>
      <c r="B8086" s="18" t="n">
        <v>398182.118218673</v>
      </c>
      <c r="C8086" s="18" t="n">
        <v>0</v>
      </c>
      <c r="D8086" s="0" t="n">
        <v>0</v>
      </c>
      <c r="E8086" s="19" t="n">
        <v>30.5833333333333</v>
      </c>
    </row>
    <row r="8087" customFormat="false" ht="15" hidden="false" customHeight="false" outlineLevel="0" collapsed="false">
      <c r="A8087" s="0" t="n">
        <v>8086</v>
      </c>
      <c r="B8087" s="18" t="n">
        <v>1078112.18991877</v>
      </c>
      <c r="C8087" s="18" t="n">
        <v>3531243.89089273</v>
      </c>
      <c r="D8087" s="0" t="n">
        <v>1</v>
      </c>
    </row>
    <row r="8088" customFormat="false" ht="15" hidden="false" customHeight="false" outlineLevel="0" collapsed="false">
      <c r="A8088" s="0" t="n">
        <v>8087</v>
      </c>
      <c r="B8088" s="18" t="n">
        <v>412835.718149973</v>
      </c>
      <c r="C8088" s="18" t="n">
        <v>0</v>
      </c>
      <c r="D8088" s="0" t="n">
        <v>0</v>
      </c>
      <c r="E8088" s="19" t="n">
        <v>30.3333333333333</v>
      </c>
    </row>
    <row r="8089" customFormat="false" ht="15" hidden="false" customHeight="false" outlineLevel="0" collapsed="false">
      <c r="A8089" s="0" t="n">
        <v>8088</v>
      </c>
      <c r="B8089" s="18" t="n">
        <v>921254.174018831</v>
      </c>
      <c r="C8089" s="18" t="n">
        <v>0</v>
      </c>
      <c r="D8089" s="0" t="n">
        <v>0</v>
      </c>
      <c r="E8089" s="19" t="n">
        <v>41.3333333333333</v>
      </c>
    </row>
    <row r="8090" customFormat="false" ht="15" hidden="false" customHeight="false" outlineLevel="0" collapsed="false">
      <c r="A8090" s="0" t="n">
        <v>8089</v>
      </c>
      <c r="B8090" s="18" t="n">
        <v>1342505.5453027</v>
      </c>
      <c r="C8090" s="18" t="n">
        <v>1910713.69605</v>
      </c>
      <c r="D8090" s="0" t="n">
        <v>1</v>
      </c>
    </row>
    <row r="8091" customFormat="false" ht="15" hidden="false" customHeight="false" outlineLevel="0" collapsed="false">
      <c r="A8091" s="0" t="n">
        <v>8090</v>
      </c>
      <c r="B8091" s="18" t="n">
        <v>376892.613861527</v>
      </c>
      <c r="C8091" s="18" t="n">
        <v>0</v>
      </c>
      <c r="D8091" s="0" t="n">
        <v>0</v>
      </c>
      <c r="E8091" s="19" t="n">
        <v>31.5833333333333</v>
      </c>
    </row>
    <row r="8092" customFormat="false" ht="15" hidden="false" customHeight="false" outlineLevel="0" collapsed="false">
      <c r="A8092" s="0" t="n">
        <v>8091</v>
      </c>
      <c r="B8092" s="18" t="n">
        <v>470872.230715973</v>
      </c>
      <c r="C8092" s="18" t="n">
        <v>0</v>
      </c>
      <c r="D8092" s="0" t="n">
        <v>0</v>
      </c>
      <c r="E8092" s="19" t="n">
        <v>37.75</v>
      </c>
    </row>
    <row r="8093" customFormat="false" ht="15" hidden="false" customHeight="false" outlineLevel="0" collapsed="false">
      <c r="A8093" s="0" t="n">
        <v>8092</v>
      </c>
      <c r="B8093" s="18" t="n">
        <v>705896.864511728</v>
      </c>
      <c r="C8093" s="18" t="n">
        <v>0</v>
      </c>
      <c r="D8093" s="0" t="n">
        <v>0</v>
      </c>
      <c r="E8093" s="19" t="n">
        <v>44.3333333333333</v>
      </c>
    </row>
    <row r="8094" customFormat="false" ht="15" hidden="false" customHeight="false" outlineLevel="0" collapsed="false">
      <c r="A8094" s="0" t="n">
        <v>8093</v>
      </c>
      <c r="B8094" s="18" t="n">
        <v>1228340.46409789</v>
      </c>
      <c r="C8094" s="18" t="n">
        <v>150278.755430211</v>
      </c>
      <c r="D8094" s="0" t="n">
        <v>1</v>
      </c>
    </row>
    <row r="8095" customFormat="false" ht="15" hidden="false" customHeight="false" outlineLevel="0" collapsed="false">
      <c r="A8095" s="0" t="n">
        <v>8094</v>
      </c>
      <c r="B8095" s="18" t="n">
        <v>1339352.02288744</v>
      </c>
      <c r="C8095" s="18" t="n">
        <v>2225016.422558</v>
      </c>
      <c r="D8095" s="0" t="n">
        <v>1</v>
      </c>
    </row>
    <row r="8096" customFormat="false" ht="15" hidden="false" customHeight="false" outlineLevel="0" collapsed="false">
      <c r="A8096" s="0" t="n">
        <v>8095</v>
      </c>
      <c r="B8096" s="18" t="n">
        <v>2548277.9888277</v>
      </c>
      <c r="C8096" s="18" t="n">
        <v>5648590.11956906</v>
      </c>
      <c r="D8096" s="0" t="n">
        <v>1</v>
      </c>
    </row>
    <row r="8097" customFormat="false" ht="15" hidden="false" customHeight="false" outlineLevel="0" collapsed="false">
      <c r="A8097" s="0" t="n">
        <v>8096</v>
      </c>
      <c r="B8097" s="18" t="n">
        <v>363207.335714262</v>
      </c>
      <c r="C8097" s="18" t="n">
        <v>0</v>
      </c>
      <c r="D8097" s="0" t="n">
        <v>0</v>
      </c>
      <c r="E8097" s="19" t="n">
        <v>30.25</v>
      </c>
    </row>
    <row r="8098" customFormat="false" ht="15" hidden="false" customHeight="false" outlineLevel="0" collapsed="false">
      <c r="A8098" s="0" t="n">
        <v>8097</v>
      </c>
      <c r="B8098" s="18" t="n">
        <v>1060285.57507298</v>
      </c>
      <c r="C8098" s="18" t="n">
        <v>0</v>
      </c>
      <c r="D8098" s="0" t="n">
        <v>0</v>
      </c>
      <c r="E8098" s="19" t="n">
        <v>45.3333333333333</v>
      </c>
    </row>
    <row r="8099" customFormat="false" ht="15" hidden="false" customHeight="false" outlineLevel="0" collapsed="false">
      <c r="A8099" s="0" t="n">
        <v>8098</v>
      </c>
      <c r="B8099" s="18" t="n">
        <v>478875.439965168</v>
      </c>
      <c r="C8099" s="18" t="n">
        <v>0</v>
      </c>
      <c r="D8099" s="0" t="n">
        <v>0</v>
      </c>
      <c r="E8099" s="19" t="n">
        <v>35.6666666666667</v>
      </c>
    </row>
    <row r="8100" customFormat="false" ht="15" hidden="false" customHeight="false" outlineLevel="0" collapsed="false">
      <c r="A8100" s="0" t="n">
        <v>8099</v>
      </c>
      <c r="B8100" s="18" t="n">
        <v>3514764.09374989</v>
      </c>
      <c r="C8100" s="18" t="n">
        <v>26194585.8276566</v>
      </c>
      <c r="D8100" s="0" t="n">
        <v>1</v>
      </c>
    </row>
    <row r="8101" customFormat="false" ht="15" hidden="false" customHeight="false" outlineLevel="0" collapsed="false">
      <c r="A8101" s="0" t="n">
        <v>8100</v>
      </c>
      <c r="B8101" s="18" t="n">
        <v>1352953.41517443</v>
      </c>
      <c r="C8101" s="18" t="n">
        <v>0</v>
      </c>
      <c r="D8101" s="0" t="n">
        <v>0</v>
      </c>
      <c r="E8101" s="19" t="n">
        <v>54</v>
      </c>
    </row>
    <row r="8102" customFormat="false" ht="15" hidden="false" customHeight="false" outlineLevel="0" collapsed="false">
      <c r="A8102" s="0" t="n">
        <v>8101</v>
      </c>
      <c r="B8102" s="18" t="n">
        <v>861150.798473778</v>
      </c>
      <c r="C8102" s="18" t="n">
        <v>0</v>
      </c>
      <c r="D8102" s="0" t="n">
        <v>0</v>
      </c>
      <c r="E8102" s="19" t="n">
        <v>40.6666666666667</v>
      </c>
    </row>
    <row r="8103" customFormat="false" ht="15" hidden="false" customHeight="false" outlineLevel="0" collapsed="false">
      <c r="A8103" s="0" t="n">
        <v>8102</v>
      </c>
      <c r="B8103" s="18" t="n">
        <v>1445260.38807382</v>
      </c>
      <c r="C8103" s="18" t="n">
        <v>24076896.5152023</v>
      </c>
      <c r="D8103" s="0" t="n">
        <v>1</v>
      </c>
    </row>
    <row r="8104" customFormat="false" ht="15" hidden="false" customHeight="false" outlineLevel="0" collapsed="false">
      <c r="A8104" s="0" t="n">
        <v>8103</v>
      </c>
      <c r="B8104" s="18" t="n">
        <v>469883.081751693</v>
      </c>
      <c r="C8104" s="18" t="n">
        <v>0</v>
      </c>
      <c r="D8104" s="0" t="n">
        <v>0</v>
      </c>
      <c r="E8104" s="19" t="n">
        <v>32</v>
      </c>
    </row>
    <row r="8105" customFormat="false" ht="15" hidden="false" customHeight="false" outlineLevel="0" collapsed="false">
      <c r="A8105" s="0" t="n">
        <v>8104</v>
      </c>
      <c r="B8105" s="18" t="n">
        <v>1185066.79554878</v>
      </c>
      <c r="C8105" s="18" t="n">
        <v>142339.300695862</v>
      </c>
      <c r="D8105" s="0" t="n">
        <v>1</v>
      </c>
    </row>
    <row r="8106" customFormat="false" ht="15" hidden="false" customHeight="false" outlineLevel="0" collapsed="false">
      <c r="A8106" s="0" t="n">
        <v>8105</v>
      </c>
      <c r="B8106" s="18" t="n">
        <v>301772.184610056</v>
      </c>
      <c r="C8106" s="18" t="n">
        <v>0</v>
      </c>
      <c r="D8106" s="0" t="n">
        <v>0</v>
      </c>
      <c r="E8106" s="19" t="n">
        <v>31.3333333333333</v>
      </c>
    </row>
    <row r="8107" customFormat="false" ht="15" hidden="false" customHeight="false" outlineLevel="0" collapsed="false">
      <c r="A8107" s="0" t="n">
        <v>8106</v>
      </c>
      <c r="B8107" s="18" t="n">
        <v>949156.777997465</v>
      </c>
      <c r="C8107" s="18" t="n">
        <v>3979471.91002767</v>
      </c>
      <c r="D8107" s="0" t="n">
        <v>1</v>
      </c>
    </row>
    <row r="8108" customFormat="false" ht="15" hidden="false" customHeight="false" outlineLevel="0" collapsed="false">
      <c r="A8108" s="0" t="n">
        <v>8107</v>
      </c>
      <c r="B8108" s="18" t="n">
        <v>805788.050345813</v>
      </c>
      <c r="C8108" s="18" t="n">
        <v>0</v>
      </c>
      <c r="D8108" s="0" t="n">
        <v>0</v>
      </c>
      <c r="E8108" s="19" t="n">
        <v>54.8333333333333</v>
      </c>
    </row>
    <row r="8109" customFormat="false" ht="15" hidden="false" customHeight="false" outlineLevel="0" collapsed="false">
      <c r="A8109" s="0" t="n">
        <v>8108</v>
      </c>
      <c r="B8109" s="18" t="n">
        <v>187602.728617737</v>
      </c>
      <c r="C8109" s="18" t="n">
        <v>0</v>
      </c>
      <c r="D8109" s="0" t="n">
        <v>0</v>
      </c>
      <c r="E8109" s="19" t="n">
        <v>28.4166666666667</v>
      </c>
    </row>
    <row r="8110" customFormat="false" ht="15" hidden="false" customHeight="false" outlineLevel="0" collapsed="false">
      <c r="A8110" s="0" t="n">
        <v>8109</v>
      </c>
      <c r="B8110" s="18" t="n">
        <v>1148340.58389464</v>
      </c>
      <c r="C8110" s="18" t="n">
        <v>0</v>
      </c>
      <c r="D8110" s="0" t="n">
        <v>0</v>
      </c>
      <c r="E8110" s="19" t="n">
        <v>44.1666666666667</v>
      </c>
    </row>
    <row r="8111" customFormat="false" ht="15" hidden="false" customHeight="false" outlineLevel="0" collapsed="false">
      <c r="A8111" s="0" t="n">
        <v>8110</v>
      </c>
      <c r="B8111" s="18" t="n">
        <v>952990.19225923</v>
      </c>
      <c r="C8111" s="18" t="n">
        <v>0</v>
      </c>
      <c r="D8111" s="0" t="n">
        <v>0</v>
      </c>
      <c r="E8111" s="19" t="n">
        <v>44.0833333333333</v>
      </c>
    </row>
    <row r="8112" customFormat="false" ht="15" hidden="false" customHeight="false" outlineLevel="0" collapsed="false">
      <c r="A8112" s="0" t="n">
        <v>8111</v>
      </c>
      <c r="B8112" s="18" t="n">
        <v>3686771.10887698</v>
      </c>
      <c r="C8112" s="18" t="n">
        <v>19161792.188783</v>
      </c>
      <c r="D8112" s="0" t="n">
        <v>1</v>
      </c>
    </row>
    <row r="8113" customFormat="false" ht="15" hidden="false" customHeight="false" outlineLevel="0" collapsed="false">
      <c r="A8113" s="0" t="n">
        <v>8112</v>
      </c>
      <c r="B8113" s="18" t="n">
        <v>1076054.80495</v>
      </c>
      <c r="C8113" s="18" t="n">
        <v>0</v>
      </c>
      <c r="D8113" s="0" t="n">
        <v>0</v>
      </c>
      <c r="E8113" s="19" t="n">
        <v>47</v>
      </c>
    </row>
    <row r="8114" customFormat="false" ht="15" hidden="false" customHeight="false" outlineLevel="0" collapsed="false">
      <c r="A8114" s="0" t="n">
        <v>8113</v>
      </c>
      <c r="B8114" s="18" t="n">
        <v>1031914.90214514</v>
      </c>
      <c r="C8114" s="18" t="n">
        <v>6384893.2188881</v>
      </c>
      <c r="D8114" s="0" t="n">
        <v>1</v>
      </c>
    </row>
    <row r="8115" customFormat="false" ht="15" hidden="false" customHeight="false" outlineLevel="0" collapsed="false">
      <c r="A8115" s="0" t="n">
        <v>8114</v>
      </c>
      <c r="B8115" s="18" t="n">
        <v>477103.638265934</v>
      </c>
      <c r="C8115" s="18" t="n">
        <v>0</v>
      </c>
      <c r="D8115" s="0" t="n">
        <v>0</v>
      </c>
      <c r="E8115" s="19" t="n">
        <v>53.5</v>
      </c>
    </row>
    <row r="8116" customFormat="false" ht="15" hidden="false" customHeight="false" outlineLevel="0" collapsed="false">
      <c r="A8116" s="0" t="n">
        <v>8115</v>
      </c>
      <c r="B8116" s="18" t="n">
        <v>354535.688317996</v>
      </c>
      <c r="C8116" s="18" t="n">
        <v>0</v>
      </c>
      <c r="D8116" s="0" t="n">
        <v>0</v>
      </c>
      <c r="E8116" s="19" t="n">
        <v>31.75</v>
      </c>
    </row>
    <row r="8117" customFormat="false" ht="15" hidden="false" customHeight="false" outlineLevel="0" collapsed="false">
      <c r="A8117" s="0" t="n">
        <v>8116</v>
      </c>
      <c r="B8117" s="18" t="n">
        <v>622757.506087013</v>
      </c>
      <c r="C8117" s="18" t="n">
        <v>0</v>
      </c>
      <c r="D8117" s="0" t="n">
        <v>0</v>
      </c>
      <c r="E8117" s="19" t="n">
        <v>33.3333333333333</v>
      </c>
    </row>
    <row r="8118" customFormat="false" ht="15" hidden="false" customHeight="false" outlineLevel="0" collapsed="false">
      <c r="A8118" s="0" t="n">
        <v>8117</v>
      </c>
      <c r="B8118" s="18" t="n">
        <v>369892.941933864</v>
      </c>
      <c r="C8118" s="18" t="n">
        <v>0</v>
      </c>
      <c r="D8118" s="0" t="n">
        <v>0</v>
      </c>
      <c r="E8118" s="19" t="n">
        <v>37.0833333333333</v>
      </c>
    </row>
    <row r="8119" customFormat="false" ht="15" hidden="false" customHeight="false" outlineLevel="0" collapsed="false">
      <c r="A8119" s="0" t="n">
        <v>8118</v>
      </c>
      <c r="B8119" s="18" t="n">
        <v>1261223.82161769</v>
      </c>
      <c r="C8119" s="18" t="n">
        <v>0</v>
      </c>
      <c r="D8119" s="0" t="n">
        <v>0</v>
      </c>
      <c r="E8119" s="19" t="n">
        <v>40.4166666666667</v>
      </c>
    </row>
    <row r="8120" customFormat="false" ht="15" hidden="false" customHeight="false" outlineLevel="0" collapsed="false">
      <c r="A8120" s="0" t="n">
        <v>8119</v>
      </c>
      <c r="B8120" s="18" t="n">
        <v>1818045.85450663</v>
      </c>
      <c r="C8120" s="18" t="n">
        <v>14684836.5944768</v>
      </c>
      <c r="D8120" s="0" t="n">
        <v>1</v>
      </c>
    </row>
    <row r="8121" customFormat="false" ht="15" hidden="false" customHeight="false" outlineLevel="0" collapsed="false">
      <c r="A8121" s="0" t="n">
        <v>8120</v>
      </c>
      <c r="B8121" s="18" t="n">
        <v>3791614.30030599</v>
      </c>
      <c r="C8121" s="18" t="n">
        <v>42404872.065537</v>
      </c>
      <c r="D8121" s="0" t="n">
        <v>1</v>
      </c>
    </row>
    <row r="8122" customFormat="false" ht="15" hidden="false" customHeight="false" outlineLevel="0" collapsed="false">
      <c r="A8122" s="0" t="n">
        <v>8121</v>
      </c>
      <c r="B8122" s="18" t="n">
        <v>1235154.492127</v>
      </c>
      <c r="C8122" s="18" t="n">
        <v>0</v>
      </c>
      <c r="D8122" s="0" t="n">
        <v>0</v>
      </c>
      <c r="E8122" s="19" t="n">
        <v>44.5</v>
      </c>
    </row>
    <row r="8123" customFormat="false" ht="15" hidden="false" customHeight="false" outlineLevel="0" collapsed="false">
      <c r="A8123" s="0" t="n">
        <v>8122</v>
      </c>
      <c r="B8123" s="18" t="n">
        <v>687443.320316177</v>
      </c>
      <c r="C8123" s="18" t="n">
        <v>0</v>
      </c>
      <c r="D8123" s="0" t="n">
        <v>0</v>
      </c>
      <c r="E8123" s="19" t="n">
        <v>44</v>
      </c>
    </row>
    <row r="8124" customFormat="false" ht="15" hidden="false" customHeight="false" outlineLevel="0" collapsed="false">
      <c r="A8124" s="0" t="n">
        <v>8123</v>
      </c>
      <c r="B8124" s="18" t="n">
        <v>696429.375264843</v>
      </c>
      <c r="C8124" s="18" t="n">
        <v>0</v>
      </c>
      <c r="D8124" s="0" t="n">
        <v>0</v>
      </c>
      <c r="E8124" s="19" t="n">
        <v>39.75</v>
      </c>
    </row>
    <row r="8125" customFormat="false" ht="15" hidden="false" customHeight="false" outlineLevel="0" collapsed="false">
      <c r="A8125" s="0" t="n">
        <v>8124</v>
      </c>
      <c r="B8125" s="18" t="n">
        <v>1012469.29247332</v>
      </c>
      <c r="C8125" s="18" t="n">
        <v>0</v>
      </c>
      <c r="D8125" s="0" t="n">
        <v>0</v>
      </c>
      <c r="E8125" s="19" t="n">
        <v>46.75</v>
      </c>
    </row>
    <row r="8126" customFormat="false" ht="15" hidden="false" customHeight="false" outlineLevel="0" collapsed="false">
      <c r="A8126" s="0" t="n">
        <v>8125</v>
      </c>
      <c r="B8126" s="18" t="n">
        <v>1013557.20954832</v>
      </c>
      <c r="C8126" s="18" t="n">
        <v>759302.387432701</v>
      </c>
      <c r="D8126" s="0" t="n">
        <v>1</v>
      </c>
    </row>
    <row r="8127" customFormat="false" ht="15" hidden="false" customHeight="false" outlineLevel="0" collapsed="false">
      <c r="A8127" s="0" t="n">
        <v>8126</v>
      </c>
      <c r="B8127" s="18" t="n">
        <v>881344.172003364</v>
      </c>
      <c r="C8127" s="18" t="n">
        <v>180396.528184831</v>
      </c>
      <c r="D8127" s="0" t="n">
        <v>1</v>
      </c>
    </row>
    <row r="8128" customFormat="false" ht="15" hidden="false" customHeight="false" outlineLevel="0" collapsed="false">
      <c r="A8128" s="0" t="n">
        <v>8127</v>
      </c>
      <c r="B8128" s="18" t="n">
        <v>551133.129372066</v>
      </c>
      <c r="C8128" s="18" t="n">
        <v>0</v>
      </c>
      <c r="D8128" s="0" t="n">
        <v>0</v>
      </c>
      <c r="E8128" s="19" t="n">
        <v>53.9166666666667</v>
      </c>
    </row>
    <row r="8129" customFormat="false" ht="15" hidden="false" customHeight="false" outlineLevel="0" collapsed="false">
      <c r="A8129" s="0" t="n">
        <v>8128</v>
      </c>
      <c r="B8129" s="18" t="n">
        <v>485924.391648567</v>
      </c>
      <c r="C8129" s="18" t="n">
        <v>0</v>
      </c>
      <c r="D8129" s="0" t="n">
        <v>0</v>
      </c>
      <c r="E8129" s="19" t="n">
        <v>37.6666666666667</v>
      </c>
    </row>
    <row r="8130" customFormat="false" ht="15" hidden="false" customHeight="false" outlineLevel="0" collapsed="false">
      <c r="A8130" s="0" t="n">
        <v>8129</v>
      </c>
      <c r="B8130" s="18" t="n">
        <v>2995399.86291799</v>
      </c>
      <c r="C8130" s="18" t="n">
        <v>1247697.58882812</v>
      </c>
      <c r="D8130" s="0" t="n">
        <v>1</v>
      </c>
    </row>
    <row r="8131" customFormat="false" ht="15" hidden="false" customHeight="false" outlineLevel="0" collapsed="false">
      <c r="A8131" s="0" t="n">
        <v>8130</v>
      </c>
      <c r="B8131" s="18" t="n">
        <v>2625503.83465047</v>
      </c>
      <c r="C8131" s="18" t="n">
        <v>4693776.78038051</v>
      </c>
      <c r="D8131" s="0" t="n">
        <v>1</v>
      </c>
    </row>
    <row r="8132" customFormat="false" ht="15" hidden="false" customHeight="false" outlineLevel="0" collapsed="false">
      <c r="A8132" s="0" t="n">
        <v>8131</v>
      </c>
      <c r="B8132" s="18" t="n">
        <v>601830.974089513</v>
      </c>
      <c r="C8132" s="18" t="n">
        <v>0</v>
      </c>
      <c r="D8132" s="0" t="n">
        <v>0</v>
      </c>
      <c r="E8132" s="19" t="n">
        <v>34.6666666666667</v>
      </c>
    </row>
    <row r="8133" customFormat="false" ht="15" hidden="false" customHeight="false" outlineLevel="0" collapsed="false">
      <c r="A8133" s="0" t="n">
        <v>8132</v>
      </c>
      <c r="B8133" s="18" t="n">
        <v>978354.941653779</v>
      </c>
      <c r="C8133" s="18" t="n">
        <v>0</v>
      </c>
      <c r="D8133" s="0" t="n">
        <v>0</v>
      </c>
      <c r="E8133" s="19" t="n">
        <v>36.9166666666667</v>
      </c>
    </row>
    <row r="8134" customFormat="false" ht="15" hidden="false" customHeight="false" outlineLevel="0" collapsed="false">
      <c r="A8134" s="0" t="n">
        <v>8133</v>
      </c>
      <c r="B8134" s="18" t="n">
        <v>1929404.75363686</v>
      </c>
      <c r="C8134" s="18" t="n">
        <v>6516221.26167535</v>
      </c>
      <c r="D8134" s="0" t="n">
        <v>1</v>
      </c>
    </row>
    <row r="8135" customFormat="false" ht="15" hidden="false" customHeight="false" outlineLevel="0" collapsed="false">
      <c r="A8135" s="0" t="n">
        <v>8134</v>
      </c>
      <c r="B8135" s="18" t="n">
        <v>525016.532143375</v>
      </c>
      <c r="C8135" s="18" t="n">
        <v>0</v>
      </c>
      <c r="D8135" s="0" t="n">
        <v>0</v>
      </c>
      <c r="E8135" s="19" t="n">
        <v>31.9166666666667</v>
      </c>
    </row>
    <row r="8136" customFormat="false" ht="15" hidden="false" customHeight="false" outlineLevel="0" collapsed="false">
      <c r="A8136" s="0" t="n">
        <v>8135</v>
      </c>
      <c r="B8136" s="18" t="n">
        <v>534279.589919524</v>
      </c>
      <c r="C8136" s="18" t="n">
        <v>0</v>
      </c>
      <c r="D8136" s="0" t="n">
        <v>0</v>
      </c>
      <c r="E8136" s="19" t="n">
        <v>35.6666666666667</v>
      </c>
    </row>
    <row r="8137" customFormat="false" ht="15" hidden="false" customHeight="false" outlineLevel="0" collapsed="false">
      <c r="A8137" s="0" t="n">
        <v>8136</v>
      </c>
      <c r="B8137" s="18" t="n">
        <v>502192.926251802</v>
      </c>
      <c r="C8137" s="18" t="n">
        <v>0</v>
      </c>
      <c r="D8137" s="0" t="n">
        <v>0</v>
      </c>
      <c r="E8137" s="19" t="n">
        <v>35.5833333333333</v>
      </c>
    </row>
    <row r="8138" customFormat="false" ht="15" hidden="false" customHeight="false" outlineLevel="0" collapsed="false">
      <c r="A8138" s="0" t="n">
        <v>8137</v>
      </c>
      <c r="B8138" s="18" t="n">
        <v>1586779.50651873</v>
      </c>
      <c r="C8138" s="18" t="n">
        <v>6305333.4288917</v>
      </c>
      <c r="D8138" s="0" t="n">
        <v>1</v>
      </c>
    </row>
    <row r="8139" customFormat="false" ht="15" hidden="false" customHeight="false" outlineLevel="0" collapsed="false">
      <c r="A8139" s="0" t="n">
        <v>8138</v>
      </c>
      <c r="B8139" s="18" t="n">
        <v>1403507.94646679</v>
      </c>
      <c r="C8139" s="18" t="n">
        <v>8611928.74927557</v>
      </c>
      <c r="D8139" s="0" t="n">
        <v>1</v>
      </c>
    </row>
    <row r="8140" customFormat="false" ht="15" hidden="false" customHeight="false" outlineLevel="0" collapsed="false">
      <c r="A8140" s="0" t="n">
        <v>8139</v>
      </c>
      <c r="B8140" s="18" t="n">
        <v>943453.050593384</v>
      </c>
      <c r="C8140" s="18" t="n">
        <v>0</v>
      </c>
      <c r="D8140" s="0" t="n">
        <v>0</v>
      </c>
      <c r="E8140" s="19" t="n">
        <v>52.0833333333333</v>
      </c>
    </row>
    <row r="8141" customFormat="false" ht="15" hidden="false" customHeight="false" outlineLevel="0" collapsed="false">
      <c r="A8141" s="0" t="n">
        <v>8140</v>
      </c>
      <c r="B8141" s="18" t="n">
        <v>519913.611114256</v>
      </c>
      <c r="C8141" s="18" t="n">
        <v>0</v>
      </c>
      <c r="D8141" s="0" t="n">
        <v>0</v>
      </c>
      <c r="E8141" s="19" t="n">
        <v>36</v>
      </c>
    </row>
    <row r="8142" customFormat="false" ht="15" hidden="false" customHeight="false" outlineLevel="0" collapsed="false">
      <c r="A8142" s="0" t="n">
        <v>8141</v>
      </c>
      <c r="B8142" s="18" t="n">
        <v>484967.432285028</v>
      </c>
      <c r="C8142" s="18" t="n">
        <v>0</v>
      </c>
      <c r="D8142" s="0" t="n">
        <v>0</v>
      </c>
      <c r="E8142" s="19" t="n">
        <v>32.75</v>
      </c>
    </row>
    <row r="8143" customFormat="false" ht="15" hidden="false" customHeight="false" outlineLevel="0" collapsed="false">
      <c r="A8143" s="0" t="n">
        <v>8142</v>
      </c>
      <c r="B8143" s="18" t="n">
        <v>378162.783052628</v>
      </c>
      <c r="C8143" s="18" t="n">
        <v>0</v>
      </c>
      <c r="D8143" s="0" t="n">
        <v>0</v>
      </c>
      <c r="E8143" s="19" t="n">
        <v>32.8333333333333</v>
      </c>
    </row>
    <row r="8144" customFormat="false" ht="15" hidden="false" customHeight="false" outlineLevel="0" collapsed="false">
      <c r="A8144" s="0" t="n">
        <v>8143</v>
      </c>
      <c r="B8144" s="18" t="n">
        <v>1262619.05123179</v>
      </c>
      <c r="C8144" s="18" t="n">
        <v>0</v>
      </c>
      <c r="D8144" s="0" t="n">
        <v>0</v>
      </c>
      <c r="E8144" s="19" t="n">
        <v>51.3333333333333</v>
      </c>
    </row>
    <row r="8145" customFormat="false" ht="15" hidden="false" customHeight="false" outlineLevel="0" collapsed="false">
      <c r="A8145" s="0" t="n">
        <v>8144</v>
      </c>
      <c r="B8145" s="18" t="n">
        <v>1341585.37218729</v>
      </c>
      <c r="C8145" s="18" t="n">
        <v>2545227.7307971</v>
      </c>
      <c r="D8145" s="0" t="n">
        <v>1</v>
      </c>
    </row>
    <row r="8146" customFormat="false" ht="15" hidden="false" customHeight="false" outlineLevel="0" collapsed="false">
      <c r="A8146" s="0" t="n">
        <v>8145</v>
      </c>
      <c r="B8146" s="18" t="n">
        <v>2714447.08111563</v>
      </c>
      <c r="C8146" s="18" t="n">
        <v>7956264.93571997</v>
      </c>
      <c r="D8146" s="0" t="n">
        <v>1</v>
      </c>
    </row>
    <row r="8147" customFormat="false" ht="15" hidden="false" customHeight="false" outlineLevel="0" collapsed="false">
      <c r="A8147" s="0" t="n">
        <v>8146</v>
      </c>
      <c r="B8147" s="18" t="n">
        <v>662559.182017604</v>
      </c>
      <c r="C8147" s="18" t="n">
        <v>0</v>
      </c>
      <c r="D8147" s="0" t="n">
        <v>0</v>
      </c>
      <c r="E8147" s="19" t="n">
        <v>44.5833333333333</v>
      </c>
    </row>
    <row r="8148" customFormat="false" ht="15" hidden="false" customHeight="false" outlineLevel="0" collapsed="false">
      <c r="A8148" s="0" t="n">
        <v>8147</v>
      </c>
      <c r="B8148" s="18" t="n">
        <v>809820.088321436</v>
      </c>
      <c r="C8148" s="18" t="n">
        <v>0</v>
      </c>
      <c r="D8148" s="0" t="n">
        <v>0</v>
      </c>
      <c r="E8148" s="19" t="n">
        <v>43</v>
      </c>
    </row>
    <row r="8149" customFormat="false" ht="15" hidden="false" customHeight="false" outlineLevel="0" collapsed="false">
      <c r="A8149" s="0" t="n">
        <v>8148</v>
      </c>
      <c r="B8149" s="18" t="n">
        <v>775519.203957096</v>
      </c>
      <c r="C8149" s="18" t="n">
        <v>0</v>
      </c>
      <c r="D8149" s="0" t="n">
        <v>0</v>
      </c>
      <c r="E8149" s="19" t="n">
        <v>36.1666666666667</v>
      </c>
    </row>
    <row r="8150" customFormat="false" ht="15" hidden="false" customHeight="false" outlineLevel="0" collapsed="false">
      <c r="A8150" s="0" t="n">
        <v>8149</v>
      </c>
      <c r="B8150" s="18" t="n">
        <v>630396.643543371</v>
      </c>
      <c r="C8150" s="18" t="n">
        <v>0</v>
      </c>
      <c r="D8150" s="0" t="n">
        <v>0</v>
      </c>
      <c r="E8150" s="19" t="n">
        <v>37.3333333333333</v>
      </c>
    </row>
    <row r="8151" customFormat="false" ht="15" hidden="false" customHeight="false" outlineLevel="0" collapsed="false">
      <c r="A8151" s="0" t="n">
        <v>8150</v>
      </c>
      <c r="B8151" s="18" t="n">
        <v>1545021.81936378</v>
      </c>
      <c r="C8151" s="18" t="n">
        <v>10237660.4434749</v>
      </c>
      <c r="D8151" s="0" t="n">
        <v>1</v>
      </c>
    </row>
    <row r="8152" customFormat="false" ht="15" hidden="false" customHeight="false" outlineLevel="0" collapsed="false">
      <c r="A8152" s="0" t="n">
        <v>8151</v>
      </c>
      <c r="B8152" s="18" t="n">
        <v>377540.512063238</v>
      </c>
      <c r="C8152" s="18" t="n">
        <v>0</v>
      </c>
      <c r="D8152" s="0" t="n">
        <v>0</v>
      </c>
      <c r="E8152" s="19" t="n">
        <v>32.9166666666667</v>
      </c>
    </row>
    <row r="8153" customFormat="false" ht="15" hidden="false" customHeight="false" outlineLevel="0" collapsed="false">
      <c r="A8153" s="0" t="n">
        <v>8152</v>
      </c>
      <c r="B8153" s="18" t="n">
        <v>790579.039097822</v>
      </c>
      <c r="C8153" s="18" t="n">
        <v>0</v>
      </c>
      <c r="D8153" s="0" t="n">
        <v>0</v>
      </c>
      <c r="E8153" s="19" t="n">
        <v>43.5</v>
      </c>
    </row>
    <row r="8154" customFormat="false" ht="15" hidden="false" customHeight="false" outlineLevel="0" collapsed="false">
      <c r="A8154" s="0" t="n">
        <v>8153</v>
      </c>
      <c r="B8154" s="18" t="n">
        <v>1096910.33174917</v>
      </c>
      <c r="C8154" s="18" t="n">
        <v>2531182.56306488</v>
      </c>
      <c r="D8154" s="0" t="n">
        <v>1</v>
      </c>
    </row>
    <row r="8155" customFormat="false" ht="15" hidden="false" customHeight="false" outlineLevel="0" collapsed="false">
      <c r="A8155" s="0" t="n">
        <v>8154</v>
      </c>
      <c r="B8155" s="18" t="n">
        <v>940748.542070243</v>
      </c>
      <c r="C8155" s="18" t="n">
        <v>0</v>
      </c>
      <c r="D8155" s="0" t="n">
        <v>0</v>
      </c>
      <c r="E8155" s="19" t="n">
        <v>48.0833333333333</v>
      </c>
    </row>
    <row r="8156" customFormat="false" ht="15" hidden="false" customHeight="false" outlineLevel="0" collapsed="false">
      <c r="A8156" s="0" t="n">
        <v>8155</v>
      </c>
      <c r="B8156" s="18" t="n">
        <v>1657898.92179155</v>
      </c>
      <c r="C8156" s="18" t="n">
        <v>955571.939973236</v>
      </c>
      <c r="D8156" s="0" t="n">
        <v>1</v>
      </c>
    </row>
    <row r="8157" customFormat="false" ht="15" hidden="false" customHeight="false" outlineLevel="0" collapsed="false">
      <c r="A8157" s="0" t="n">
        <v>8156</v>
      </c>
      <c r="B8157" s="18" t="n">
        <v>396888.534582321</v>
      </c>
      <c r="C8157" s="18" t="n">
        <v>0</v>
      </c>
      <c r="D8157" s="0" t="n">
        <v>0</v>
      </c>
      <c r="E8157" s="19" t="n">
        <v>31.5</v>
      </c>
    </row>
    <row r="8158" customFormat="false" ht="15" hidden="false" customHeight="false" outlineLevel="0" collapsed="false">
      <c r="A8158" s="0" t="n">
        <v>8157</v>
      </c>
      <c r="B8158" s="18" t="n">
        <v>3090267.37605582</v>
      </c>
      <c r="C8158" s="18" t="n">
        <v>14123551.0697302</v>
      </c>
      <c r="D8158" s="0" t="n">
        <v>1</v>
      </c>
    </row>
    <row r="8159" customFormat="false" ht="15" hidden="false" customHeight="false" outlineLevel="0" collapsed="false">
      <c r="A8159" s="0" t="n">
        <v>8158</v>
      </c>
      <c r="B8159" s="18" t="n">
        <v>633425.828710267</v>
      </c>
      <c r="C8159" s="18" t="n">
        <v>0</v>
      </c>
      <c r="D8159" s="0" t="n">
        <v>0</v>
      </c>
      <c r="E8159" s="19" t="n">
        <v>33.9166666666667</v>
      </c>
    </row>
    <row r="8160" customFormat="false" ht="15" hidden="false" customHeight="false" outlineLevel="0" collapsed="false">
      <c r="A8160" s="0" t="n">
        <v>8159</v>
      </c>
      <c r="B8160" s="18" t="n">
        <v>1076074.23184874</v>
      </c>
      <c r="C8160" s="18" t="n">
        <v>2451071.34446543</v>
      </c>
      <c r="D8160" s="0" t="n">
        <v>1</v>
      </c>
    </row>
    <row r="8161" customFormat="false" ht="15" hidden="false" customHeight="false" outlineLevel="0" collapsed="false">
      <c r="A8161" s="0" t="n">
        <v>8160</v>
      </c>
      <c r="B8161" s="18" t="n">
        <v>1376681.81971289</v>
      </c>
      <c r="C8161" s="18" t="n">
        <v>5311686.78276805</v>
      </c>
      <c r="D8161" s="0" t="n">
        <v>1</v>
      </c>
    </row>
    <row r="8162" customFormat="false" ht="15" hidden="false" customHeight="false" outlineLevel="0" collapsed="false">
      <c r="A8162" s="0" t="n">
        <v>8161</v>
      </c>
      <c r="B8162" s="18" t="n">
        <v>752531.218893847</v>
      </c>
      <c r="C8162" s="18" t="n">
        <v>2369662.75363748</v>
      </c>
      <c r="D8162" s="0" t="n">
        <v>1</v>
      </c>
    </row>
    <row r="8163" customFormat="false" ht="15" hidden="false" customHeight="false" outlineLevel="0" collapsed="false">
      <c r="A8163" s="0" t="n">
        <v>8162</v>
      </c>
      <c r="B8163" s="18" t="n">
        <v>1551416.77604162</v>
      </c>
      <c r="C8163" s="18" t="n">
        <v>0</v>
      </c>
      <c r="D8163" s="0" t="n">
        <v>0</v>
      </c>
      <c r="E8163" s="19" t="n">
        <v>48.5</v>
      </c>
    </row>
    <row r="8164" customFormat="false" ht="15" hidden="false" customHeight="false" outlineLevel="0" collapsed="false">
      <c r="A8164" s="0" t="n">
        <v>8163</v>
      </c>
      <c r="B8164" s="18" t="n">
        <v>762431.712430555</v>
      </c>
      <c r="C8164" s="18" t="n">
        <v>0</v>
      </c>
      <c r="D8164" s="0" t="n">
        <v>0</v>
      </c>
      <c r="E8164" s="19" t="n">
        <v>37.25</v>
      </c>
    </row>
    <row r="8165" customFormat="false" ht="15" hidden="false" customHeight="false" outlineLevel="0" collapsed="false">
      <c r="A8165" s="0" t="n">
        <v>8164</v>
      </c>
      <c r="B8165" s="18" t="n">
        <v>2496909.50236591</v>
      </c>
      <c r="C8165" s="18" t="n">
        <v>8270892.51876218</v>
      </c>
      <c r="D8165" s="0" t="n">
        <v>1</v>
      </c>
    </row>
    <row r="8166" customFormat="false" ht="15" hidden="false" customHeight="false" outlineLevel="0" collapsed="false">
      <c r="A8166" s="0" t="n">
        <v>8165</v>
      </c>
      <c r="B8166" s="18" t="n">
        <v>1697271.13696566</v>
      </c>
      <c r="C8166" s="18" t="n">
        <v>6220460.33385032</v>
      </c>
      <c r="D8166" s="0" t="n">
        <v>1</v>
      </c>
    </row>
    <row r="8167" customFormat="false" ht="15" hidden="false" customHeight="false" outlineLevel="0" collapsed="false">
      <c r="A8167" s="0" t="n">
        <v>8166</v>
      </c>
      <c r="B8167" s="18" t="n">
        <v>472672.117828353</v>
      </c>
      <c r="C8167" s="18" t="n">
        <v>0</v>
      </c>
      <c r="D8167" s="0" t="n">
        <v>0</v>
      </c>
      <c r="E8167" s="19" t="n">
        <v>33.9166666666667</v>
      </c>
    </row>
    <row r="8168" customFormat="false" ht="15" hidden="false" customHeight="false" outlineLevel="0" collapsed="false">
      <c r="A8168" s="0" t="n">
        <v>8167</v>
      </c>
      <c r="B8168" s="18" t="n">
        <v>640383.115626338</v>
      </c>
      <c r="C8168" s="18" t="n">
        <v>0</v>
      </c>
      <c r="D8168" s="0" t="n">
        <v>0</v>
      </c>
      <c r="E8168" s="19" t="n">
        <v>40.0833333333333</v>
      </c>
    </row>
    <row r="8169" customFormat="false" ht="15" hidden="false" customHeight="false" outlineLevel="0" collapsed="false">
      <c r="A8169" s="0" t="n">
        <v>8168</v>
      </c>
      <c r="B8169" s="18" t="n">
        <v>444269.859693139</v>
      </c>
      <c r="C8169" s="18" t="n">
        <v>0</v>
      </c>
      <c r="D8169" s="0" t="n">
        <v>0</v>
      </c>
      <c r="E8169" s="19" t="n">
        <v>33.6666666666667</v>
      </c>
    </row>
    <row r="8170" customFormat="false" ht="15" hidden="false" customHeight="false" outlineLevel="0" collapsed="false">
      <c r="A8170" s="0" t="n">
        <v>8169</v>
      </c>
      <c r="B8170" s="18" t="n">
        <v>1972254.94180392</v>
      </c>
      <c r="C8170" s="18" t="n">
        <v>4718939.29555688</v>
      </c>
      <c r="D8170" s="0" t="n">
        <v>1</v>
      </c>
    </row>
    <row r="8171" customFormat="false" ht="15" hidden="false" customHeight="false" outlineLevel="0" collapsed="false">
      <c r="A8171" s="0" t="n">
        <v>8170</v>
      </c>
      <c r="B8171" s="18" t="n">
        <v>290902.524365105</v>
      </c>
      <c r="C8171" s="18" t="n">
        <v>0</v>
      </c>
      <c r="D8171" s="0" t="n">
        <v>0</v>
      </c>
      <c r="E8171" s="19" t="n">
        <v>29.25</v>
      </c>
    </row>
    <row r="8172" customFormat="false" ht="15" hidden="false" customHeight="false" outlineLevel="0" collapsed="false">
      <c r="A8172" s="0" t="n">
        <v>8171</v>
      </c>
      <c r="B8172" s="18" t="n">
        <v>580692.560521416</v>
      </c>
      <c r="C8172" s="18" t="n">
        <v>0</v>
      </c>
      <c r="D8172" s="0" t="n">
        <v>0</v>
      </c>
      <c r="E8172" s="19" t="n">
        <v>35.1666666666667</v>
      </c>
    </row>
    <row r="8173" customFormat="false" ht="15" hidden="false" customHeight="false" outlineLevel="0" collapsed="false">
      <c r="A8173" s="0" t="n">
        <v>8172</v>
      </c>
      <c r="B8173" s="18" t="n">
        <v>617965.790121024</v>
      </c>
      <c r="C8173" s="18" t="n">
        <v>0</v>
      </c>
      <c r="D8173" s="0" t="n">
        <v>0</v>
      </c>
      <c r="E8173" s="19" t="n">
        <v>36.5</v>
      </c>
    </row>
    <row r="8174" customFormat="false" ht="15" hidden="false" customHeight="false" outlineLevel="0" collapsed="false">
      <c r="A8174" s="0" t="n">
        <v>8173</v>
      </c>
      <c r="B8174" s="18" t="n">
        <v>416494.401191407</v>
      </c>
      <c r="C8174" s="18" t="n">
        <v>0</v>
      </c>
      <c r="D8174" s="0" t="n">
        <v>0</v>
      </c>
      <c r="E8174" s="19" t="n">
        <v>31.8333333333333</v>
      </c>
    </row>
    <row r="8175" customFormat="false" ht="15" hidden="false" customHeight="false" outlineLevel="0" collapsed="false">
      <c r="A8175" s="0" t="n">
        <v>8174</v>
      </c>
      <c r="B8175" s="18" t="n">
        <v>669558.388560353</v>
      </c>
      <c r="C8175" s="18" t="n">
        <v>0</v>
      </c>
      <c r="D8175" s="0" t="n">
        <v>0</v>
      </c>
      <c r="E8175" s="19" t="n">
        <v>37.9166666666667</v>
      </c>
    </row>
    <row r="8176" customFormat="false" ht="15" hidden="false" customHeight="false" outlineLevel="0" collapsed="false">
      <c r="A8176" s="0" t="n">
        <v>8175</v>
      </c>
      <c r="B8176" s="18" t="n">
        <v>613394.965202318</v>
      </c>
      <c r="C8176" s="18" t="n">
        <v>0</v>
      </c>
      <c r="D8176" s="0" t="n">
        <v>0</v>
      </c>
      <c r="E8176" s="19" t="n">
        <v>44.75</v>
      </c>
    </row>
    <row r="8177" customFormat="false" ht="15" hidden="false" customHeight="false" outlineLevel="0" collapsed="false">
      <c r="A8177" s="0" t="n">
        <v>8176</v>
      </c>
      <c r="B8177" s="18" t="n">
        <v>760040.239382088</v>
      </c>
      <c r="C8177" s="18" t="n">
        <v>0</v>
      </c>
      <c r="D8177" s="0" t="n">
        <v>0</v>
      </c>
      <c r="E8177" s="19" t="n">
        <v>33.5</v>
      </c>
    </row>
    <row r="8178" customFormat="false" ht="15" hidden="false" customHeight="false" outlineLevel="0" collapsed="false">
      <c r="A8178" s="0" t="n">
        <v>8177</v>
      </c>
      <c r="B8178" s="18" t="n">
        <v>1230007.17383385</v>
      </c>
      <c r="C8178" s="18" t="n">
        <v>755486.186844056</v>
      </c>
      <c r="D8178" s="0" t="n">
        <v>1</v>
      </c>
    </row>
    <row r="8179" customFormat="false" ht="15" hidden="false" customHeight="false" outlineLevel="0" collapsed="false">
      <c r="A8179" s="0" t="n">
        <v>8178</v>
      </c>
      <c r="B8179" s="18" t="n">
        <v>1134489.20712854</v>
      </c>
      <c r="C8179" s="18" t="n">
        <v>0</v>
      </c>
      <c r="D8179" s="0" t="n">
        <v>0</v>
      </c>
      <c r="E8179" s="19" t="n">
        <v>41.75</v>
      </c>
    </row>
    <row r="8180" customFormat="false" ht="15" hidden="false" customHeight="false" outlineLevel="0" collapsed="false">
      <c r="A8180" s="0" t="n">
        <v>8179</v>
      </c>
      <c r="B8180" s="18" t="n">
        <v>725140.773902899</v>
      </c>
      <c r="C8180" s="18" t="n">
        <v>0</v>
      </c>
      <c r="D8180" s="0" t="n">
        <v>0</v>
      </c>
      <c r="E8180" s="19" t="n">
        <v>46.25</v>
      </c>
    </row>
    <row r="8181" customFormat="false" ht="15" hidden="false" customHeight="false" outlineLevel="0" collapsed="false">
      <c r="A8181" s="0" t="n">
        <v>8180</v>
      </c>
      <c r="B8181" s="18" t="n">
        <v>1497151.96651252</v>
      </c>
      <c r="C8181" s="18" t="n">
        <v>4669289.74778133</v>
      </c>
      <c r="D8181" s="0" t="n">
        <v>1</v>
      </c>
    </row>
    <row r="8182" customFormat="false" ht="15" hidden="false" customHeight="false" outlineLevel="0" collapsed="false">
      <c r="A8182" s="0" t="n">
        <v>8181</v>
      </c>
      <c r="B8182" s="18" t="n">
        <v>937185.505032114</v>
      </c>
      <c r="C8182" s="18" t="n">
        <v>0</v>
      </c>
      <c r="D8182" s="0" t="n">
        <v>0</v>
      </c>
      <c r="E8182" s="19" t="n">
        <v>48.5833333333333</v>
      </c>
    </row>
    <row r="8183" customFormat="false" ht="15" hidden="false" customHeight="false" outlineLevel="0" collapsed="false">
      <c r="A8183" s="0" t="n">
        <v>8182</v>
      </c>
      <c r="B8183" s="18" t="n">
        <v>817547.319304639</v>
      </c>
      <c r="C8183" s="18" t="n">
        <v>0</v>
      </c>
      <c r="D8183" s="0" t="n">
        <v>0</v>
      </c>
      <c r="E8183" s="19" t="n">
        <v>48.1666666666667</v>
      </c>
    </row>
    <row r="8184" customFormat="false" ht="15" hidden="false" customHeight="false" outlineLevel="0" collapsed="false">
      <c r="A8184" s="0" t="n">
        <v>8183</v>
      </c>
      <c r="B8184" s="18" t="n">
        <v>486461.725301778</v>
      </c>
      <c r="C8184" s="18" t="n">
        <v>0</v>
      </c>
      <c r="D8184" s="0" t="n">
        <v>0</v>
      </c>
      <c r="E8184" s="19" t="n">
        <v>31.5833333333333</v>
      </c>
    </row>
    <row r="8185" customFormat="false" ht="15" hidden="false" customHeight="false" outlineLevel="0" collapsed="false">
      <c r="A8185" s="0" t="n">
        <v>8184</v>
      </c>
      <c r="B8185" s="18" t="n">
        <v>1494137.61020806</v>
      </c>
      <c r="C8185" s="18" t="n">
        <v>1640319.73586075</v>
      </c>
      <c r="D8185" s="0" t="n">
        <v>1</v>
      </c>
    </row>
    <row r="8186" customFormat="false" ht="15" hidden="false" customHeight="false" outlineLevel="0" collapsed="false">
      <c r="A8186" s="0" t="n">
        <v>8185</v>
      </c>
      <c r="B8186" s="18" t="n">
        <v>1081166.34115958</v>
      </c>
      <c r="C8186" s="18" t="n">
        <v>0</v>
      </c>
      <c r="D8186" s="0" t="n">
        <v>0</v>
      </c>
      <c r="E8186" s="19" t="n">
        <v>50.4166666666667</v>
      </c>
    </row>
    <row r="8187" customFormat="false" ht="15" hidden="false" customHeight="false" outlineLevel="0" collapsed="false">
      <c r="A8187" s="0" t="n">
        <v>8186</v>
      </c>
      <c r="B8187" s="18" t="n">
        <v>315641.947632124</v>
      </c>
      <c r="C8187" s="18" t="n">
        <v>0</v>
      </c>
      <c r="D8187" s="0" t="n">
        <v>0</v>
      </c>
      <c r="E8187" s="19" t="n">
        <v>30.4166666666667</v>
      </c>
    </row>
    <row r="8188" customFormat="false" ht="15" hidden="false" customHeight="false" outlineLevel="0" collapsed="false">
      <c r="A8188" s="0" t="n">
        <v>8187</v>
      </c>
      <c r="B8188" s="18" t="n">
        <v>674661.219754088</v>
      </c>
      <c r="C8188" s="18" t="n">
        <v>0</v>
      </c>
      <c r="D8188" s="0" t="n">
        <v>0</v>
      </c>
      <c r="E8188" s="19" t="n">
        <v>36.9166666666667</v>
      </c>
    </row>
    <row r="8189" customFormat="false" ht="15" hidden="false" customHeight="false" outlineLevel="0" collapsed="false">
      <c r="A8189" s="0" t="n">
        <v>8188</v>
      </c>
      <c r="B8189" s="18" t="n">
        <v>602457.519253034</v>
      </c>
      <c r="C8189" s="18" t="n">
        <v>3335978.9844707</v>
      </c>
      <c r="D8189" s="0" t="n">
        <v>1</v>
      </c>
    </row>
    <row r="8190" customFormat="false" ht="15" hidden="false" customHeight="false" outlineLevel="0" collapsed="false">
      <c r="A8190" s="0" t="n">
        <v>8189</v>
      </c>
      <c r="B8190" s="18" t="n">
        <v>1245759.36142998</v>
      </c>
      <c r="C8190" s="18" t="n">
        <v>1116678.35135121</v>
      </c>
      <c r="D8190" s="0" t="n">
        <v>1</v>
      </c>
    </row>
    <row r="8191" customFormat="false" ht="15" hidden="false" customHeight="false" outlineLevel="0" collapsed="false">
      <c r="A8191" s="0" t="n">
        <v>8190</v>
      </c>
      <c r="B8191" s="18" t="n">
        <v>424393.110630444</v>
      </c>
      <c r="C8191" s="18" t="n">
        <v>0</v>
      </c>
      <c r="D8191" s="0" t="n">
        <v>0</v>
      </c>
      <c r="E8191" s="19" t="n">
        <v>33.6666666666667</v>
      </c>
    </row>
    <row r="8192" customFormat="false" ht="15" hidden="false" customHeight="false" outlineLevel="0" collapsed="false">
      <c r="A8192" s="0" t="n">
        <v>8191</v>
      </c>
      <c r="B8192" s="18" t="n">
        <v>1757858.0292614</v>
      </c>
      <c r="C8192" s="18" t="n">
        <v>19688307.9244966</v>
      </c>
      <c r="D8192" s="0" t="n">
        <v>1</v>
      </c>
    </row>
    <row r="8193" customFormat="false" ht="15" hidden="false" customHeight="false" outlineLevel="0" collapsed="false">
      <c r="A8193" s="0" t="n">
        <v>8192</v>
      </c>
      <c r="B8193" s="18" t="n">
        <v>1254685.64795127</v>
      </c>
      <c r="C8193" s="18" t="n">
        <v>2738517.5081078</v>
      </c>
      <c r="D8193" s="0" t="n">
        <v>1</v>
      </c>
    </row>
    <row r="8194" customFormat="false" ht="15" hidden="false" customHeight="false" outlineLevel="0" collapsed="false">
      <c r="A8194" s="0" t="n">
        <v>8193</v>
      </c>
      <c r="B8194" s="18" t="n">
        <v>456690.503096005</v>
      </c>
      <c r="C8194" s="18" t="n">
        <v>0</v>
      </c>
      <c r="D8194" s="0" t="n">
        <v>0</v>
      </c>
      <c r="E8194" s="19" t="n">
        <v>32.5833333333333</v>
      </c>
    </row>
    <row r="8195" customFormat="false" ht="15" hidden="false" customHeight="false" outlineLevel="0" collapsed="false">
      <c r="A8195" s="0" t="n">
        <v>8194</v>
      </c>
      <c r="B8195" s="18" t="n">
        <v>428896.190219161</v>
      </c>
      <c r="C8195" s="18" t="n">
        <v>0</v>
      </c>
      <c r="D8195" s="0" t="n">
        <v>0</v>
      </c>
      <c r="E8195" s="19" t="n">
        <v>34.1666666666667</v>
      </c>
    </row>
    <row r="8196" customFormat="false" ht="15" hidden="false" customHeight="false" outlineLevel="0" collapsed="false">
      <c r="A8196" s="0" t="n">
        <v>8195</v>
      </c>
      <c r="B8196" s="18" t="n">
        <v>433432.313702934</v>
      </c>
      <c r="C8196" s="18" t="n">
        <v>0</v>
      </c>
      <c r="D8196" s="0" t="n">
        <v>0</v>
      </c>
      <c r="E8196" s="19" t="n">
        <v>37.5833333333333</v>
      </c>
    </row>
    <row r="8197" customFormat="false" ht="15" hidden="false" customHeight="false" outlineLevel="0" collapsed="false">
      <c r="A8197" s="0" t="n">
        <v>8196</v>
      </c>
      <c r="B8197" s="18" t="n">
        <v>1451756.7075293</v>
      </c>
      <c r="C8197" s="18" t="n">
        <v>0</v>
      </c>
      <c r="D8197" s="0" t="n">
        <v>0</v>
      </c>
      <c r="E8197" s="19" t="n">
        <v>40.25</v>
      </c>
    </row>
    <row r="8198" customFormat="false" ht="15" hidden="false" customHeight="false" outlineLevel="0" collapsed="false">
      <c r="A8198" s="0" t="n">
        <v>8197</v>
      </c>
      <c r="B8198" s="18" t="n">
        <v>992409.72362935</v>
      </c>
      <c r="C8198" s="18" t="n">
        <v>0</v>
      </c>
      <c r="D8198" s="0" t="n">
        <v>0</v>
      </c>
      <c r="E8198" s="19" t="n">
        <v>45.0833333333333</v>
      </c>
    </row>
    <row r="8199" customFormat="false" ht="15" hidden="false" customHeight="false" outlineLevel="0" collapsed="false">
      <c r="A8199" s="0" t="n">
        <v>8198</v>
      </c>
      <c r="B8199" s="18" t="n">
        <v>477327.866712904</v>
      </c>
      <c r="C8199" s="18" t="n">
        <v>69541.5130370049</v>
      </c>
      <c r="D8199" s="0" t="n">
        <v>1</v>
      </c>
    </row>
    <row r="8200" customFormat="false" ht="15" hidden="false" customHeight="false" outlineLevel="0" collapsed="false">
      <c r="A8200" s="0" t="n">
        <v>8199</v>
      </c>
      <c r="B8200" s="18" t="n">
        <v>1106329.4296568</v>
      </c>
      <c r="C8200" s="18" t="n">
        <v>2389684.98636091</v>
      </c>
      <c r="D8200" s="0" t="n">
        <v>1</v>
      </c>
    </row>
    <row r="8201" customFormat="false" ht="15" hidden="false" customHeight="false" outlineLevel="0" collapsed="false">
      <c r="A8201" s="0" t="n">
        <v>8200</v>
      </c>
      <c r="B8201" s="18" t="n">
        <v>557880.881433067</v>
      </c>
      <c r="C8201" s="18" t="n">
        <v>0</v>
      </c>
      <c r="D8201" s="0" t="n">
        <v>0</v>
      </c>
      <c r="E8201" s="19" t="n">
        <v>36</v>
      </c>
    </row>
    <row r="8202" customFormat="false" ht="15" hidden="false" customHeight="false" outlineLevel="0" collapsed="false">
      <c r="A8202" s="0" t="n">
        <v>8201</v>
      </c>
      <c r="B8202" s="18" t="n">
        <v>3553868.20654668</v>
      </c>
      <c r="C8202" s="18" t="n">
        <v>91763379.135124</v>
      </c>
      <c r="D8202" s="0" t="n">
        <v>1</v>
      </c>
    </row>
    <row r="8203" customFormat="false" ht="15" hidden="false" customHeight="false" outlineLevel="0" collapsed="false">
      <c r="A8203" s="0" t="n">
        <v>8202</v>
      </c>
      <c r="B8203" s="18" t="n">
        <v>1520643.67170169</v>
      </c>
      <c r="C8203" s="18" t="n">
        <v>2336812.23575433</v>
      </c>
      <c r="D8203" s="0" t="n">
        <v>1</v>
      </c>
    </row>
    <row r="8204" customFormat="false" ht="15" hidden="false" customHeight="false" outlineLevel="0" collapsed="false">
      <c r="A8204" s="0" t="n">
        <v>8203</v>
      </c>
      <c r="B8204" s="18" t="n">
        <v>609494.064367021</v>
      </c>
      <c r="C8204" s="18" t="n">
        <v>0</v>
      </c>
      <c r="D8204" s="0" t="n">
        <v>0</v>
      </c>
      <c r="E8204" s="19" t="n">
        <v>43.25</v>
      </c>
    </row>
    <row r="8205" customFormat="false" ht="15" hidden="false" customHeight="false" outlineLevel="0" collapsed="false">
      <c r="A8205" s="0" t="n">
        <v>8204</v>
      </c>
      <c r="B8205" s="18" t="n">
        <v>1220837.6265386</v>
      </c>
      <c r="C8205" s="18" t="n">
        <v>5062262.58919198</v>
      </c>
      <c r="D8205" s="0" t="n">
        <v>1</v>
      </c>
    </row>
    <row r="8206" customFormat="false" ht="15" hidden="false" customHeight="false" outlineLevel="0" collapsed="false">
      <c r="A8206" s="0" t="n">
        <v>8205</v>
      </c>
      <c r="B8206" s="18" t="n">
        <v>1208210.44311427</v>
      </c>
      <c r="C8206" s="18" t="n">
        <v>2072777.47708656</v>
      </c>
      <c r="D8206" s="0" t="n">
        <v>1</v>
      </c>
    </row>
    <row r="8207" customFormat="false" ht="15" hidden="false" customHeight="false" outlineLevel="0" collapsed="false">
      <c r="A8207" s="0" t="n">
        <v>8206</v>
      </c>
      <c r="B8207" s="18" t="n">
        <v>879919.039975691</v>
      </c>
      <c r="C8207" s="18" t="n">
        <v>0</v>
      </c>
      <c r="D8207" s="0" t="n">
        <v>0</v>
      </c>
      <c r="E8207" s="19" t="n">
        <v>37.5833333333333</v>
      </c>
    </row>
    <row r="8208" customFormat="false" ht="15" hidden="false" customHeight="false" outlineLevel="0" collapsed="false">
      <c r="A8208" s="0" t="n">
        <v>8207</v>
      </c>
      <c r="B8208" s="18" t="n">
        <v>2131036.26490275</v>
      </c>
      <c r="C8208" s="18" t="n">
        <v>30919229.6896341</v>
      </c>
      <c r="D8208" s="0" t="n">
        <v>1</v>
      </c>
    </row>
    <row r="8209" customFormat="false" ht="15" hidden="false" customHeight="false" outlineLevel="0" collapsed="false">
      <c r="A8209" s="0" t="n">
        <v>8208</v>
      </c>
      <c r="B8209" s="18" t="n">
        <v>653766.846167705</v>
      </c>
      <c r="C8209" s="18" t="n">
        <v>0</v>
      </c>
      <c r="D8209" s="0" t="n">
        <v>0</v>
      </c>
      <c r="E8209" s="19" t="n">
        <v>36.5</v>
      </c>
    </row>
    <row r="8210" customFormat="false" ht="15" hidden="false" customHeight="false" outlineLevel="0" collapsed="false">
      <c r="A8210" s="0" t="n">
        <v>8209</v>
      </c>
      <c r="B8210" s="18" t="n">
        <v>794814.412631627</v>
      </c>
      <c r="C8210" s="18" t="n">
        <v>0</v>
      </c>
      <c r="D8210" s="0" t="n">
        <v>0</v>
      </c>
      <c r="E8210" s="19" t="n">
        <v>37</v>
      </c>
    </row>
    <row r="8211" customFormat="false" ht="15" hidden="false" customHeight="false" outlineLevel="0" collapsed="false">
      <c r="A8211" s="0" t="n">
        <v>8210</v>
      </c>
      <c r="B8211" s="18" t="n">
        <v>500920.521016539</v>
      </c>
      <c r="C8211" s="18" t="n">
        <v>0</v>
      </c>
      <c r="D8211" s="0" t="n">
        <v>0</v>
      </c>
      <c r="E8211" s="19" t="n">
        <v>33.5</v>
      </c>
    </row>
    <row r="8212" customFormat="false" ht="15" hidden="false" customHeight="false" outlineLevel="0" collapsed="false">
      <c r="A8212" s="0" t="n">
        <v>8211</v>
      </c>
      <c r="B8212" s="18" t="n">
        <v>711508.052319635</v>
      </c>
      <c r="C8212" s="18" t="n">
        <v>0</v>
      </c>
      <c r="D8212" s="0" t="n">
        <v>0</v>
      </c>
      <c r="E8212" s="19" t="n">
        <v>52.5833333333333</v>
      </c>
    </row>
    <row r="8213" customFormat="false" ht="15" hidden="false" customHeight="false" outlineLevel="0" collapsed="false">
      <c r="A8213" s="0" t="n">
        <v>8212</v>
      </c>
      <c r="B8213" s="18" t="n">
        <v>1029019.79696247</v>
      </c>
      <c r="C8213" s="18" t="n">
        <v>0</v>
      </c>
      <c r="D8213" s="0" t="n">
        <v>0</v>
      </c>
      <c r="E8213" s="19" t="n">
        <v>38</v>
      </c>
    </row>
    <row r="8214" customFormat="false" ht="15" hidden="false" customHeight="false" outlineLevel="0" collapsed="false">
      <c r="A8214" s="0" t="n">
        <v>8213</v>
      </c>
      <c r="B8214" s="18" t="n">
        <v>435155.89051555</v>
      </c>
      <c r="C8214" s="18" t="n">
        <v>0</v>
      </c>
      <c r="D8214" s="0" t="n">
        <v>0</v>
      </c>
      <c r="E8214" s="19" t="n">
        <v>32.1666666666667</v>
      </c>
    </row>
    <row r="8215" customFormat="false" ht="15" hidden="false" customHeight="false" outlineLevel="0" collapsed="false">
      <c r="A8215" s="0" t="n">
        <v>8214</v>
      </c>
      <c r="B8215" s="18" t="n">
        <v>922962.755155398</v>
      </c>
      <c r="C8215" s="18" t="n">
        <v>0</v>
      </c>
      <c r="D8215" s="0" t="n">
        <v>0</v>
      </c>
      <c r="E8215" s="19" t="n">
        <v>44.5</v>
      </c>
    </row>
    <row r="8216" customFormat="false" ht="15" hidden="false" customHeight="false" outlineLevel="0" collapsed="false">
      <c r="A8216" s="0" t="n">
        <v>8215</v>
      </c>
      <c r="B8216" s="18" t="n">
        <v>397585.146652467</v>
      </c>
      <c r="C8216" s="18" t="n">
        <v>0</v>
      </c>
      <c r="D8216" s="0" t="n">
        <v>0</v>
      </c>
      <c r="E8216" s="19" t="n">
        <v>30.9166666666667</v>
      </c>
    </row>
    <row r="8217" customFormat="false" ht="15" hidden="false" customHeight="false" outlineLevel="0" collapsed="false">
      <c r="A8217" s="0" t="n">
        <v>8216</v>
      </c>
      <c r="B8217" s="18" t="n">
        <v>2584845.49355217</v>
      </c>
      <c r="C8217" s="18" t="n">
        <v>20442236.1103268</v>
      </c>
      <c r="D8217" s="0" t="n">
        <v>1</v>
      </c>
    </row>
    <row r="8218" customFormat="false" ht="15" hidden="false" customHeight="false" outlineLevel="0" collapsed="false">
      <c r="A8218" s="0" t="n">
        <v>8217</v>
      </c>
      <c r="B8218" s="18" t="n">
        <v>718393.13809231</v>
      </c>
      <c r="C8218" s="18" t="n">
        <v>0</v>
      </c>
      <c r="D8218" s="0" t="n">
        <v>0</v>
      </c>
      <c r="E8218" s="19" t="n">
        <v>43.75</v>
      </c>
    </row>
    <row r="8219" customFormat="false" ht="15" hidden="false" customHeight="false" outlineLevel="0" collapsed="false">
      <c r="A8219" s="0" t="n">
        <v>8218</v>
      </c>
      <c r="B8219" s="18" t="n">
        <v>897791.896911683</v>
      </c>
      <c r="C8219" s="18" t="n">
        <v>104843.641226803</v>
      </c>
      <c r="D8219" s="0" t="n">
        <v>1</v>
      </c>
    </row>
    <row r="8220" customFormat="false" ht="15" hidden="false" customHeight="false" outlineLevel="0" collapsed="false">
      <c r="A8220" s="0" t="n">
        <v>8219</v>
      </c>
      <c r="B8220" s="18" t="n">
        <v>639673.296967693</v>
      </c>
      <c r="C8220" s="18" t="n">
        <v>0</v>
      </c>
      <c r="D8220" s="0" t="n">
        <v>0</v>
      </c>
      <c r="E8220" s="19" t="n">
        <v>41.25</v>
      </c>
    </row>
    <row r="8221" customFormat="false" ht="15" hidden="false" customHeight="false" outlineLevel="0" collapsed="false">
      <c r="A8221" s="0" t="n">
        <v>8220</v>
      </c>
      <c r="B8221" s="18" t="n">
        <v>437279.751685123</v>
      </c>
      <c r="C8221" s="18" t="n">
        <v>0</v>
      </c>
      <c r="D8221" s="0" t="n">
        <v>0</v>
      </c>
      <c r="E8221" s="19" t="n">
        <v>37.3333333333333</v>
      </c>
    </row>
    <row r="8222" customFormat="false" ht="15" hidden="false" customHeight="false" outlineLevel="0" collapsed="false">
      <c r="A8222" s="0" t="n">
        <v>8221</v>
      </c>
      <c r="B8222" s="18" t="n">
        <v>878428.897003271</v>
      </c>
      <c r="C8222" s="18" t="n">
        <v>0</v>
      </c>
      <c r="D8222" s="0" t="n">
        <v>0</v>
      </c>
      <c r="E8222" s="19" t="n">
        <v>43.8333333333333</v>
      </c>
    </row>
    <row r="8223" customFormat="false" ht="15" hidden="false" customHeight="false" outlineLevel="0" collapsed="false">
      <c r="A8223" s="0" t="n">
        <v>8222</v>
      </c>
      <c r="B8223" s="18" t="n">
        <v>623367.7498807</v>
      </c>
      <c r="C8223" s="18" t="n">
        <v>0</v>
      </c>
      <c r="D8223" s="0" t="n">
        <v>0</v>
      </c>
      <c r="E8223" s="19" t="n">
        <v>34.5</v>
      </c>
    </row>
    <row r="8224" customFormat="false" ht="15" hidden="false" customHeight="false" outlineLevel="0" collapsed="false">
      <c r="A8224" s="0" t="n">
        <v>8223</v>
      </c>
      <c r="B8224" s="18" t="n">
        <v>900770.553766889</v>
      </c>
      <c r="C8224" s="18" t="n">
        <v>0</v>
      </c>
      <c r="D8224" s="0" t="n">
        <v>0</v>
      </c>
      <c r="E8224" s="19" t="n">
        <v>53.6666666666667</v>
      </c>
    </row>
    <row r="8225" customFormat="false" ht="15" hidden="false" customHeight="false" outlineLevel="0" collapsed="false">
      <c r="A8225" s="0" t="n">
        <v>8224</v>
      </c>
      <c r="B8225" s="18" t="n">
        <v>514733.839535957</v>
      </c>
      <c r="C8225" s="18" t="n">
        <v>0</v>
      </c>
      <c r="D8225" s="0" t="n">
        <v>0</v>
      </c>
      <c r="E8225" s="19" t="n">
        <v>33.1666666666667</v>
      </c>
    </row>
    <row r="8226" customFormat="false" ht="15" hidden="false" customHeight="false" outlineLevel="0" collapsed="false">
      <c r="A8226" s="0" t="n">
        <v>8225</v>
      </c>
      <c r="B8226" s="18" t="n">
        <v>1050695.12810792</v>
      </c>
      <c r="C8226" s="18" t="n">
        <v>1968360.74285223</v>
      </c>
      <c r="D8226" s="0" t="n">
        <v>1</v>
      </c>
    </row>
    <row r="8227" customFormat="false" ht="15" hidden="false" customHeight="false" outlineLevel="0" collapsed="false">
      <c r="A8227" s="0" t="n">
        <v>8226</v>
      </c>
      <c r="B8227" s="18" t="n">
        <v>361567.795132384</v>
      </c>
      <c r="C8227" s="18" t="n">
        <v>0</v>
      </c>
      <c r="D8227" s="0" t="n">
        <v>0</v>
      </c>
      <c r="E8227" s="19" t="n">
        <v>45.1666666666667</v>
      </c>
    </row>
    <row r="8228" customFormat="false" ht="15" hidden="false" customHeight="false" outlineLevel="0" collapsed="false">
      <c r="A8228" s="0" t="n">
        <v>8227</v>
      </c>
      <c r="B8228" s="18" t="n">
        <v>1256352.18192664</v>
      </c>
      <c r="C8228" s="18" t="n">
        <v>0</v>
      </c>
      <c r="D8228" s="0" t="n">
        <v>0</v>
      </c>
      <c r="E8228" s="19" t="n">
        <v>53.5833333333333</v>
      </c>
    </row>
    <row r="8229" customFormat="false" ht="15" hidden="false" customHeight="false" outlineLevel="0" collapsed="false">
      <c r="A8229" s="0" t="n">
        <v>8228</v>
      </c>
      <c r="B8229" s="18" t="n">
        <v>1595488.85173974</v>
      </c>
      <c r="C8229" s="18" t="n">
        <v>0</v>
      </c>
      <c r="D8229" s="0" t="n">
        <v>0</v>
      </c>
      <c r="E8229" s="19" t="n">
        <v>49.9166666666667</v>
      </c>
    </row>
    <row r="8230" customFormat="false" ht="15" hidden="false" customHeight="false" outlineLevel="0" collapsed="false">
      <c r="A8230" s="0" t="n">
        <v>8229</v>
      </c>
      <c r="B8230" s="18" t="n">
        <v>675617.148611635</v>
      </c>
      <c r="C8230" s="18" t="n">
        <v>0</v>
      </c>
      <c r="D8230" s="0" t="n">
        <v>0</v>
      </c>
      <c r="E8230" s="19" t="n">
        <v>36.8333333333333</v>
      </c>
    </row>
    <row r="8231" customFormat="false" ht="15" hidden="false" customHeight="false" outlineLevel="0" collapsed="false">
      <c r="A8231" s="0" t="n">
        <v>8230</v>
      </c>
      <c r="B8231" s="18" t="n">
        <v>1619923.23271852</v>
      </c>
      <c r="C8231" s="18" t="n">
        <v>369795.47217992</v>
      </c>
      <c r="D8231" s="0" t="n">
        <v>1</v>
      </c>
    </row>
    <row r="8232" customFormat="false" ht="15" hidden="false" customHeight="false" outlineLevel="0" collapsed="false">
      <c r="A8232" s="0" t="n">
        <v>8231</v>
      </c>
      <c r="B8232" s="18" t="n">
        <v>690131.912746343</v>
      </c>
      <c r="C8232" s="18" t="n">
        <v>0</v>
      </c>
      <c r="D8232" s="0" t="n">
        <v>0</v>
      </c>
      <c r="E8232" s="19" t="n">
        <v>35.8333333333333</v>
      </c>
    </row>
    <row r="8233" customFormat="false" ht="15" hidden="false" customHeight="false" outlineLevel="0" collapsed="false">
      <c r="A8233" s="0" t="n">
        <v>8232</v>
      </c>
      <c r="B8233" s="18" t="n">
        <v>622252.110987</v>
      </c>
      <c r="C8233" s="18" t="n">
        <v>0</v>
      </c>
      <c r="D8233" s="0" t="n">
        <v>0</v>
      </c>
      <c r="E8233" s="19" t="n">
        <v>31.5</v>
      </c>
    </row>
    <row r="8234" customFormat="false" ht="15" hidden="false" customHeight="false" outlineLevel="0" collapsed="false">
      <c r="A8234" s="0" t="n">
        <v>8233</v>
      </c>
      <c r="B8234" s="18" t="n">
        <v>771485.760410269</v>
      </c>
      <c r="C8234" s="18" t="n">
        <v>0</v>
      </c>
      <c r="D8234" s="0" t="n">
        <v>0</v>
      </c>
      <c r="E8234" s="19" t="n">
        <v>33.9166666666667</v>
      </c>
    </row>
    <row r="8235" customFormat="false" ht="15" hidden="false" customHeight="false" outlineLevel="0" collapsed="false">
      <c r="A8235" s="0" t="n">
        <v>8234</v>
      </c>
      <c r="B8235" s="18" t="n">
        <v>365806.114462842</v>
      </c>
      <c r="C8235" s="18" t="n">
        <v>0</v>
      </c>
      <c r="D8235" s="0" t="n">
        <v>0</v>
      </c>
      <c r="E8235" s="19" t="n">
        <v>35.75</v>
      </c>
    </row>
    <row r="8236" customFormat="false" ht="15" hidden="false" customHeight="false" outlineLevel="0" collapsed="false">
      <c r="A8236" s="0" t="n">
        <v>8235</v>
      </c>
      <c r="B8236" s="18" t="n">
        <v>832563.691536217</v>
      </c>
      <c r="C8236" s="18" t="n">
        <v>0</v>
      </c>
      <c r="D8236" s="0" t="n">
        <v>0</v>
      </c>
      <c r="E8236" s="19" t="n">
        <v>47.1666666666667</v>
      </c>
    </row>
    <row r="8237" customFormat="false" ht="15" hidden="false" customHeight="false" outlineLevel="0" collapsed="false">
      <c r="A8237" s="0" t="n">
        <v>8236</v>
      </c>
      <c r="B8237" s="18" t="n">
        <v>1017979.66946087</v>
      </c>
      <c r="C8237" s="18" t="n">
        <v>8452807.28411689</v>
      </c>
      <c r="D8237" s="0" t="n">
        <v>1</v>
      </c>
    </row>
    <row r="8238" customFormat="false" ht="15" hidden="false" customHeight="false" outlineLevel="0" collapsed="false">
      <c r="A8238" s="0" t="n">
        <v>8237</v>
      </c>
      <c r="B8238" s="18" t="n">
        <v>4360010.56441643</v>
      </c>
      <c r="C8238" s="18" t="n">
        <v>4194348.84472795</v>
      </c>
      <c r="D8238" s="0" t="n">
        <v>1</v>
      </c>
    </row>
    <row r="8239" customFormat="false" ht="15" hidden="false" customHeight="false" outlineLevel="0" collapsed="false">
      <c r="A8239" s="0" t="n">
        <v>8238</v>
      </c>
      <c r="B8239" s="18" t="n">
        <v>506243.801544054</v>
      </c>
      <c r="C8239" s="18" t="n">
        <v>1076209.9394811</v>
      </c>
      <c r="D8239" s="0" t="n">
        <v>1</v>
      </c>
    </row>
    <row r="8240" customFormat="false" ht="15" hidden="false" customHeight="false" outlineLevel="0" collapsed="false">
      <c r="A8240" s="0" t="n">
        <v>8239</v>
      </c>
      <c r="B8240" s="18" t="n">
        <v>932158.796111099</v>
      </c>
      <c r="C8240" s="18" t="n">
        <v>1456549.62274245</v>
      </c>
      <c r="D8240" s="0" t="n">
        <v>1</v>
      </c>
    </row>
    <row r="8241" customFormat="false" ht="15" hidden="false" customHeight="false" outlineLevel="0" collapsed="false">
      <c r="A8241" s="0" t="n">
        <v>8240</v>
      </c>
      <c r="B8241" s="18" t="n">
        <v>904477.059263488</v>
      </c>
      <c r="C8241" s="18" t="n">
        <v>2453773.61756324</v>
      </c>
      <c r="D8241" s="0" t="n">
        <v>1</v>
      </c>
    </row>
    <row r="8242" customFormat="false" ht="15" hidden="false" customHeight="false" outlineLevel="0" collapsed="false">
      <c r="A8242" s="0" t="n">
        <v>8241</v>
      </c>
      <c r="B8242" s="18" t="n">
        <v>475190.301081769</v>
      </c>
      <c r="C8242" s="18" t="n">
        <v>0</v>
      </c>
      <c r="D8242" s="0" t="n">
        <v>0</v>
      </c>
      <c r="E8242" s="19" t="n">
        <v>31.1666666666667</v>
      </c>
    </row>
    <row r="8243" customFormat="false" ht="15" hidden="false" customHeight="false" outlineLevel="0" collapsed="false">
      <c r="A8243" s="0" t="n">
        <v>8242</v>
      </c>
      <c r="B8243" s="18" t="n">
        <v>543886.014552251</v>
      </c>
      <c r="C8243" s="18" t="n">
        <v>0</v>
      </c>
      <c r="D8243" s="0" t="n">
        <v>0</v>
      </c>
      <c r="E8243" s="19" t="n">
        <v>49.0833333333333</v>
      </c>
    </row>
    <row r="8244" customFormat="false" ht="15" hidden="false" customHeight="false" outlineLevel="0" collapsed="false">
      <c r="A8244" s="0" t="n">
        <v>8243</v>
      </c>
      <c r="B8244" s="18" t="n">
        <v>753672.821315859</v>
      </c>
      <c r="C8244" s="18" t="n">
        <v>0</v>
      </c>
      <c r="D8244" s="0" t="n">
        <v>0</v>
      </c>
      <c r="E8244" s="19" t="n">
        <v>42.25</v>
      </c>
    </row>
    <row r="8245" customFormat="false" ht="15" hidden="false" customHeight="false" outlineLevel="0" collapsed="false">
      <c r="A8245" s="0" t="n">
        <v>8244</v>
      </c>
      <c r="B8245" s="18" t="n">
        <v>517912.659461852</v>
      </c>
      <c r="C8245" s="18" t="n">
        <v>0</v>
      </c>
      <c r="D8245" s="0" t="n">
        <v>0</v>
      </c>
      <c r="E8245" s="19" t="n">
        <v>34.75</v>
      </c>
    </row>
    <row r="8246" customFormat="false" ht="15" hidden="false" customHeight="false" outlineLevel="0" collapsed="false">
      <c r="A8246" s="0" t="n">
        <v>8245</v>
      </c>
      <c r="B8246" s="18" t="n">
        <v>1325206.98341673</v>
      </c>
      <c r="C8246" s="18" t="n">
        <v>3683759.9619337</v>
      </c>
      <c r="D8246" s="0" t="n">
        <v>1</v>
      </c>
    </row>
    <row r="8247" customFormat="false" ht="15" hidden="false" customHeight="false" outlineLevel="0" collapsed="false">
      <c r="A8247" s="0" t="n">
        <v>8246</v>
      </c>
      <c r="B8247" s="18" t="n">
        <v>1641670.80685093</v>
      </c>
      <c r="C8247" s="18" t="n">
        <v>11589177.2595168</v>
      </c>
      <c r="D8247" s="0" t="n">
        <v>1</v>
      </c>
    </row>
    <row r="8248" customFormat="false" ht="15" hidden="false" customHeight="false" outlineLevel="0" collapsed="false">
      <c r="A8248" s="0" t="n">
        <v>8247</v>
      </c>
      <c r="B8248" s="18" t="n">
        <v>890880.783374799</v>
      </c>
      <c r="C8248" s="18" t="n">
        <v>0</v>
      </c>
      <c r="D8248" s="0" t="n">
        <v>0</v>
      </c>
      <c r="E8248" s="19" t="n">
        <v>45.5</v>
      </c>
    </row>
    <row r="8249" customFormat="false" ht="15" hidden="false" customHeight="false" outlineLevel="0" collapsed="false">
      <c r="A8249" s="0" t="n">
        <v>8248</v>
      </c>
      <c r="B8249" s="18" t="n">
        <v>559949.709429862</v>
      </c>
      <c r="C8249" s="18" t="n">
        <v>0</v>
      </c>
      <c r="D8249" s="0" t="n">
        <v>0</v>
      </c>
      <c r="E8249" s="19" t="n">
        <v>37.5833333333333</v>
      </c>
    </row>
    <row r="8250" customFormat="false" ht="15" hidden="false" customHeight="false" outlineLevel="0" collapsed="false">
      <c r="A8250" s="0" t="n">
        <v>8249</v>
      </c>
      <c r="B8250" s="18" t="n">
        <v>2022294.87009456</v>
      </c>
      <c r="C8250" s="18" t="n">
        <v>16851089.3167995</v>
      </c>
      <c r="D8250" s="0" t="n">
        <v>1</v>
      </c>
    </row>
    <row r="8251" customFormat="false" ht="15" hidden="false" customHeight="false" outlineLevel="0" collapsed="false">
      <c r="A8251" s="0" t="n">
        <v>8250</v>
      </c>
      <c r="B8251" s="18" t="n">
        <v>1025719.18235845</v>
      </c>
      <c r="C8251" s="18" t="n">
        <v>0</v>
      </c>
      <c r="D8251" s="0" t="n">
        <v>0</v>
      </c>
      <c r="E8251" s="19" t="n">
        <v>47.5</v>
      </c>
    </row>
    <row r="8252" customFormat="false" ht="15" hidden="false" customHeight="false" outlineLevel="0" collapsed="false">
      <c r="A8252" s="0" t="n">
        <v>8251</v>
      </c>
      <c r="B8252" s="18" t="n">
        <v>706878.318906389</v>
      </c>
      <c r="C8252" s="18" t="n">
        <v>3648033.79654675</v>
      </c>
      <c r="D8252" s="0" t="n">
        <v>1</v>
      </c>
    </row>
    <row r="8253" customFormat="false" ht="15" hidden="false" customHeight="false" outlineLevel="0" collapsed="false">
      <c r="A8253" s="0" t="n">
        <v>8252</v>
      </c>
      <c r="B8253" s="18" t="n">
        <v>1910080.19240758</v>
      </c>
      <c r="C8253" s="18" t="n">
        <v>0</v>
      </c>
      <c r="D8253" s="0" t="n">
        <v>0</v>
      </c>
      <c r="E8253" s="19" t="n">
        <v>53.8333333333333</v>
      </c>
    </row>
    <row r="8254" customFormat="false" ht="15" hidden="false" customHeight="false" outlineLevel="0" collapsed="false">
      <c r="A8254" s="0" t="n">
        <v>8253</v>
      </c>
      <c r="B8254" s="18" t="n">
        <v>1056367.0949566</v>
      </c>
      <c r="C8254" s="18" t="n">
        <v>0</v>
      </c>
      <c r="D8254" s="0" t="n">
        <v>0</v>
      </c>
      <c r="E8254" s="19" t="n">
        <v>44.0833333333333</v>
      </c>
    </row>
    <row r="8255" customFormat="false" ht="15" hidden="false" customHeight="false" outlineLevel="0" collapsed="false">
      <c r="A8255" s="0" t="n">
        <v>8254</v>
      </c>
      <c r="B8255" s="18" t="n">
        <v>1246981.00352156</v>
      </c>
      <c r="C8255" s="18" t="n">
        <v>0</v>
      </c>
      <c r="D8255" s="0" t="n">
        <v>0</v>
      </c>
      <c r="E8255" s="19" t="n">
        <v>42.4166666666667</v>
      </c>
    </row>
    <row r="8256" customFormat="false" ht="15" hidden="false" customHeight="false" outlineLevel="0" collapsed="false">
      <c r="A8256" s="0" t="n">
        <v>8255</v>
      </c>
      <c r="B8256" s="18" t="n">
        <v>570758.43273153</v>
      </c>
      <c r="C8256" s="18" t="n">
        <v>0</v>
      </c>
      <c r="D8256" s="0" t="n">
        <v>0</v>
      </c>
      <c r="E8256" s="19" t="n">
        <v>38.3333333333333</v>
      </c>
    </row>
    <row r="8257" customFormat="false" ht="15" hidden="false" customHeight="false" outlineLevel="0" collapsed="false">
      <c r="A8257" s="0" t="n">
        <v>8256</v>
      </c>
      <c r="B8257" s="18" t="n">
        <v>425647.130569179</v>
      </c>
      <c r="C8257" s="18" t="n">
        <v>0</v>
      </c>
      <c r="D8257" s="0" t="n">
        <v>0</v>
      </c>
      <c r="E8257" s="19" t="n">
        <v>33.5</v>
      </c>
    </row>
    <row r="8258" customFormat="false" ht="15" hidden="false" customHeight="false" outlineLevel="0" collapsed="false">
      <c r="A8258" s="0" t="n">
        <v>8257</v>
      </c>
      <c r="B8258" s="18" t="n">
        <v>298453.058442061</v>
      </c>
      <c r="C8258" s="18" t="n">
        <v>0</v>
      </c>
      <c r="D8258" s="0" t="n">
        <v>0</v>
      </c>
      <c r="E8258" s="19" t="n">
        <v>30.4166666666667</v>
      </c>
    </row>
    <row r="8259" customFormat="false" ht="15" hidden="false" customHeight="false" outlineLevel="0" collapsed="false">
      <c r="A8259" s="0" t="n">
        <v>8258</v>
      </c>
      <c r="B8259" s="18" t="n">
        <v>944131.18909616</v>
      </c>
      <c r="C8259" s="18" t="n">
        <v>0</v>
      </c>
      <c r="D8259" s="0" t="n">
        <v>0</v>
      </c>
      <c r="E8259" s="19" t="n">
        <v>41.8333333333333</v>
      </c>
    </row>
    <row r="8260" customFormat="false" ht="15" hidden="false" customHeight="false" outlineLevel="0" collapsed="false">
      <c r="A8260" s="0" t="n">
        <v>8259</v>
      </c>
      <c r="B8260" s="18" t="n">
        <v>1934717.64342257</v>
      </c>
      <c r="C8260" s="18" t="n">
        <v>3258285.47390098</v>
      </c>
      <c r="D8260" s="0" t="n">
        <v>1</v>
      </c>
    </row>
    <row r="8261" customFormat="false" ht="15" hidden="false" customHeight="false" outlineLevel="0" collapsed="false">
      <c r="A8261" s="0" t="n">
        <v>8260</v>
      </c>
      <c r="B8261" s="18" t="n">
        <v>818849.061556817</v>
      </c>
      <c r="C8261" s="18" t="n">
        <v>0</v>
      </c>
      <c r="D8261" s="0" t="n">
        <v>0</v>
      </c>
      <c r="E8261" s="19" t="n">
        <v>33.8333333333333</v>
      </c>
    </row>
    <row r="8262" customFormat="false" ht="15" hidden="false" customHeight="false" outlineLevel="0" collapsed="false">
      <c r="A8262" s="0" t="n">
        <v>8261</v>
      </c>
      <c r="B8262" s="18" t="n">
        <v>500910.228065497</v>
      </c>
      <c r="C8262" s="18" t="n">
        <v>0</v>
      </c>
      <c r="D8262" s="0" t="n">
        <v>0</v>
      </c>
      <c r="E8262" s="19" t="n">
        <v>35.5</v>
      </c>
    </row>
    <row r="8263" customFormat="false" ht="15" hidden="false" customHeight="false" outlineLevel="0" collapsed="false">
      <c r="A8263" s="0" t="n">
        <v>8262</v>
      </c>
      <c r="B8263" s="18" t="n">
        <v>754990.442019738</v>
      </c>
      <c r="C8263" s="18" t="n">
        <v>55715.7817297866</v>
      </c>
      <c r="D8263" s="0" t="n">
        <v>1</v>
      </c>
    </row>
    <row r="8264" customFormat="false" ht="15" hidden="false" customHeight="false" outlineLevel="0" collapsed="false">
      <c r="A8264" s="0" t="n">
        <v>8263</v>
      </c>
      <c r="B8264" s="18" t="n">
        <v>266206.287195054</v>
      </c>
      <c r="C8264" s="18" t="n">
        <v>0</v>
      </c>
      <c r="D8264" s="0" t="n">
        <v>0</v>
      </c>
      <c r="E8264" s="19" t="n">
        <v>29.75</v>
      </c>
    </row>
    <row r="8265" customFormat="false" ht="15" hidden="false" customHeight="false" outlineLevel="0" collapsed="false">
      <c r="A8265" s="0" t="n">
        <v>8264</v>
      </c>
      <c r="B8265" s="18" t="n">
        <v>1563850.75446555</v>
      </c>
      <c r="C8265" s="18" t="n">
        <v>0</v>
      </c>
      <c r="D8265" s="0" t="n">
        <v>0</v>
      </c>
      <c r="E8265" s="19" t="n">
        <v>42.5</v>
      </c>
    </row>
    <row r="8266" customFormat="false" ht="15" hidden="false" customHeight="false" outlineLevel="0" collapsed="false">
      <c r="A8266" s="0" t="n">
        <v>8265</v>
      </c>
      <c r="B8266" s="18" t="n">
        <v>489014.634248847</v>
      </c>
      <c r="C8266" s="18" t="n">
        <v>0</v>
      </c>
      <c r="D8266" s="0" t="n">
        <v>0</v>
      </c>
      <c r="E8266" s="19" t="n">
        <v>31.5833333333333</v>
      </c>
    </row>
    <row r="8267" customFormat="false" ht="15" hidden="false" customHeight="false" outlineLevel="0" collapsed="false">
      <c r="A8267" s="0" t="n">
        <v>8266</v>
      </c>
      <c r="B8267" s="18" t="n">
        <v>1400945.76148787</v>
      </c>
      <c r="C8267" s="18" t="n">
        <v>0</v>
      </c>
      <c r="D8267" s="0" t="n">
        <v>0</v>
      </c>
      <c r="E8267" s="19" t="n">
        <v>43.75</v>
      </c>
    </row>
    <row r="8268" customFormat="false" ht="15" hidden="false" customHeight="false" outlineLevel="0" collapsed="false">
      <c r="A8268" s="0" t="n">
        <v>8267</v>
      </c>
      <c r="B8268" s="18" t="n">
        <v>1994711.10608361</v>
      </c>
      <c r="C8268" s="18" t="n">
        <v>0</v>
      </c>
      <c r="D8268" s="0" t="n">
        <v>0</v>
      </c>
      <c r="E8268" s="19" t="n">
        <v>52.3333333333333</v>
      </c>
    </row>
    <row r="8269" customFormat="false" ht="15" hidden="false" customHeight="false" outlineLevel="0" collapsed="false">
      <c r="A8269" s="0" t="n">
        <v>8268</v>
      </c>
      <c r="B8269" s="18" t="n">
        <v>1710071.07729722</v>
      </c>
      <c r="C8269" s="18" t="n">
        <v>0</v>
      </c>
      <c r="D8269" s="0" t="n">
        <v>0</v>
      </c>
      <c r="E8269" s="19" t="n">
        <v>45.1666666666667</v>
      </c>
    </row>
    <row r="8270" customFormat="false" ht="15" hidden="false" customHeight="false" outlineLevel="0" collapsed="false">
      <c r="A8270" s="0" t="n">
        <v>8269</v>
      </c>
      <c r="B8270" s="18" t="n">
        <v>487298.818516496</v>
      </c>
      <c r="C8270" s="18" t="n">
        <v>0</v>
      </c>
      <c r="D8270" s="0" t="n">
        <v>0</v>
      </c>
      <c r="E8270" s="19" t="n">
        <v>43.8333333333333</v>
      </c>
    </row>
    <row r="8271" customFormat="false" ht="15" hidden="false" customHeight="false" outlineLevel="0" collapsed="false">
      <c r="A8271" s="0" t="n">
        <v>8270</v>
      </c>
      <c r="B8271" s="18" t="n">
        <v>579216.440958506</v>
      </c>
      <c r="C8271" s="18" t="n">
        <v>0</v>
      </c>
      <c r="D8271" s="0" t="n">
        <v>0</v>
      </c>
      <c r="E8271" s="19" t="n">
        <v>37.5833333333333</v>
      </c>
    </row>
    <row r="8272" customFormat="false" ht="15" hidden="false" customHeight="false" outlineLevel="0" collapsed="false">
      <c r="A8272" s="0" t="n">
        <v>8271</v>
      </c>
      <c r="B8272" s="18" t="n">
        <v>709035.74661796</v>
      </c>
      <c r="C8272" s="18" t="n">
        <v>0</v>
      </c>
      <c r="D8272" s="0" t="n">
        <v>0</v>
      </c>
      <c r="E8272" s="19" t="n">
        <v>40.4166666666667</v>
      </c>
    </row>
    <row r="8273" customFormat="false" ht="15" hidden="false" customHeight="false" outlineLevel="0" collapsed="false">
      <c r="A8273" s="0" t="n">
        <v>8272</v>
      </c>
      <c r="B8273" s="18" t="n">
        <v>373261.217619663</v>
      </c>
      <c r="C8273" s="18" t="n">
        <v>0</v>
      </c>
      <c r="D8273" s="0" t="n">
        <v>0</v>
      </c>
      <c r="E8273" s="19" t="n">
        <v>41</v>
      </c>
    </row>
    <row r="8274" customFormat="false" ht="15" hidden="false" customHeight="false" outlineLevel="0" collapsed="false">
      <c r="A8274" s="0" t="n">
        <v>8273</v>
      </c>
      <c r="B8274" s="18" t="n">
        <v>883897.236920529</v>
      </c>
      <c r="C8274" s="18" t="n">
        <v>0</v>
      </c>
      <c r="D8274" s="0" t="n">
        <v>0</v>
      </c>
      <c r="E8274" s="19" t="n">
        <v>36.75</v>
      </c>
    </row>
    <row r="8275" customFormat="false" ht="15" hidden="false" customHeight="false" outlineLevel="0" collapsed="false">
      <c r="A8275" s="0" t="n">
        <v>8274</v>
      </c>
      <c r="B8275" s="18" t="n">
        <v>945624.945121681</v>
      </c>
      <c r="C8275" s="18" t="n">
        <v>0</v>
      </c>
      <c r="D8275" s="0" t="n">
        <v>0</v>
      </c>
      <c r="E8275" s="19" t="n">
        <v>46.75</v>
      </c>
    </row>
    <row r="8276" customFormat="false" ht="15" hidden="false" customHeight="false" outlineLevel="0" collapsed="false">
      <c r="A8276" s="0" t="n">
        <v>8275</v>
      </c>
      <c r="B8276" s="18" t="n">
        <v>1421724.26305279</v>
      </c>
      <c r="C8276" s="18" t="n">
        <v>216340.364188827</v>
      </c>
      <c r="D8276" s="0" t="n">
        <v>1</v>
      </c>
    </row>
    <row r="8277" customFormat="false" ht="15" hidden="false" customHeight="false" outlineLevel="0" collapsed="false">
      <c r="A8277" s="0" t="n">
        <v>8276</v>
      </c>
      <c r="B8277" s="18" t="n">
        <v>641183.960443049</v>
      </c>
      <c r="C8277" s="18" t="n">
        <v>0</v>
      </c>
      <c r="D8277" s="0" t="n">
        <v>0</v>
      </c>
      <c r="E8277" s="19" t="n">
        <v>34.75</v>
      </c>
    </row>
    <row r="8278" customFormat="false" ht="15" hidden="false" customHeight="false" outlineLevel="0" collapsed="false">
      <c r="A8278" s="0" t="n">
        <v>8277</v>
      </c>
      <c r="B8278" s="18" t="n">
        <v>1241415.19293491</v>
      </c>
      <c r="C8278" s="18" t="n">
        <v>2444510.00925046</v>
      </c>
      <c r="D8278" s="0" t="n">
        <v>1</v>
      </c>
    </row>
    <row r="8279" customFormat="false" ht="15" hidden="false" customHeight="false" outlineLevel="0" collapsed="false">
      <c r="A8279" s="0" t="n">
        <v>8278</v>
      </c>
      <c r="B8279" s="18" t="n">
        <v>328557.281095662</v>
      </c>
      <c r="C8279" s="18" t="n">
        <v>0</v>
      </c>
      <c r="D8279" s="0" t="n">
        <v>0</v>
      </c>
      <c r="E8279" s="19" t="n">
        <v>31.1666666666667</v>
      </c>
    </row>
    <row r="8280" customFormat="false" ht="15" hidden="false" customHeight="false" outlineLevel="0" collapsed="false">
      <c r="A8280" s="0" t="n">
        <v>8279</v>
      </c>
      <c r="B8280" s="18" t="n">
        <v>1530145.49154469</v>
      </c>
      <c r="C8280" s="18" t="n">
        <v>2582852.96961765</v>
      </c>
      <c r="D8280" s="0" t="n">
        <v>1</v>
      </c>
    </row>
    <row r="8281" customFormat="false" ht="15" hidden="false" customHeight="false" outlineLevel="0" collapsed="false">
      <c r="A8281" s="0" t="n">
        <v>8280</v>
      </c>
      <c r="B8281" s="18" t="n">
        <v>985073.749685844</v>
      </c>
      <c r="C8281" s="18" t="n">
        <v>0</v>
      </c>
      <c r="D8281" s="0" t="n">
        <v>0</v>
      </c>
      <c r="E8281" s="19" t="n">
        <v>44.0833333333333</v>
      </c>
    </row>
    <row r="8282" customFormat="false" ht="15" hidden="false" customHeight="false" outlineLevel="0" collapsed="false">
      <c r="A8282" s="0" t="n">
        <v>8281</v>
      </c>
      <c r="B8282" s="18" t="n">
        <v>996550.310748815</v>
      </c>
      <c r="C8282" s="18" t="n">
        <v>0</v>
      </c>
      <c r="D8282" s="0" t="n">
        <v>0</v>
      </c>
      <c r="E8282" s="19" t="n">
        <v>50.5</v>
      </c>
    </row>
    <row r="8283" customFormat="false" ht="15" hidden="false" customHeight="false" outlineLevel="0" collapsed="false">
      <c r="A8283" s="0" t="n">
        <v>8282</v>
      </c>
      <c r="B8283" s="18" t="n">
        <v>469941.003261693</v>
      </c>
      <c r="C8283" s="18" t="n">
        <v>0</v>
      </c>
      <c r="D8283" s="0" t="n">
        <v>0</v>
      </c>
      <c r="E8283" s="19" t="n">
        <v>31</v>
      </c>
    </row>
    <row r="8284" customFormat="false" ht="15" hidden="false" customHeight="false" outlineLevel="0" collapsed="false">
      <c r="A8284" s="0" t="n">
        <v>8283</v>
      </c>
      <c r="B8284" s="18" t="n">
        <v>1212649.55236073</v>
      </c>
      <c r="C8284" s="18" t="n">
        <v>10815808.3330664</v>
      </c>
      <c r="D8284" s="0" t="n">
        <v>1</v>
      </c>
    </row>
    <row r="8285" customFormat="false" ht="15" hidden="false" customHeight="false" outlineLevel="0" collapsed="false">
      <c r="A8285" s="0" t="n">
        <v>8284</v>
      </c>
      <c r="B8285" s="18" t="n">
        <v>1822086.73744757</v>
      </c>
      <c r="C8285" s="18" t="n">
        <v>9005899.26429228</v>
      </c>
      <c r="D8285" s="0" t="n">
        <v>1</v>
      </c>
    </row>
    <row r="8286" customFormat="false" ht="15" hidden="false" customHeight="false" outlineLevel="0" collapsed="false">
      <c r="A8286" s="0" t="n">
        <v>8285</v>
      </c>
      <c r="B8286" s="18" t="n">
        <v>2227362.44235605</v>
      </c>
      <c r="C8286" s="18" t="n">
        <v>11510612.7325062</v>
      </c>
      <c r="D8286" s="0" t="n">
        <v>1</v>
      </c>
    </row>
    <row r="8287" customFormat="false" ht="15" hidden="false" customHeight="false" outlineLevel="0" collapsed="false">
      <c r="A8287" s="0" t="n">
        <v>8286</v>
      </c>
      <c r="B8287" s="18" t="n">
        <v>726873.287317768</v>
      </c>
      <c r="C8287" s="18" t="n">
        <v>0</v>
      </c>
      <c r="D8287" s="0" t="n">
        <v>0</v>
      </c>
      <c r="E8287" s="19" t="n">
        <v>46.25</v>
      </c>
    </row>
    <row r="8288" customFormat="false" ht="15" hidden="false" customHeight="false" outlineLevel="0" collapsed="false">
      <c r="A8288" s="0" t="n">
        <v>8287</v>
      </c>
      <c r="B8288" s="18" t="n">
        <v>1187286.08111115</v>
      </c>
      <c r="C8288" s="18" t="n">
        <v>0</v>
      </c>
      <c r="D8288" s="0" t="n">
        <v>0</v>
      </c>
      <c r="E8288" s="19" t="n">
        <v>51.9166666666667</v>
      </c>
    </row>
    <row r="8289" customFormat="false" ht="15" hidden="false" customHeight="false" outlineLevel="0" collapsed="false">
      <c r="A8289" s="0" t="n">
        <v>8288</v>
      </c>
      <c r="B8289" s="18" t="n">
        <v>505541.562321345</v>
      </c>
      <c r="C8289" s="18" t="n">
        <v>0</v>
      </c>
      <c r="D8289" s="0" t="n">
        <v>0</v>
      </c>
      <c r="E8289" s="19" t="n">
        <v>31</v>
      </c>
    </row>
    <row r="8290" customFormat="false" ht="15" hidden="false" customHeight="false" outlineLevel="0" collapsed="false">
      <c r="A8290" s="0" t="n">
        <v>8289</v>
      </c>
      <c r="B8290" s="18" t="n">
        <v>1354777.21511291</v>
      </c>
      <c r="C8290" s="18" t="n">
        <v>0</v>
      </c>
      <c r="D8290" s="0" t="n">
        <v>0</v>
      </c>
      <c r="E8290" s="19" t="n">
        <v>38.5833333333333</v>
      </c>
    </row>
    <row r="8291" customFormat="false" ht="15" hidden="false" customHeight="false" outlineLevel="0" collapsed="false">
      <c r="A8291" s="0" t="n">
        <v>8290</v>
      </c>
      <c r="B8291" s="18" t="n">
        <v>1266031.55176423</v>
      </c>
      <c r="C8291" s="18" t="n">
        <v>0</v>
      </c>
      <c r="D8291" s="0" t="n">
        <v>0</v>
      </c>
      <c r="E8291" s="19" t="n">
        <v>42.0833333333333</v>
      </c>
    </row>
    <row r="8292" customFormat="false" ht="15" hidden="false" customHeight="false" outlineLevel="0" collapsed="false">
      <c r="A8292" s="0" t="n">
        <v>8291</v>
      </c>
      <c r="B8292" s="18" t="n">
        <v>454963.305298093</v>
      </c>
      <c r="C8292" s="18" t="n">
        <v>0</v>
      </c>
      <c r="D8292" s="0" t="n">
        <v>0</v>
      </c>
      <c r="E8292" s="19" t="n">
        <v>33.75</v>
      </c>
    </row>
    <row r="8293" customFormat="false" ht="15" hidden="false" customHeight="false" outlineLevel="0" collapsed="false">
      <c r="A8293" s="0" t="n">
        <v>8292</v>
      </c>
      <c r="B8293" s="18" t="n">
        <v>765623.552639452</v>
      </c>
      <c r="C8293" s="18" t="n">
        <v>0</v>
      </c>
      <c r="D8293" s="0" t="n">
        <v>0</v>
      </c>
      <c r="E8293" s="19" t="n">
        <v>35.1666666666667</v>
      </c>
    </row>
    <row r="8294" customFormat="false" ht="15" hidden="false" customHeight="false" outlineLevel="0" collapsed="false">
      <c r="A8294" s="0" t="n">
        <v>8293</v>
      </c>
      <c r="B8294" s="18" t="n">
        <v>819237.291772924</v>
      </c>
      <c r="C8294" s="18" t="n">
        <v>0</v>
      </c>
      <c r="D8294" s="0" t="n">
        <v>0</v>
      </c>
      <c r="E8294" s="19" t="n">
        <v>41.25</v>
      </c>
    </row>
    <row r="8295" customFormat="false" ht="15" hidden="false" customHeight="false" outlineLevel="0" collapsed="false">
      <c r="A8295" s="0" t="n">
        <v>8294</v>
      </c>
      <c r="B8295" s="18" t="n">
        <v>686638.420180014</v>
      </c>
      <c r="C8295" s="18" t="n">
        <v>0</v>
      </c>
      <c r="D8295" s="0" t="n">
        <v>0</v>
      </c>
      <c r="E8295" s="19" t="n">
        <v>43.5</v>
      </c>
    </row>
    <row r="8296" customFormat="false" ht="15" hidden="false" customHeight="false" outlineLevel="0" collapsed="false">
      <c r="A8296" s="0" t="n">
        <v>8295</v>
      </c>
      <c r="B8296" s="18" t="n">
        <v>2020319.52095759</v>
      </c>
      <c r="C8296" s="18" t="n">
        <v>105090.68513455</v>
      </c>
      <c r="D8296" s="0" t="n">
        <v>1</v>
      </c>
    </row>
    <row r="8297" customFormat="false" ht="15" hidden="false" customHeight="false" outlineLevel="0" collapsed="false">
      <c r="A8297" s="0" t="n">
        <v>8296</v>
      </c>
      <c r="B8297" s="18" t="n">
        <v>1406370.55121609</v>
      </c>
      <c r="C8297" s="18" t="n">
        <v>0</v>
      </c>
      <c r="D8297" s="0" t="n">
        <v>0</v>
      </c>
      <c r="E8297" s="19" t="n">
        <v>50.25</v>
      </c>
    </row>
    <row r="8298" customFormat="false" ht="15" hidden="false" customHeight="false" outlineLevel="0" collapsed="false">
      <c r="A8298" s="0" t="n">
        <v>8297</v>
      </c>
      <c r="B8298" s="18" t="n">
        <v>1224273.73920766</v>
      </c>
      <c r="C8298" s="18" t="n">
        <v>0</v>
      </c>
      <c r="D8298" s="0" t="n">
        <v>0</v>
      </c>
      <c r="E8298" s="19" t="n">
        <v>43.3333333333333</v>
      </c>
    </row>
    <row r="8299" customFormat="false" ht="15" hidden="false" customHeight="false" outlineLevel="0" collapsed="false">
      <c r="A8299" s="0" t="n">
        <v>8298</v>
      </c>
      <c r="B8299" s="18" t="n">
        <v>1082894.25627053</v>
      </c>
      <c r="C8299" s="18" t="n">
        <v>0</v>
      </c>
      <c r="D8299" s="0" t="n">
        <v>0</v>
      </c>
      <c r="E8299" s="19" t="n">
        <v>36.8333333333333</v>
      </c>
    </row>
    <row r="8300" customFormat="false" ht="15" hidden="false" customHeight="false" outlineLevel="0" collapsed="false">
      <c r="A8300" s="0" t="n">
        <v>8299</v>
      </c>
      <c r="B8300" s="18" t="n">
        <v>504627.541877192</v>
      </c>
      <c r="C8300" s="18" t="n">
        <v>0</v>
      </c>
      <c r="D8300" s="0" t="n">
        <v>0</v>
      </c>
      <c r="E8300" s="19" t="n">
        <v>32.1666666666667</v>
      </c>
    </row>
    <row r="8301" customFormat="false" ht="15" hidden="false" customHeight="false" outlineLevel="0" collapsed="false">
      <c r="A8301" s="0" t="n">
        <v>8300</v>
      </c>
      <c r="B8301" s="18" t="n">
        <v>2386333.37320199</v>
      </c>
      <c r="C8301" s="18" t="n">
        <v>3529609.57084309</v>
      </c>
      <c r="D8301" s="0" t="n">
        <v>1</v>
      </c>
    </row>
    <row r="8302" customFormat="false" ht="15" hidden="false" customHeight="false" outlineLevel="0" collapsed="false">
      <c r="A8302" s="0" t="n">
        <v>8301</v>
      </c>
      <c r="B8302" s="18" t="n">
        <v>482874.215220875</v>
      </c>
      <c r="C8302" s="18" t="n">
        <v>0</v>
      </c>
      <c r="D8302" s="0" t="n">
        <v>0</v>
      </c>
      <c r="E8302" s="19" t="n">
        <v>31.6666666666667</v>
      </c>
    </row>
    <row r="8303" customFormat="false" ht="15" hidden="false" customHeight="false" outlineLevel="0" collapsed="false">
      <c r="A8303" s="0" t="n">
        <v>8302</v>
      </c>
      <c r="B8303" s="18" t="n">
        <v>841145.679502416</v>
      </c>
      <c r="C8303" s="18" t="n">
        <v>0</v>
      </c>
      <c r="D8303" s="0" t="n">
        <v>0</v>
      </c>
      <c r="E8303" s="19" t="n">
        <v>38.5</v>
      </c>
    </row>
    <row r="8304" customFormat="false" ht="15" hidden="false" customHeight="false" outlineLevel="0" collapsed="false">
      <c r="A8304" s="0" t="n">
        <v>8303</v>
      </c>
      <c r="B8304" s="18" t="n">
        <v>994703.775795691</v>
      </c>
      <c r="C8304" s="18" t="n">
        <v>0</v>
      </c>
      <c r="D8304" s="0" t="n">
        <v>0</v>
      </c>
      <c r="E8304" s="19" t="n">
        <v>41.25</v>
      </c>
    </row>
    <row r="8305" customFormat="false" ht="15" hidden="false" customHeight="false" outlineLevel="0" collapsed="false">
      <c r="A8305" s="0" t="n">
        <v>8304</v>
      </c>
      <c r="B8305" s="18" t="n">
        <v>1983624.56927375</v>
      </c>
      <c r="C8305" s="18" t="n">
        <v>36988815.3607576</v>
      </c>
      <c r="D8305" s="0" t="n">
        <v>1</v>
      </c>
    </row>
    <row r="8306" customFormat="false" ht="15" hidden="false" customHeight="false" outlineLevel="0" collapsed="false">
      <c r="A8306" s="0" t="n">
        <v>8305</v>
      </c>
      <c r="B8306" s="18" t="n">
        <v>1185901.24879039</v>
      </c>
      <c r="C8306" s="18" t="n">
        <v>0</v>
      </c>
      <c r="D8306" s="0" t="n">
        <v>0</v>
      </c>
      <c r="E8306" s="19" t="n">
        <v>46.6666666666667</v>
      </c>
    </row>
    <row r="8307" customFormat="false" ht="15" hidden="false" customHeight="false" outlineLevel="0" collapsed="false">
      <c r="A8307" s="0" t="n">
        <v>8306</v>
      </c>
      <c r="B8307" s="18" t="n">
        <v>1087449.62133417</v>
      </c>
      <c r="C8307" s="18" t="n">
        <v>0</v>
      </c>
      <c r="D8307" s="0" t="n">
        <v>0</v>
      </c>
      <c r="E8307" s="19" t="n">
        <v>45.5833333333333</v>
      </c>
    </row>
    <row r="8308" customFormat="false" ht="15" hidden="false" customHeight="false" outlineLevel="0" collapsed="false">
      <c r="A8308" s="0" t="n">
        <v>8307</v>
      </c>
      <c r="B8308" s="18" t="n">
        <v>511531.125665832</v>
      </c>
      <c r="C8308" s="18" t="n">
        <v>0</v>
      </c>
      <c r="D8308" s="0" t="n">
        <v>0</v>
      </c>
      <c r="E8308" s="19" t="n">
        <v>34.5</v>
      </c>
    </row>
    <row r="8309" customFormat="false" ht="15" hidden="false" customHeight="false" outlineLevel="0" collapsed="false">
      <c r="A8309" s="0" t="n">
        <v>8308</v>
      </c>
      <c r="B8309" s="18" t="n">
        <v>1582902.72513535</v>
      </c>
      <c r="C8309" s="18" t="n">
        <v>4478725.10582029</v>
      </c>
      <c r="D8309" s="0" t="n">
        <v>1</v>
      </c>
    </row>
    <row r="8310" customFormat="false" ht="15" hidden="false" customHeight="false" outlineLevel="0" collapsed="false">
      <c r="A8310" s="0" t="n">
        <v>8309</v>
      </c>
      <c r="B8310" s="18" t="n">
        <v>640813.125052649</v>
      </c>
      <c r="C8310" s="18" t="n">
        <v>0</v>
      </c>
      <c r="D8310" s="0" t="n">
        <v>0</v>
      </c>
      <c r="E8310" s="19" t="n">
        <v>34.0833333333333</v>
      </c>
    </row>
    <row r="8311" customFormat="false" ht="15" hidden="false" customHeight="false" outlineLevel="0" collapsed="false">
      <c r="A8311" s="0" t="n">
        <v>8310</v>
      </c>
      <c r="B8311" s="18" t="n">
        <v>905075.228698039</v>
      </c>
      <c r="C8311" s="18" t="n">
        <v>0</v>
      </c>
      <c r="D8311" s="0" t="n">
        <v>0</v>
      </c>
      <c r="E8311" s="19" t="n">
        <v>42.0833333333333</v>
      </c>
    </row>
    <row r="8312" customFormat="false" ht="15" hidden="false" customHeight="false" outlineLevel="0" collapsed="false">
      <c r="A8312" s="0" t="n">
        <v>8311</v>
      </c>
      <c r="B8312" s="18" t="n">
        <v>531890.941005766</v>
      </c>
      <c r="C8312" s="18" t="n">
        <v>0</v>
      </c>
      <c r="D8312" s="0" t="n">
        <v>0</v>
      </c>
      <c r="E8312" s="19" t="n">
        <v>45.9166666666667</v>
      </c>
    </row>
    <row r="8313" customFormat="false" ht="15" hidden="false" customHeight="false" outlineLevel="0" collapsed="false">
      <c r="A8313" s="0" t="n">
        <v>8312</v>
      </c>
      <c r="B8313" s="18" t="n">
        <v>1065003.8167088</v>
      </c>
      <c r="C8313" s="18" t="n">
        <v>0</v>
      </c>
      <c r="D8313" s="0" t="n">
        <v>0</v>
      </c>
      <c r="E8313" s="19" t="n">
        <v>41.5</v>
      </c>
    </row>
    <row r="8314" customFormat="false" ht="15" hidden="false" customHeight="false" outlineLevel="0" collapsed="false">
      <c r="A8314" s="0" t="n">
        <v>8313</v>
      </c>
      <c r="B8314" s="18" t="n">
        <v>1150445.39738035</v>
      </c>
      <c r="C8314" s="18" t="n">
        <v>118255.651682448</v>
      </c>
      <c r="D8314" s="0" t="n">
        <v>1</v>
      </c>
    </row>
    <row r="8315" customFormat="false" ht="15" hidden="false" customHeight="false" outlineLevel="0" collapsed="false">
      <c r="A8315" s="0" t="n">
        <v>8314</v>
      </c>
      <c r="B8315" s="18" t="n">
        <v>618866.863399138</v>
      </c>
      <c r="C8315" s="18" t="n">
        <v>0</v>
      </c>
      <c r="D8315" s="0" t="n">
        <v>0</v>
      </c>
      <c r="E8315" s="19" t="n">
        <v>32.9166666666667</v>
      </c>
    </row>
    <row r="8316" customFormat="false" ht="15" hidden="false" customHeight="false" outlineLevel="0" collapsed="false">
      <c r="A8316" s="0" t="n">
        <v>8315</v>
      </c>
      <c r="B8316" s="18" t="n">
        <v>775162.426104301</v>
      </c>
      <c r="C8316" s="18" t="n">
        <v>0</v>
      </c>
      <c r="D8316" s="0" t="n">
        <v>0</v>
      </c>
      <c r="E8316" s="19" t="n">
        <v>37.3333333333333</v>
      </c>
    </row>
    <row r="8317" customFormat="false" ht="15" hidden="false" customHeight="false" outlineLevel="0" collapsed="false">
      <c r="A8317" s="0" t="n">
        <v>8316</v>
      </c>
      <c r="B8317" s="18" t="n">
        <v>1779841.73941322</v>
      </c>
      <c r="C8317" s="18" t="n">
        <v>7113070.12379707</v>
      </c>
      <c r="D8317" s="0" t="n">
        <v>1</v>
      </c>
    </row>
    <row r="8318" customFormat="false" ht="15" hidden="false" customHeight="false" outlineLevel="0" collapsed="false">
      <c r="A8318" s="0" t="n">
        <v>8317</v>
      </c>
      <c r="B8318" s="18" t="n">
        <v>2401652.03908919</v>
      </c>
      <c r="C8318" s="18" t="n">
        <v>4747477.21780113</v>
      </c>
      <c r="D8318" s="0" t="n">
        <v>1</v>
      </c>
    </row>
    <row r="8319" customFormat="false" ht="15" hidden="false" customHeight="false" outlineLevel="0" collapsed="false">
      <c r="A8319" s="0" t="n">
        <v>8318</v>
      </c>
      <c r="B8319" s="18" t="n">
        <v>1158330.6198431</v>
      </c>
      <c r="C8319" s="18" t="n">
        <v>0</v>
      </c>
      <c r="D8319" s="0" t="n">
        <v>0</v>
      </c>
      <c r="E8319" s="19" t="n">
        <v>48.4166666666667</v>
      </c>
    </row>
    <row r="8320" customFormat="false" ht="15" hidden="false" customHeight="false" outlineLevel="0" collapsed="false">
      <c r="A8320" s="0" t="n">
        <v>8319</v>
      </c>
      <c r="B8320" s="18" t="n">
        <v>1030793.79699172</v>
      </c>
      <c r="C8320" s="18" t="n">
        <v>57114.9165459407</v>
      </c>
      <c r="D8320" s="0" t="n">
        <v>1</v>
      </c>
    </row>
    <row r="8321" customFormat="false" ht="15" hidden="false" customHeight="false" outlineLevel="0" collapsed="false">
      <c r="A8321" s="0" t="n">
        <v>8320</v>
      </c>
      <c r="B8321" s="18" t="n">
        <v>1209442.98850769</v>
      </c>
      <c r="C8321" s="18" t="n">
        <v>1022116.58213742</v>
      </c>
      <c r="D8321" s="0" t="n">
        <v>1</v>
      </c>
    </row>
    <row r="8322" customFormat="false" ht="15" hidden="false" customHeight="false" outlineLevel="0" collapsed="false">
      <c r="A8322" s="0" t="n">
        <v>8321</v>
      </c>
      <c r="B8322" s="18" t="n">
        <v>386624.843523078</v>
      </c>
      <c r="C8322" s="18" t="n">
        <v>0</v>
      </c>
      <c r="D8322" s="0" t="n">
        <v>0</v>
      </c>
      <c r="E8322" s="19" t="n">
        <v>35.1666666666667</v>
      </c>
    </row>
    <row r="8323" customFormat="false" ht="15" hidden="false" customHeight="false" outlineLevel="0" collapsed="false">
      <c r="A8323" s="0" t="n">
        <v>8322</v>
      </c>
      <c r="B8323" s="18" t="n">
        <v>546490.554682476</v>
      </c>
      <c r="C8323" s="18" t="n">
        <v>0</v>
      </c>
      <c r="D8323" s="0" t="n">
        <v>0</v>
      </c>
      <c r="E8323" s="19" t="n">
        <v>36.9166666666667</v>
      </c>
    </row>
    <row r="8324" customFormat="false" ht="15" hidden="false" customHeight="false" outlineLevel="0" collapsed="false">
      <c r="A8324" s="0" t="n">
        <v>8323</v>
      </c>
      <c r="B8324" s="18" t="n">
        <v>437852.20151154</v>
      </c>
      <c r="C8324" s="18" t="n">
        <v>0</v>
      </c>
      <c r="D8324" s="0" t="n">
        <v>0</v>
      </c>
      <c r="E8324" s="19" t="n">
        <v>34.0833333333333</v>
      </c>
    </row>
    <row r="8325" customFormat="false" ht="15" hidden="false" customHeight="false" outlineLevel="0" collapsed="false">
      <c r="A8325" s="0" t="n">
        <v>8324</v>
      </c>
      <c r="B8325" s="18" t="n">
        <v>818271.468205069</v>
      </c>
      <c r="C8325" s="18" t="n">
        <v>0</v>
      </c>
      <c r="D8325" s="0" t="n">
        <v>0</v>
      </c>
      <c r="E8325" s="19" t="n">
        <v>43.75</v>
      </c>
    </row>
    <row r="8326" customFormat="false" ht="15" hidden="false" customHeight="false" outlineLevel="0" collapsed="false">
      <c r="A8326" s="0" t="n">
        <v>8325</v>
      </c>
      <c r="B8326" s="18" t="n">
        <v>2068756.72345127</v>
      </c>
      <c r="C8326" s="18" t="n">
        <v>27343007.016376</v>
      </c>
      <c r="D8326" s="0" t="n">
        <v>1</v>
      </c>
    </row>
    <row r="8327" customFormat="false" ht="15" hidden="false" customHeight="false" outlineLevel="0" collapsed="false">
      <c r="A8327" s="0" t="n">
        <v>8326</v>
      </c>
      <c r="B8327" s="18" t="n">
        <v>397372.669095446</v>
      </c>
      <c r="C8327" s="18" t="n">
        <v>0</v>
      </c>
      <c r="D8327" s="0" t="n">
        <v>0</v>
      </c>
      <c r="E8327" s="19" t="n">
        <v>33.1666666666667</v>
      </c>
    </row>
    <row r="8328" customFormat="false" ht="15" hidden="false" customHeight="false" outlineLevel="0" collapsed="false">
      <c r="A8328" s="0" t="n">
        <v>8327</v>
      </c>
      <c r="B8328" s="18" t="n">
        <v>2946995.26543979</v>
      </c>
      <c r="C8328" s="18" t="n">
        <v>2613180.8781914</v>
      </c>
      <c r="D8328" s="0" t="n">
        <v>1</v>
      </c>
    </row>
    <row r="8329" customFormat="false" ht="15" hidden="false" customHeight="false" outlineLevel="0" collapsed="false">
      <c r="A8329" s="0" t="n">
        <v>8328</v>
      </c>
      <c r="B8329" s="18" t="n">
        <v>1604709.48646545</v>
      </c>
      <c r="C8329" s="18" t="n">
        <v>2912951.36373519</v>
      </c>
      <c r="D8329" s="0" t="n">
        <v>1</v>
      </c>
    </row>
    <row r="8330" customFormat="false" ht="15" hidden="false" customHeight="false" outlineLevel="0" collapsed="false">
      <c r="A8330" s="0" t="n">
        <v>8329</v>
      </c>
      <c r="B8330" s="18" t="n">
        <v>1532558.23576615</v>
      </c>
      <c r="C8330" s="18" t="n">
        <v>300102.201275563</v>
      </c>
      <c r="D8330" s="0" t="n">
        <v>1</v>
      </c>
    </row>
    <row r="8331" customFormat="false" ht="15" hidden="false" customHeight="false" outlineLevel="0" collapsed="false">
      <c r="A8331" s="0" t="n">
        <v>8330</v>
      </c>
      <c r="B8331" s="18" t="n">
        <v>403680.637408118</v>
      </c>
      <c r="C8331" s="18" t="n">
        <v>0</v>
      </c>
      <c r="D8331" s="0" t="n">
        <v>0</v>
      </c>
      <c r="E8331" s="19" t="n">
        <v>30.25</v>
      </c>
    </row>
    <row r="8332" customFormat="false" ht="15" hidden="false" customHeight="false" outlineLevel="0" collapsed="false">
      <c r="A8332" s="0" t="n">
        <v>8331</v>
      </c>
      <c r="B8332" s="18" t="n">
        <v>434224.157436533</v>
      </c>
      <c r="C8332" s="18" t="n">
        <v>0</v>
      </c>
      <c r="D8332" s="0" t="n">
        <v>0</v>
      </c>
      <c r="E8332" s="19" t="n">
        <v>34.6666666666667</v>
      </c>
    </row>
    <row r="8333" customFormat="false" ht="15" hidden="false" customHeight="false" outlineLevel="0" collapsed="false">
      <c r="A8333" s="0" t="n">
        <v>8332</v>
      </c>
      <c r="B8333" s="18" t="n">
        <v>1003357.43788062</v>
      </c>
      <c r="C8333" s="18" t="n">
        <v>28313237.4788165</v>
      </c>
      <c r="D8333" s="0" t="n">
        <v>1</v>
      </c>
    </row>
    <row r="8334" customFormat="false" ht="15" hidden="false" customHeight="false" outlineLevel="0" collapsed="false">
      <c r="A8334" s="0" t="n">
        <v>8333</v>
      </c>
      <c r="B8334" s="18" t="n">
        <v>592103.216088685</v>
      </c>
      <c r="C8334" s="18" t="n">
        <v>0</v>
      </c>
      <c r="D8334" s="0" t="n">
        <v>0</v>
      </c>
      <c r="E8334" s="19" t="n">
        <v>36.9166666666667</v>
      </c>
    </row>
    <row r="8335" customFormat="false" ht="15" hidden="false" customHeight="false" outlineLevel="0" collapsed="false">
      <c r="A8335" s="0" t="n">
        <v>8334</v>
      </c>
      <c r="B8335" s="18" t="n">
        <v>594887.30301954</v>
      </c>
      <c r="C8335" s="18" t="n">
        <v>0</v>
      </c>
      <c r="D8335" s="0" t="n">
        <v>0</v>
      </c>
      <c r="E8335" s="19" t="n">
        <v>38.5</v>
      </c>
    </row>
    <row r="8336" customFormat="false" ht="15" hidden="false" customHeight="false" outlineLevel="0" collapsed="false">
      <c r="A8336" s="0" t="n">
        <v>8335</v>
      </c>
      <c r="B8336" s="18" t="n">
        <v>367160.259271516</v>
      </c>
      <c r="C8336" s="18" t="n">
        <v>0</v>
      </c>
      <c r="D8336" s="0" t="n">
        <v>0</v>
      </c>
      <c r="E8336" s="19" t="n">
        <v>33.8333333333333</v>
      </c>
    </row>
    <row r="8337" customFormat="false" ht="15" hidden="false" customHeight="false" outlineLevel="0" collapsed="false">
      <c r="A8337" s="0" t="n">
        <v>8336</v>
      </c>
      <c r="B8337" s="18" t="n">
        <v>1113532.51428122</v>
      </c>
      <c r="C8337" s="18" t="n">
        <v>0</v>
      </c>
      <c r="D8337" s="0" t="n">
        <v>0</v>
      </c>
      <c r="E8337" s="19" t="n">
        <v>39.3333333333333</v>
      </c>
    </row>
    <row r="8338" customFormat="false" ht="15" hidden="false" customHeight="false" outlineLevel="0" collapsed="false">
      <c r="A8338" s="0" t="n">
        <v>8337</v>
      </c>
      <c r="B8338" s="18" t="n">
        <v>1391108.35254211</v>
      </c>
      <c r="C8338" s="18" t="n">
        <v>1901417.50662595</v>
      </c>
      <c r="D8338" s="0" t="n">
        <v>1</v>
      </c>
    </row>
    <row r="8339" customFormat="false" ht="15" hidden="false" customHeight="false" outlineLevel="0" collapsed="false">
      <c r="A8339" s="0" t="n">
        <v>8338</v>
      </c>
      <c r="B8339" s="18" t="n">
        <v>751623.694393501</v>
      </c>
      <c r="C8339" s="18" t="n">
        <v>0</v>
      </c>
      <c r="D8339" s="0" t="n">
        <v>0</v>
      </c>
      <c r="E8339" s="19" t="n">
        <v>35.8333333333333</v>
      </c>
    </row>
    <row r="8340" customFormat="false" ht="15" hidden="false" customHeight="false" outlineLevel="0" collapsed="false">
      <c r="A8340" s="0" t="n">
        <v>8339</v>
      </c>
      <c r="B8340" s="18" t="n">
        <v>822407.858212228</v>
      </c>
      <c r="C8340" s="18" t="n">
        <v>0</v>
      </c>
      <c r="D8340" s="0" t="n">
        <v>0</v>
      </c>
      <c r="E8340" s="19" t="n">
        <v>44.3333333333333</v>
      </c>
    </row>
    <row r="8341" customFormat="false" ht="15" hidden="false" customHeight="false" outlineLevel="0" collapsed="false">
      <c r="A8341" s="0" t="n">
        <v>8340</v>
      </c>
      <c r="B8341" s="18" t="n">
        <v>1140686.21963129</v>
      </c>
      <c r="C8341" s="18" t="n">
        <v>0</v>
      </c>
      <c r="D8341" s="0" t="n">
        <v>0</v>
      </c>
      <c r="E8341" s="19" t="n">
        <v>42.3333333333333</v>
      </c>
    </row>
    <row r="8342" customFormat="false" ht="15" hidden="false" customHeight="false" outlineLevel="0" collapsed="false">
      <c r="A8342" s="0" t="n">
        <v>8341</v>
      </c>
      <c r="B8342" s="18" t="n">
        <v>594258.590943877</v>
      </c>
      <c r="C8342" s="18" t="n">
        <v>0</v>
      </c>
      <c r="D8342" s="0" t="n">
        <v>0</v>
      </c>
      <c r="E8342" s="19" t="n">
        <v>34.5</v>
      </c>
    </row>
    <row r="8343" customFormat="false" ht="15" hidden="false" customHeight="false" outlineLevel="0" collapsed="false">
      <c r="A8343" s="0" t="n">
        <v>8342</v>
      </c>
      <c r="B8343" s="18" t="n">
        <v>1798243.298817</v>
      </c>
      <c r="C8343" s="18" t="n">
        <v>2262191.77940936</v>
      </c>
      <c r="D8343" s="0" t="n">
        <v>1</v>
      </c>
    </row>
    <row r="8344" customFormat="false" ht="15" hidden="false" customHeight="false" outlineLevel="0" collapsed="false">
      <c r="A8344" s="0" t="n">
        <v>8343</v>
      </c>
      <c r="B8344" s="18" t="n">
        <v>460026.641142508</v>
      </c>
      <c r="C8344" s="18" t="n">
        <v>0</v>
      </c>
      <c r="D8344" s="0" t="n">
        <v>0</v>
      </c>
      <c r="E8344" s="19" t="n">
        <v>36</v>
      </c>
    </row>
    <row r="8345" customFormat="false" ht="15" hidden="false" customHeight="false" outlineLevel="0" collapsed="false">
      <c r="A8345" s="0" t="n">
        <v>8344</v>
      </c>
      <c r="B8345" s="18" t="n">
        <v>449637.771312209</v>
      </c>
      <c r="C8345" s="18" t="n">
        <v>0</v>
      </c>
      <c r="D8345" s="0" t="n">
        <v>0</v>
      </c>
      <c r="E8345" s="19" t="n">
        <v>32.0833333333333</v>
      </c>
    </row>
    <row r="8346" customFormat="false" ht="15" hidden="false" customHeight="false" outlineLevel="0" collapsed="false">
      <c r="A8346" s="0" t="n">
        <v>8345</v>
      </c>
      <c r="B8346" s="18" t="n">
        <v>1451540.1759494</v>
      </c>
      <c r="C8346" s="18" t="n">
        <v>0</v>
      </c>
      <c r="D8346" s="0" t="n">
        <v>0</v>
      </c>
      <c r="E8346" s="19" t="n">
        <v>49</v>
      </c>
    </row>
    <row r="8347" customFormat="false" ht="15" hidden="false" customHeight="false" outlineLevel="0" collapsed="false">
      <c r="A8347" s="0" t="n">
        <v>8346</v>
      </c>
      <c r="B8347" s="18" t="n">
        <v>787852.6799892</v>
      </c>
      <c r="C8347" s="18" t="n">
        <v>0</v>
      </c>
      <c r="D8347" s="0" t="n">
        <v>0</v>
      </c>
      <c r="E8347" s="19" t="n">
        <v>46.1666666666667</v>
      </c>
    </row>
    <row r="8348" customFormat="false" ht="15" hidden="false" customHeight="false" outlineLevel="0" collapsed="false">
      <c r="A8348" s="0" t="n">
        <v>8347</v>
      </c>
      <c r="B8348" s="18" t="n">
        <v>634231.08165346</v>
      </c>
      <c r="C8348" s="18" t="n">
        <v>0</v>
      </c>
      <c r="D8348" s="0" t="n">
        <v>0</v>
      </c>
      <c r="E8348" s="19" t="n">
        <v>40.4166666666667</v>
      </c>
    </row>
    <row r="8349" customFormat="false" ht="15" hidden="false" customHeight="false" outlineLevel="0" collapsed="false">
      <c r="A8349" s="0" t="n">
        <v>8348</v>
      </c>
      <c r="B8349" s="18" t="n">
        <v>1054390.77444984</v>
      </c>
      <c r="C8349" s="18" t="n">
        <v>2033681.72340273</v>
      </c>
      <c r="D8349" s="0" t="n">
        <v>1</v>
      </c>
    </row>
    <row r="8350" customFormat="false" ht="15" hidden="false" customHeight="false" outlineLevel="0" collapsed="false">
      <c r="A8350" s="0" t="n">
        <v>8349</v>
      </c>
      <c r="B8350" s="18" t="n">
        <v>669640.447585543</v>
      </c>
      <c r="C8350" s="18" t="n">
        <v>0</v>
      </c>
      <c r="D8350" s="0" t="n">
        <v>0</v>
      </c>
      <c r="E8350" s="19" t="n">
        <v>37.8333333333333</v>
      </c>
    </row>
    <row r="8351" customFormat="false" ht="15" hidden="false" customHeight="false" outlineLevel="0" collapsed="false">
      <c r="A8351" s="0" t="n">
        <v>8350</v>
      </c>
      <c r="B8351" s="18" t="n">
        <v>1224957.22765592</v>
      </c>
      <c r="C8351" s="18" t="n">
        <v>0</v>
      </c>
      <c r="D8351" s="0" t="n">
        <v>0</v>
      </c>
      <c r="E8351" s="19" t="n">
        <v>51.8333333333333</v>
      </c>
    </row>
    <row r="8352" customFormat="false" ht="15" hidden="false" customHeight="false" outlineLevel="0" collapsed="false">
      <c r="A8352" s="0" t="n">
        <v>8351</v>
      </c>
      <c r="B8352" s="18" t="n">
        <v>894526.147203271</v>
      </c>
      <c r="C8352" s="18" t="n">
        <v>0</v>
      </c>
      <c r="D8352" s="0" t="n">
        <v>0</v>
      </c>
      <c r="E8352" s="19" t="n">
        <v>36</v>
      </c>
    </row>
    <row r="8353" customFormat="false" ht="15" hidden="false" customHeight="false" outlineLevel="0" collapsed="false">
      <c r="A8353" s="0" t="n">
        <v>8352</v>
      </c>
      <c r="B8353" s="18" t="n">
        <v>864317.648899662</v>
      </c>
      <c r="C8353" s="18" t="n">
        <v>0</v>
      </c>
      <c r="D8353" s="0" t="n">
        <v>0</v>
      </c>
      <c r="E8353" s="19" t="n">
        <v>42.3333333333333</v>
      </c>
    </row>
    <row r="8354" customFormat="false" ht="15" hidden="false" customHeight="false" outlineLevel="0" collapsed="false">
      <c r="A8354" s="0" t="n">
        <v>8353</v>
      </c>
      <c r="B8354" s="18" t="n">
        <v>1202224.311202</v>
      </c>
      <c r="C8354" s="18" t="n">
        <v>2883962.83797667</v>
      </c>
      <c r="D8354" s="0" t="n">
        <v>1</v>
      </c>
    </row>
    <row r="8355" customFormat="false" ht="15" hidden="false" customHeight="false" outlineLevel="0" collapsed="false">
      <c r="A8355" s="0" t="n">
        <v>8354</v>
      </c>
      <c r="B8355" s="18" t="n">
        <v>1960990.7141644</v>
      </c>
      <c r="C8355" s="18" t="n">
        <v>14537255.5328096</v>
      </c>
      <c r="D8355" s="0" t="n">
        <v>1</v>
      </c>
    </row>
    <row r="8356" customFormat="false" ht="15" hidden="false" customHeight="false" outlineLevel="0" collapsed="false">
      <c r="A8356" s="0" t="n">
        <v>8355</v>
      </c>
      <c r="B8356" s="18" t="n">
        <v>367305.08379243</v>
      </c>
      <c r="C8356" s="18" t="n">
        <v>0</v>
      </c>
      <c r="D8356" s="0" t="n">
        <v>0</v>
      </c>
      <c r="E8356" s="19" t="n">
        <v>30.5</v>
      </c>
    </row>
    <row r="8357" customFormat="false" ht="15" hidden="false" customHeight="false" outlineLevel="0" collapsed="false">
      <c r="A8357" s="0" t="n">
        <v>8356</v>
      </c>
      <c r="B8357" s="18" t="n">
        <v>746304.887888852</v>
      </c>
      <c r="C8357" s="18" t="n">
        <v>0</v>
      </c>
      <c r="D8357" s="0" t="n">
        <v>0</v>
      </c>
      <c r="E8357" s="19" t="n">
        <v>34.5833333333333</v>
      </c>
    </row>
    <row r="8358" customFormat="false" ht="15" hidden="false" customHeight="false" outlineLevel="0" collapsed="false">
      <c r="A8358" s="0" t="n">
        <v>8357</v>
      </c>
      <c r="B8358" s="18" t="n">
        <v>564838.968932103</v>
      </c>
      <c r="C8358" s="18" t="n">
        <v>0</v>
      </c>
      <c r="D8358" s="0" t="n">
        <v>0</v>
      </c>
      <c r="E8358" s="19" t="n">
        <v>34.4166666666667</v>
      </c>
    </row>
    <row r="8359" customFormat="false" ht="15" hidden="false" customHeight="false" outlineLevel="0" collapsed="false">
      <c r="A8359" s="0" t="n">
        <v>8358</v>
      </c>
      <c r="B8359" s="18" t="n">
        <v>2898880.73725607</v>
      </c>
      <c r="C8359" s="18" t="n">
        <v>50976236.1017762</v>
      </c>
      <c r="D8359" s="0" t="n">
        <v>1</v>
      </c>
    </row>
    <row r="8360" customFormat="false" ht="15" hidden="false" customHeight="false" outlineLevel="0" collapsed="false">
      <c r="A8360" s="0" t="n">
        <v>8359</v>
      </c>
      <c r="B8360" s="18" t="n">
        <v>642015.304364003</v>
      </c>
      <c r="C8360" s="18" t="n">
        <v>0</v>
      </c>
      <c r="D8360" s="0" t="n">
        <v>0</v>
      </c>
      <c r="E8360" s="19" t="n">
        <v>41.0833333333333</v>
      </c>
    </row>
    <row r="8361" customFormat="false" ht="15" hidden="false" customHeight="false" outlineLevel="0" collapsed="false">
      <c r="A8361" s="0" t="n">
        <v>8360</v>
      </c>
      <c r="B8361" s="18" t="n">
        <v>1320264.83844988</v>
      </c>
      <c r="C8361" s="18" t="n">
        <v>0</v>
      </c>
      <c r="D8361" s="0" t="n">
        <v>0</v>
      </c>
      <c r="E8361" s="19" t="n">
        <v>48.1666666666667</v>
      </c>
    </row>
    <row r="8362" customFormat="false" ht="15" hidden="false" customHeight="false" outlineLevel="0" collapsed="false">
      <c r="A8362" s="0" t="n">
        <v>8361</v>
      </c>
      <c r="B8362" s="18" t="n">
        <v>2168872.60967901</v>
      </c>
      <c r="C8362" s="18" t="n">
        <v>7712561.26289644</v>
      </c>
      <c r="D8362" s="0" t="n">
        <v>1</v>
      </c>
    </row>
    <row r="8363" customFormat="false" ht="15" hidden="false" customHeight="false" outlineLevel="0" collapsed="false">
      <c r="A8363" s="0" t="n">
        <v>8362</v>
      </c>
      <c r="B8363" s="18" t="n">
        <v>444032.753900237</v>
      </c>
      <c r="C8363" s="18" t="n">
        <v>0</v>
      </c>
      <c r="D8363" s="0" t="n">
        <v>0</v>
      </c>
      <c r="E8363" s="19" t="n">
        <v>39.5</v>
      </c>
    </row>
    <row r="8364" customFormat="false" ht="15" hidden="false" customHeight="false" outlineLevel="0" collapsed="false">
      <c r="A8364" s="0" t="n">
        <v>8363</v>
      </c>
      <c r="B8364" s="18" t="n">
        <v>874909.780088014</v>
      </c>
      <c r="C8364" s="18" t="n">
        <v>0</v>
      </c>
      <c r="D8364" s="0" t="n">
        <v>0</v>
      </c>
      <c r="E8364" s="19" t="n">
        <v>53.0833333333333</v>
      </c>
    </row>
    <row r="8365" customFormat="false" ht="15" hidden="false" customHeight="false" outlineLevel="0" collapsed="false">
      <c r="A8365" s="0" t="n">
        <v>8364</v>
      </c>
      <c r="B8365" s="18" t="n">
        <v>1075707.82989254</v>
      </c>
      <c r="C8365" s="18" t="n">
        <v>0</v>
      </c>
      <c r="D8365" s="0" t="n">
        <v>0</v>
      </c>
      <c r="E8365" s="19" t="n">
        <v>45.3333333333333</v>
      </c>
    </row>
    <row r="8366" customFormat="false" ht="15" hidden="false" customHeight="false" outlineLevel="0" collapsed="false">
      <c r="A8366" s="0" t="n">
        <v>8365</v>
      </c>
      <c r="B8366" s="18" t="n">
        <v>1015718.84622041</v>
      </c>
      <c r="C8366" s="18" t="n">
        <v>0</v>
      </c>
      <c r="D8366" s="0" t="n">
        <v>0</v>
      </c>
      <c r="E8366" s="19" t="n">
        <v>38.8333333333333</v>
      </c>
    </row>
    <row r="8367" customFormat="false" ht="15" hidden="false" customHeight="false" outlineLevel="0" collapsed="false">
      <c r="A8367" s="0" t="n">
        <v>8366</v>
      </c>
      <c r="B8367" s="18" t="n">
        <v>1284084.55566784</v>
      </c>
      <c r="C8367" s="18" t="n">
        <v>573996.599301463</v>
      </c>
      <c r="D8367" s="0" t="n">
        <v>1</v>
      </c>
    </row>
    <row r="8368" customFormat="false" ht="15" hidden="false" customHeight="false" outlineLevel="0" collapsed="false">
      <c r="A8368" s="0" t="n">
        <v>8367</v>
      </c>
      <c r="B8368" s="18" t="n">
        <v>1173045.63142532</v>
      </c>
      <c r="C8368" s="18" t="n">
        <v>368944.313764486</v>
      </c>
      <c r="D8368" s="0" t="n">
        <v>1</v>
      </c>
    </row>
    <row r="8369" customFormat="false" ht="15" hidden="false" customHeight="false" outlineLevel="0" collapsed="false">
      <c r="A8369" s="0" t="n">
        <v>8368</v>
      </c>
      <c r="B8369" s="18" t="n">
        <v>1461186.62042218</v>
      </c>
      <c r="C8369" s="18" t="n">
        <v>7059593.19229511</v>
      </c>
      <c r="D8369" s="0" t="n">
        <v>1</v>
      </c>
    </row>
    <row r="8370" customFormat="false" ht="15" hidden="false" customHeight="false" outlineLevel="0" collapsed="false">
      <c r="A8370" s="0" t="n">
        <v>8369</v>
      </c>
      <c r="B8370" s="18" t="n">
        <v>2492162.11822244</v>
      </c>
      <c r="C8370" s="18" t="n">
        <v>91942879.0438407</v>
      </c>
      <c r="D8370" s="0" t="n">
        <v>1</v>
      </c>
    </row>
    <row r="8371" customFormat="false" ht="15" hidden="false" customHeight="false" outlineLevel="0" collapsed="false">
      <c r="A8371" s="0" t="n">
        <v>8370</v>
      </c>
      <c r="B8371" s="18" t="n">
        <v>582147.222808487</v>
      </c>
      <c r="C8371" s="18" t="n">
        <v>0</v>
      </c>
      <c r="D8371" s="0" t="n">
        <v>0</v>
      </c>
      <c r="E8371" s="19" t="n">
        <v>31.6666666666667</v>
      </c>
    </row>
    <row r="8372" customFormat="false" ht="15" hidden="false" customHeight="false" outlineLevel="0" collapsed="false">
      <c r="A8372" s="0" t="n">
        <v>8371</v>
      </c>
      <c r="B8372" s="18" t="n">
        <v>783076.23027448</v>
      </c>
      <c r="C8372" s="18" t="n">
        <v>0</v>
      </c>
      <c r="D8372" s="0" t="n">
        <v>0</v>
      </c>
      <c r="E8372" s="19" t="n">
        <v>44.0833333333333</v>
      </c>
    </row>
    <row r="8373" customFormat="false" ht="15" hidden="false" customHeight="false" outlineLevel="0" collapsed="false">
      <c r="A8373" s="0" t="n">
        <v>8372</v>
      </c>
      <c r="B8373" s="18" t="n">
        <v>1116449.88210109</v>
      </c>
      <c r="C8373" s="18" t="n">
        <v>8011817.49758775</v>
      </c>
      <c r="D8373" s="0" t="n">
        <v>1</v>
      </c>
    </row>
    <row r="8374" customFormat="false" ht="15" hidden="false" customHeight="false" outlineLevel="0" collapsed="false">
      <c r="A8374" s="0" t="n">
        <v>8373</v>
      </c>
      <c r="B8374" s="18" t="n">
        <v>706202.121181155</v>
      </c>
      <c r="C8374" s="18" t="n">
        <v>0</v>
      </c>
      <c r="D8374" s="0" t="n">
        <v>0</v>
      </c>
      <c r="E8374" s="19" t="n">
        <v>33.1666666666667</v>
      </c>
    </row>
    <row r="8375" customFormat="false" ht="15" hidden="false" customHeight="false" outlineLevel="0" collapsed="false">
      <c r="A8375" s="0" t="n">
        <v>8374</v>
      </c>
      <c r="B8375" s="18" t="n">
        <v>1675689.72996229</v>
      </c>
      <c r="C8375" s="18" t="n">
        <v>411946.448123663</v>
      </c>
      <c r="D8375" s="0" t="n">
        <v>1</v>
      </c>
    </row>
    <row r="8376" customFormat="false" ht="15" hidden="false" customHeight="false" outlineLevel="0" collapsed="false">
      <c r="A8376" s="0" t="n">
        <v>8375</v>
      </c>
      <c r="B8376" s="18" t="n">
        <v>2119108.37066436</v>
      </c>
      <c r="C8376" s="18" t="n">
        <v>26070653.957075</v>
      </c>
      <c r="D8376" s="0" t="n">
        <v>1</v>
      </c>
    </row>
    <row r="8377" customFormat="false" ht="15" hidden="false" customHeight="false" outlineLevel="0" collapsed="false">
      <c r="A8377" s="0" t="n">
        <v>8376</v>
      </c>
      <c r="B8377" s="18" t="n">
        <v>699855.897387379</v>
      </c>
      <c r="C8377" s="18" t="n">
        <v>0</v>
      </c>
      <c r="D8377" s="0" t="n">
        <v>0</v>
      </c>
      <c r="E8377" s="19" t="n">
        <v>38.3333333333333</v>
      </c>
    </row>
    <row r="8378" customFormat="false" ht="15" hidden="false" customHeight="false" outlineLevel="0" collapsed="false">
      <c r="A8378" s="0" t="n">
        <v>8377</v>
      </c>
      <c r="B8378" s="18" t="n">
        <v>1642032.3667475</v>
      </c>
      <c r="C8378" s="18" t="n">
        <v>72512810.957243</v>
      </c>
      <c r="D8378" s="0" t="n">
        <v>1</v>
      </c>
    </row>
    <row r="8379" customFormat="false" ht="15" hidden="false" customHeight="false" outlineLevel="0" collapsed="false">
      <c r="A8379" s="0" t="n">
        <v>8378</v>
      </c>
      <c r="B8379" s="18" t="n">
        <v>699695.124818069</v>
      </c>
      <c r="C8379" s="18" t="n">
        <v>0</v>
      </c>
      <c r="D8379" s="0" t="n">
        <v>0</v>
      </c>
      <c r="E8379" s="19" t="n">
        <v>36.25</v>
      </c>
    </row>
    <row r="8380" customFormat="false" ht="15" hidden="false" customHeight="false" outlineLevel="0" collapsed="false">
      <c r="A8380" s="0" t="n">
        <v>8379</v>
      </c>
      <c r="B8380" s="18" t="n">
        <v>1062007.74488676</v>
      </c>
      <c r="C8380" s="18" t="n">
        <v>2269075.44048772</v>
      </c>
      <c r="D8380" s="0" t="n">
        <v>1</v>
      </c>
    </row>
    <row r="8381" customFormat="false" ht="15" hidden="false" customHeight="false" outlineLevel="0" collapsed="false">
      <c r="A8381" s="0" t="n">
        <v>8380</v>
      </c>
      <c r="B8381" s="18" t="n">
        <v>647025.271279595</v>
      </c>
      <c r="C8381" s="18" t="n">
        <v>0</v>
      </c>
      <c r="D8381" s="0" t="n">
        <v>0</v>
      </c>
      <c r="E8381" s="19" t="n">
        <v>36.3333333333333</v>
      </c>
    </row>
    <row r="8382" customFormat="false" ht="15" hidden="false" customHeight="false" outlineLevel="0" collapsed="false">
      <c r="A8382" s="0" t="n">
        <v>8381</v>
      </c>
      <c r="B8382" s="18" t="n">
        <v>502731.863246739</v>
      </c>
      <c r="C8382" s="18" t="n">
        <v>0</v>
      </c>
      <c r="D8382" s="0" t="n">
        <v>0</v>
      </c>
      <c r="E8382" s="19" t="n">
        <v>32.5</v>
      </c>
    </row>
    <row r="8383" customFormat="false" ht="15" hidden="false" customHeight="false" outlineLevel="0" collapsed="false">
      <c r="A8383" s="0" t="n">
        <v>8382</v>
      </c>
      <c r="B8383" s="18" t="n">
        <v>2768838.64487592</v>
      </c>
      <c r="C8383" s="18" t="n">
        <v>10528657.0734157</v>
      </c>
      <c r="D8383" s="0" t="n">
        <v>1</v>
      </c>
    </row>
    <row r="8384" customFormat="false" ht="15" hidden="false" customHeight="false" outlineLevel="0" collapsed="false">
      <c r="A8384" s="0" t="n">
        <v>8383</v>
      </c>
      <c r="B8384" s="18" t="n">
        <v>726279.785704252</v>
      </c>
      <c r="C8384" s="18" t="n">
        <v>0</v>
      </c>
      <c r="D8384" s="0" t="n">
        <v>0</v>
      </c>
      <c r="E8384" s="19" t="n">
        <v>51.3333333333333</v>
      </c>
    </row>
    <row r="8385" customFormat="false" ht="15" hidden="false" customHeight="false" outlineLevel="0" collapsed="false">
      <c r="A8385" s="0" t="n">
        <v>8384</v>
      </c>
      <c r="B8385" s="18" t="n">
        <v>1094226.04281234</v>
      </c>
      <c r="C8385" s="18" t="n">
        <v>0</v>
      </c>
      <c r="D8385" s="0" t="n">
        <v>0</v>
      </c>
      <c r="E8385" s="19" t="n">
        <v>48.5</v>
      </c>
    </row>
    <row r="8386" customFormat="false" ht="15" hidden="false" customHeight="false" outlineLevel="0" collapsed="false">
      <c r="A8386" s="0" t="n">
        <v>8385</v>
      </c>
      <c r="B8386" s="18" t="n">
        <v>1591971.1569958</v>
      </c>
      <c r="C8386" s="18" t="n">
        <v>1951393.5414684</v>
      </c>
      <c r="D8386" s="0" t="n">
        <v>1</v>
      </c>
    </row>
    <row r="8387" customFormat="false" ht="15" hidden="false" customHeight="false" outlineLevel="0" collapsed="false">
      <c r="A8387" s="0" t="n">
        <v>8386</v>
      </c>
      <c r="B8387" s="18" t="n">
        <v>690911.760367738</v>
      </c>
      <c r="C8387" s="18" t="n">
        <v>0</v>
      </c>
      <c r="D8387" s="0" t="n">
        <v>0</v>
      </c>
      <c r="E8387" s="19" t="n">
        <v>36.3333333333333</v>
      </c>
    </row>
    <row r="8388" customFormat="false" ht="15" hidden="false" customHeight="false" outlineLevel="0" collapsed="false">
      <c r="A8388" s="0" t="n">
        <v>8387</v>
      </c>
      <c r="B8388" s="18" t="n">
        <v>898400.188726284</v>
      </c>
      <c r="C8388" s="18" t="n">
        <v>0</v>
      </c>
      <c r="D8388" s="0" t="n">
        <v>0</v>
      </c>
      <c r="E8388" s="19" t="n">
        <v>44.9166666666667</v>
      </c>
    </row>
    <row r="8389" customFormat="false" ht="15" hidden="false" customHeight="false" outlineLevel="0" collapsed="false">
      <c r="A8389" s="0" t="n">
        <v>8388</v>
      </c>
      <c r="B8389" s="18" t="n">
        <v>472849.684136837</v>
      </c>
      <c r="C8389" s="18" t="n">
        <v>0</v>
      </c>
      <c r="D8389" s="0" t="n">
        <v>0</v>
      </c>
      <c r="E8389" s="19" t="n">
        <v>35.9166666666667</v>
      </c>
    </row>
    <row r="8390" customFormat="false" ht="15" hidden="false" customHeight="false" outlineLevel="0" collapsed="false">
      <c r="A8390" s="0" t="n">
        <v>8389</v>
      </c>
      <c r="B8390" s="18" t="n">
        <v>2040536.67771188</v>
      </c>
      <c r="C8390" s="18" t="n">
        <v>468688.651362538</v>
      </c>
      <c r="D8390" s="0" t="n">
        <v>1</v>
      </c>
    </row>
    <row r="8391" customFormat="false" ht="15" hidden="false" customHeight="false" outlineLevel="0" collapsed="false">
      <c r="A8391" s="0" t="n">
        <v>8390</v>
      </c>
      <c r="B8391" s="18" t="n">
        <v>441748.783603218</v>
      </c>
      <c r="C8391" s="18" t="n">
        <v>0</v>
      </c>
      <c r="D8391" s="0" t="n">
        <v>0</v>
      </c>
      <c r="E8391" s="19" t="n">
        <v>31.9166666666667</v>
      </c>
    </row>
    <row r="8392" customFormat="false" ht="15" hidden="false" customHeight="false" outlineLevel="0" collapsed="false">
      <c r="A8392" s="0" t="n">
        <v>8391</v>
      </c>
      <c r="B8392" s="18" t="n">
        <v>1595432.1930508</v>
      </c>
      <c r="C8392" s="18" t="n">
        <v>11395840.6724823</v>
      </c>
      <c r="D8392" s="0" t="n">
        <v>1</v>
      </c>
    </row>
    <row r="8393" customFormat="false" ht="15" hidden="false" customHeight="false" outlineLevel="0" collapsed="false">
      <c r="A8393" s="0" t="n">
        <v>8392</v>
      </c>
      <c r="B8393" s="18" t="n">
        <v>929577.751196401</v>
      </c>
      <c r="C8393" s="18" t="n">
        <v>2747756.32765032</v>
      </c>
      <c r="D8393" s="0" t="n">
        <v>1</v>
      </c>
    </row>
    <row r="8394" customFormat="false" ht="15" hidden="false" customHeight="false" outlineLevel="0" collapsed="false">
      <c r="A8394" s="0" t="n">
        <v>8393</v>
      </c>
      <c r="B8394" s="18" t="n">
        <v>1734121.41464863</v>
      </c>
      <c r="C8394" s="18" t="n">
        <v>4328864.88853891</v>
      </c>
      <c r="D8394" s="0" t="n">
        <v>1</v>
      </c>
    </row>
    <row r="8395" customFormat="false" ht="15" hidden="false" customHeight="false" outlineLevel="0" collapsed="false">
      <c r="A8395" s="0" t="n">
        <v>8394</v>
      </c>
      <c r="B8395" s="18" t="n">
        <v>2794167.37483175</v>
      </c>
      <c r="C8395" s="18" t="n">
        <v>46500717.8820445</v>
      </c>
      <c r="D8395" s="0" t="n">
        <v>1</v>
      </c>
    </row>
    <row r="8396" customFormat="false" ht="15" hidden="false" customHeight="false" outlineLevel="0" collapsed="false">
      <c r="A8396" s="0" t="n">
        <v>8395</v>
      </c>
      <c r="B8396" s="18" t="n">
        <v>410490.385550701</v>
      </c>
      <c r="C8396" s="18" t="n">
        <v>0</v>
      </c>
      <c r="D8396" s="0" t="n">
        <v>0</v>
      </c>
      <c r="E8396" s="19" t="n">
        <v>30.8333333333333</v>
      </c>
    </row>
    <row r="8397" customFormat="false" ht="15" hidden="false" customHeight="false" outlineLevel="0" collapsed="false">
      <c r="A8397" s="0" t="n">
        <v>8396</v>
      </c>
      <c r="B8397" s="18" t="n">
        <v>499237.150409234</v>
      </c>
      <c r="C8397" s="18" t="n">
        <v>0</v>
      </c>
      <c r="D8397" s="0" t="n">
        <v>0</v>
      </c>
      <c r="E8397" s="19" t="n">
        <v>37.75</v>
      </c>
    </row>
    <row r="8398" customFormat="false" ht="15" hidden="false" customHeight="false" outlineLevel="0" collapsed="false">
      <c r="A8398" s="0" t="n">
        <v>8397</v>
      </c>
      <c r="B8398" s="18" t="n">
        <v>530088.063414109</v>
      </c>
      <c r="C8398" s="18" t="n">
        <v>0</v>
      </c>
      <c r="D8398" s="0" t="n">
        <v>0</v>
      </c>
      <c r="E8398" s="19" t="n">
        <v>34.75</v>
      </c>
    </row>
    <row r="8399" customFormat="false" ht="15" hidden="false" customHeight="false" outlineLevel="0" collapsed="false">
      <c r="A8399" s="0" t="n">
        <v>8398</v>
      </c>
      <c r="B8399" s="18" t="n">
        <v>1194068.6112082</v>
      </c>
      <c r="C8399" s="18" t="n">
        <v>0</v>
      </c>
      <c r="D8399" s="0" t="n">
        <v>0</v>
      </c>
      <c r="E8399" s="19" t="n">
        <v>40.6666666666667</v>
      </c>
    </row>
    <row r="8400" customFormat="false" ht="15" hidden="false" customHeight="false" outlineLevel="0" collapsed="false">
      <c r="A8400" s="0" t="n">
        <v>8399</v>
      </c>
      <c r="B8400" s="18" t="n">
        <v>453830.250213896</v>
      </c>
      <c r="C8400" s="18" t="n">
        <v>0</v>
      </c>
      <c r="D8400" s="0" t="n">
        <v>0</v>
      </c>
      <c r="E8400" s="19" t="n">
        <v>40.5</v>
      </c>
    </row>
    <row r="8401" customFormat="false" ht="15" hidden="false" customHeight="false" outlineLevel="0" collapsed="false">
      <c r="A8401" s="0" t="n">
        <v>8400</v>
      </c>
      <c r="B8401" s="18" t="n">
        <v>685438.382609223</v>
      </c>
      <c r="C8401" s="18" t="n">
        <v>0</v>
      </c>
      <c r="D8401" s="0" t="n">
        <v>0</v>
      </c>
      <c r="E8401" s="19" t="n">
        <v>41</v>
      </c>
    </row>
    <row r="8402" customFormat="false" ht="15" hidden="false" customHeight="false" outlineLevel="0" collapsed="false">
      <c r="A8402" s="0" t="n">
        <v>8401</v>
      </c>
      <c r="B8402" s="18" t="n">
        <v>1145072.61127904</v>
      </c>
      <c r="C8402" s="18" t="n">
        <v>0</v>
      </c>
      <c r="D8402" s="0" t="n">
        <v>0</v>
      </c>
      <c r="E8402" s="19" t="n">
        <v>45.9166666666667</v>
      </c>
    </row>
    <row r="8403" customFormat="false" ht="15" hidden="false" customHeight="false" outlineLevel="0" collapsed="false">
      <c r="A8403" s="0" t="n">
        <v>8402</v>
      </c>
      <c r="B8403" s="18" t="n">
        <v>498800.113413206</v>
      </c>
      <c r="C8403" s="18" t="n">
        <v>0</v>
      </c>
      <c r="D8403" s="0" t="n">
        <v>0</v>
      </c>
      <c r="E8403" s="19" t="n">
        <v>35</v>
      </c>
    </row>
    <row r="8404" customFormat="false" ht="15" hidden="false" customHeight="false" outlineLevel="0" collapsed="false">
      <c r="A8404" s="0" t="n">
        <v>8403</v>
      </c>
      <c r="B8404" s="18" t="n">
        <v>878608.422758808</v>
      </c>
      <c r="C8404" s="18" t="n">
        <v>0</v>
      </c>
      <c r="D8404" s="0" t="n">
        <v>0</v>
      </c>
      <c r="E8404" s="19" t="n">
        <v>40.8333333333333</v>
      </c>
    </row>
    <row r="8405" customFormat="false" ht="15" hidden="false" customHeight="false" outlineLevel="0" collapsed="false">
      <c r="A8405" s="0" t="n">
        <v>8404</v>
      </c>
      <c r="B8405" s="18" t="n">
        <v>689328.084536083</v>
      </c>
      <c r="C8405" s="18" t="n">
        <v>0</v>
      </c>
      <c r="D8405" s="0" t="n">
        <v>0</v>
      </c>
      <c r="E8405" s="19" t="n">
        <v>47</v>
      </c>
    </row>
    <row r="8406" customFormat="false" ht="15" hidden="false" customHeight="false" outlineLevel="0" collapsed="false">
      <c r="A8406" s="0" t="n">
        <v>8405</v>
      </c>
      <c r="B8406" s="18" t="n">
        <v>2420266.94103032</v>
      </c>
      <c r="C8406" s="18" t="n">
        <v>44754.1158761754</v>
      </c>
      <c r="D8406" s="0" t="n">
        <v>1</v>
      </c>
    </row>
    <row r="8407" customFormat="false" ht="15" hidden="false" customHeight="false" outlineLevel="0" collapsed="false">
      <c r="A8407" s="0" t="n">
        <v>8406</v>
      </c>
      <c r="B8407" s="18" t="n">
        <v>757283.938500214</v>
      </c>
      <c r="C8407" s="18" t="n">
        <v>0</v>
      </c>
      <c r="D8407" s="0" t="n">
        <v>0</v>
      </c>
      <c r="E8407" s="19" t="n">
        <v>34.5833333333333</v>
      </c>
    </row>
    <row r="8408" customFormat="false" ht="15" hidden="false" customHeight="false" outlineLevel="0" collapsed="false">
      <c r="A8408" s="0" t="n">
        <v>8407</v>
      </c>
      <c r="B8408" s="18" t="n">
        <v>427936.01247162</v>
      </c>
      <c r="C8408" s="18" t="n">
        <v>0</v>
      </c>
      <c r="D8408" s="0" t="n">
        <v>0</v>
      </c>
      <c r="E8408" s="19" t="n">
        <v>31.25</v>
      </c>
    </row>
    <row r="8409" customFormat="false" ht="15" hidden="false" customHeight="false" outlineLevel="0" collapsed="false">
      <c r="A8409" s="0" t="n">
        <v>8408</v>
      </c>
      <c r="B8409" s="18" t="n">
        <v>477773.856014198</v>
      </c>
      <c r="C8409" s="18" t="n">
        <v>0</v>
      </c>
      <c r="D8409" s="0" t="n">
        <v>0</v>
      </c>
      <c r="E8409" s="19" t="n">
        <v>32.0833333333333</v>
      </c>
    </row>
    <row r="8410" customFormat="false" ht="15" hidden="false" customHeight="false" outlineLevel="0" collapsed="false">
      <c r="A8410" s="0" t="n">
        <v>8409</v>
      </c>
      <c r="B8410" s="18" t="n">
        <v>1067217.21144429</v>
      </c>
      <c r="C8410" s="18" t="n">
        <v>0</v>
      </c>
      <c r="D8410" s="0" t="n">
        <v>0</v>
      </c>
      <c r="E8410" s="19" t="n">
        <v>39.0833333333333</v>
      </c>
    </row>
    <row r="8411" customFormat="false" ht="15" hidden="false" customHeight="false" outlineLevel="0" collapsed="false">
      <c r="A8411" s="0" t="n">
        <v>8410</v>
      </c>
      <c r="B8411" s="18" t="n">
        <v>2224557.90058752</v>
      </c>
      <c r="C8411" s="18" t="n">
        <v>341000.055596349</v>
      </c>
      <c r="D8411" s="0" t="n">
        <v>1</v>
      </c>
    </row>
    <row r="8412" customFormat="false" ht="15" hidden="false" customHeight="false" outlineLevel="0" collapsed="false">
      <c r="A8412" s="0" t="n">
        <v>8411</v>
      </c>
      <c r="B8412" s="18" t="n">
        <v>676913.958148817</v>
      </c>
      <c r="C8412" s="18" t="n">
        <v>0</v>
      </c>
      <c r="D8412" s="0" t="n">
        <v>0</v>
      </c>
      <c r="E8412" s="19" t="n">
        <v>42.8333333333333</v>
      </c>
    </row>
    <row r="8413" customFormat="false" ht="15" hidden="false" customHeight="false" outlineLevel="0" collapsed="false">
      <c r="A8413" s="0" t="n">
        <v>8412</v>
      </c>
      <c r="B8413" s="18" t="n">
        <v>834621.103626031</v>
      </c>
      <c r="C8413" s="18" t="n">
        <v>0</v>
      </c>
      <c r="D8413" s="0" t="n">
        <v>0</v>
      </c>
      <c r="E8413" s="19" t="n">
        <v>42.75</v>
      </c>
    </row>
    <row r="8414" customFormat="false" ht="15" hidden="false" customHeight="false" outlineLevel="0" collapsed="false">
      <c r="A8414" s="0" t="n">
        <v>8413</v>
      </c>
      <c r="B8414" s="18" t="n">
        <v>549939.191200965</v>
      </c>
      <c r="C8414" s="18" t="n">
        <v>0</v>
      </c>
      <c r="D8414" s="0" t="n">
        <v>0</v>
      </c>
      <c r="E8414" s="19" t="n">
        <v>36.4166666666667</v>
      </c>
    </row>
    <row r="8415" customFormat="false" ht="15" hidden="false" customHeight="false" outlineLevel="0" collapsed="false">
      <c r="A8415" s="0" t="n">
        <v>8414</v>
      </c>
      <c r="B8415" s="18" t="n">
        <v>696550.944423632</v>
      </c>
      <c r="C8415" s="18" t="n">
        <v>0</v>
      </c>
      <c r="D8415" s="0" t="n">
        <v>0</v>
      </c>
      <c r="E8415" s="19" t="n">
        <v>35.1666666666667</v>
      </c>
    </row>
    <row r="8416" customFormat="false" ht="15" hidden="false" customHeight="false" outlineLevel="0" collapsed="false">
      <c r="A8416" s="0" t="n">
        <v>8415</v>
      </c>
      <c r="B8416" s="18" t="n">
        <v>800546.247731097</v>
      </c>
      <c r="C8416" s="18" t="n">
        <v>0</v>
      </c>
      <c r="D8416" s="0" t="n">
        <v>0</v>
      </c>
      <c r="E8416" s="19" t="n">
        <v>42.6666666666667</v>
      </c>
    </row>
    <row r="8417" customFormat="false" ht="15" hidden="false" customHeight="false" outlineLevel="0" collapsed="false">
      <c r="A8417" s="0" t="n">
        <v>8416</v>
      </c>
      <c r="B8417" s="18" t="n">
        <v>1132960.73529292</v>
      </c>
      <c r="C8417" s="18" t="n">
        <v>1440711.26971069</v>
      </c>
      <c r="D8417" s="0" t="n">
        <v>1</v>
      </c>
    </row>
    <row r="8418" customFormat="false" ht="15" hidden="false" customHeight="false" outlineLevel="0" collapsed="false">
      <c r="A8418" s="0" t="n">
        <v>8417</v>
      </c>
      <c r="B8418" s="18" t="n">
        <v>1712182.33350579</v>
      </c>
      <c r="C8418" s="18" t="n">
        <v>1094451.47976279</v>
      </c>
      <c r="D8418" s="0" t="n">
        <v>1</v>
      </c>
    </row>
    <row r="8419" customFormat="false" ht="15" hidden="false" customHeight="false" outlineLevel="0" collapsed="false">
      <c r="A8419" s="0" t="n">
        <v>8418</v>
      </c>
      <c r="B8419" s="18" t="n">
        <v>1439415.96047252</v>
      </c>
      <c r="C8419" s="18" t="n">
        <v>3945295.16002623</v>
      </c>
      <c r="D8419" s="0" t="n">
        <v>1</v>
      </c>
    </row>
    <row r="8420" customFormat="false" ht="15" hidden="false" customHeight="false" outlineLevel="0" collapsed="false">
      <c r="A8420" s="0" t="n">
        <v>8419</v>
      </c>
      <c r="B8420" s="18" t="n">
        <v>948396.676684745</v>
      </c>
      <c r="C8420" s="18" t="n">
        <v>143386.573246059</v>
      </c>
      <c r="D8420" s="0" t="n">
        <v>1</v>
      </c>
    </row>
    <row r="8421" customFormat="false" ht="15" hidden="false" customHeight="false" outlineLevel="0" collapsed="false">
      <c r="A8421" s="0" t="n">
        <v>8420</v>
      </c>
      <c r="B8421" s="18" t="n">
        <v>1363858.65211491</v>
      </c>
      <c r="C8421" s="18" t="n">
        <v>0</v>
      </c>
      <c r="D8421" s="0" t="n">
        <v>0</v>
      </c>
      <c r="E8421" s="19" t="n">
        <v>39.4166666666667</v>
      </c>
    </row>
    <row r="8422" customFormat="false" ht="15" hidden="false" customHeight="false" outlineLevel="0" collapsed="false">
      <c r="A8422" s="0" t="n">
        <v>8421</v>
      </c>
      <c r="B8422" s="18" t="n">
        <v>690266.958016864</v>
      </c>
      <c r="C8422" s="18" t="n">
        <v>344502.688667198</v>
      </c>
      <c r="D8422" s="0" t="n">
        <v>1</v>
      </c>
    </row>
    <row r="8423" customFormat="false" ht="15" hidden="false" customHeight="false" outlineLevel="0" collapsed="false">
      <c r="A8423" s="0" t="n">
        <v>8422</v>
      </c>
      <c r="B8423" s="18" t="n">
        <v>631878.56179143</v>
      </c>
      <c r="C8423" s="18" t="n">
        <v>0</v>
      </c>
      <c r="D8423" s="0" t="n">
        <v>0</v>
      </c>
      <c r="E8423" s="19" t="n">
        <v>39.5</v>
      </c>
    </row>
    <row r="8424" customFormat="false" ht="15" hidden="false" customHeight="false" outlineLevel="0" collapsed="false">
      <c r="A8424" s="0" t="n">
        <v>8423</v>
      </c>
      <c r="B8424" s="18" t="n">
        <v>336884.464840513</v>
      </c>
      <c r="C8424" s="18" t="n">
        <v>0</v>
      </c>
      <c r="D8424" s="0" t="n">
        <v>0</v>
      </c>
      <c r="E8424" s="19" t="n">
        <v>31.3333333333333</v>
      </c>
    </row>
    <row r="8425" customFormat="false" ht="15" hidden="false" customHeight="false" outlineLevel="0" collapsed="false">
      <c r="A8425" s="0" t="n">
        <v>8424</v>
      </c>
      <c r="B8425" s="18" t="n">
        <v>1443856.73786102</v>
      </c>
      <c r="C8425" s="18" t="n">
        <v>0</v>
      </c>
      <c r="D8425" s="0" t="n">
        <v>0</v>
      </c>
      <c r="E8425" s="19" t="n">
        <v>44.6666666666667</v>
      </c>
    </row>
    <row r="8426" customFormat="false" ht="15" hidden="false" customHeight="false" outlineLevel="0" collapsed="false">
      <c r="A8426" s="0" t="n">
        <v>8425</v>
      </c>
      <c r="B8426" s="18" t="n">
        <v>3888974.3844513</v>
      </c>
      <c r="C8426" s="18" t="n">
        <v>43010601.9222743</v>
      </c>
      <c r="D8426" s="0" t="n">
        <v>1</v>
      </c>
    </row>
    <row r="8427" customFormat="false" ht="15" hidden="false" customHeight="false" outlineLevel="0" collapsed="false">
      <c r="A8427" s="0" t="n">
        <v>8426</v>
      </c>
      <c r="B8427" s="18" t="n">
        <v>1111810.82628224</v>
      </c>
      <c r="C8427" s="18" t="n">
        <v>0</v>
      </c>
      <c r="D8427" s="0" t="n">
        <v>0</v>
      </c>
      <c r="E8427" s="19" t="n">
        <v>45.8333333333333</v>
      </c>
    </row>
    <row r="8428" customFormat="false" ht="15" hidden="false" customHeight="false" outlineLevel="0" collapsed="false">
      <c r="A8428" s="0" t="n">
        <v>8427</v>
      </c>
      <c r="B8428" s="18" t="n">
        <v>793590.290800741</v>
      </c>
      <c r="C8428" s="18" t="n">
        <v>0</v>
      </c>
      <c r="D8428" s="0" t="n">
        <v>0</v>
      </c>
      <c r="E8428" s="19" t="n">
        <v>38.6666666666667</v>
      </c>
    </row>
    <row r="8429" customFormat="false" ht="15" hidden="false" customHeight="false" outlineLevel="0" collapsed="false">
      <c r="A8429" s="0" t="n">
        <v>8428</v>
      </c>
      <c r="B8429" s="18" t="n">
        <v>1707839.07310572</v>
      </c>
      <c r="C8429" s="18" t="n">
        <v>0</v>
      </c>
      <c r="D8429" s="0" t="n">
        <v>0</v>
      </c>
      <c r="E8429" s="19" t="n">
        <v>51.3333333333333</v>
      </c>
    </row>
    <row r="8430" customFormat="false" ht="15" hidden="false" customHeight="false" outlineLevel="0" collapsed="false">
      <c r="A8430" s="0" t="n">
        <v>8429</v>
      </c>
      <c r="B8430" s="18" t="n">
        <v>826117.100958384</v>
      </c>
      <c r="C8430" s="18" t="n">
        <v>0</v>
      </c>
      <c r="D8430" s="0" t="n">
        <v>0</v>
      </c>
      <c r="E8430" s="19" t="n">
        <v>35.1666666666667</v>
      </c>
    </row>
    <row r="8431" customFormat="false" ht="15" hidden="false" customHeight="false" outlineLevel="0" collapsed="false">
      <c r="A8431" s="0" t="n">
        <v>8430</v>
      </c>
      <c r="B8431" s="18" t="n">
        <v>763403.109462943</v>
      </c>
      <c r="C8431" s="18" t="n">
        <v>0</v>
      </c>
      <c r="D8431" s="0" t="n">
        <v>0</v>
      </c>
      <c r="E8431" s="19" t="n">
        <v>36.9166666666667</v>
      </c>
    </row>
    <row r="8432" customFormat="false" ht="15" hidden="false" customHeight="false" outlineLevel="0" collapsed="false">
      <c r="A8432" s="0" t="n">
        <v>8431</v>
      </c>
      <c r="B8432" s="18" t="n">
        <v>1661743.51757621</v>
      </c>
      <c r="C8432" s="18" t="n">
        <v>1248780.02407772</v>
      </c>
      <c r="D8432" s="0" t="n">
        <v>1</v>
      </c>
    </row>
    <row r="8433" customFormat="false" ht="15" hidden="false" customHeight="false" outlineLevel="0" collapsed="false">
      <c r="A8433" s="0" t="n">
        <v>8432</v>
      </c>
      <c r="B8433" s="18" t="n">
        <v>799783.505094781</v>
      </c>
      <c r="C8433" s="18" t="n">
        <v>0</v>
      </c>
      <c r="D8433" s="0" t="n">
        <v>0</v>
      </c>
      <c r="E8433" s="19" t="n">
        <v>34.1666666666667</v>
      </c>
    </row>
    <row r="8434" customFormat="false" ht="15" hidden="false" customHeight="false" outlineLevel="0" collapsed="false">
      <c r="A8434" s="0" t="n">
        <v>8433</v>
      </c>
      <c r="B8434" s="18" t="n">
        <v>1393667.70887141</v>
      </c>
      <c r="C8434" s="18" t="n">
        <v>8141198.72061022</v>
      </c>
      <c r="D8434" s="0" t="n">
        <v>1</v>
      </c>
    </row>
    <row r="8435" customFormat="false" ht="15" hidden="false" customHeight="false" outlineLevel="0" collapsed="false">
      <c r="A8435" s="0" t="n">
        <v>8434</v>
      </c>
      <c r="B8435" s="18" t="n">
        <v>641962.729786962</v>
      </c>
      <c r="C8435" s="18" t="n">
        <v>0</v>
      </c>
      <c r="D8435" s="0" t="n">
        <v>0</v>
      </c>
      <c r="E8435" s="19" t="n">
        <v>49</v>
      </c>
    </row>
    <row r="8436" customFormat="false" ht="15" hidden="false" customHeight="false" outlineLevel="0" collapsed="false">
      <c r="A8436" s="0" t="n">
        <v>8435</v>
      </c>
      <c r="B8436" s="18" t="n">
        <v>766629.009094029</v>
      </c>
      <c r="C8436" s="18" t="n">
        <v>0</v>
      </c>
      <c r="D8436" s="0" t="n">
        <v>0</v>
      </c>
      <c r="E8436" s="19" t="n">
        <v>41</v>
      </c>
    </row>
    <row r="8437" customFormat="false" ht="15" hidden="false" customHeight="false" outlineLevel="0" collapsed="false">
      <c r="A8437" s="0" t="n">
        <v>8436</v>
      </c>
      <c r="B8437" s="18" t="n">
        <v>1246355.50263785</v>
      </c>
      <c r="C8437" s="18" t="n">
        <v>4069714.36274218</v>
      </c>
      <c r="D8437" s="0" t="n">
        <v>1</v>
      </c>
    </row>
    <row r="8438" customFormat="false" ht="15" hidden="false" customHeight="false" outlineLevel="0" collapsed="false">
      <c r="A8438" s="0" t="n">
        <v>8437</v>
      </c>
      <c r="B8438" s="18" t="n">
        <v>1848854.43759697</v>
      </c>
      <c r="C8438" s="18" t="n">
        <v>9338688.75776747</v>
      </c>
      <c r="D8438" s="0" t="n">
        <v>1</v>
      </c>
    </row>
    <row r="8439" customFormat="false" ht="15" hidden="false" customHeight="false" outlineLevel="0" collapsed="false">
      <c r="A8439" s="0" t="n">
        <v>8438</v>
      </c>
      <c r="B8439" s="18" t="n">
        <v>1555426.39509757</v>
      </c>
      <c r="C8439" s="18" t="n">
        <v>0</v>
      </c>
      <c r="D8439" s="0" t="n">
        <v>0</v>
      </c>
      <c r="E8439" s="19" t="n">
        <v>47.0833333333333</v>
      </c>
    </row>
    <row r="8440" customFormat="false" ht="15" hidden="false" customHeight="false" outlineLevel="0" collapsed="false">
      <c r="A8440" s="0" t="n">
        <v>8439</v>
      </c>
      <c r="B8440" s="18" t="n">
        <v>1283851.87739902</v>
      </c>
      <c r="C8440" s="18" t="n">
        <v>9095829.99673596</v>
      </c>
      <c r="D8440" s="0" t="n">
        <v>1</v>
      </c>
    </row>
    <row r="8441" customFormat="false" ht="15" hidden="false" customHeight="false" outlineLevel="0" collapsed="false">
      <c r="A8441" s="0" t="n">
        <v>8440</v>
      </c>
      <c r="B8441" s="18" t="n">
        <v>620091.135890679</v>
      </c>
      <c r="C8441" s="18" t="n">
        <v>0</v>
      </c>
      <c r="D8441" s="0" t="n">
        <v>0</v>
      </c>
      <c r="E8441" s="19" t="n">
        <v>39.5833333333333</v>
      </c>
    </row>
    <row r="8442" customFormat="false" ht="15" hidden="false" customHeight="false" outlineLevel="0" collapsed="false">
      <c r="A8442" s="0" t="n">
        <v>8441</v>
      </c>
      <c r="B8442" s="18" t="n">
        <v>887036.939192107</v>
      </c>
      <c r="C8442" s="18" t="n">
        <v>0</v>
      </c>
      <c r="D8442" s="0" t="n">
        <v>0</v>
      </c>
      <c r="E8442" s="19" t="n">
        <v>43</v>
      </c>
    </row>
    <row r="8443" customFormat="false" ht="15" hidden="false" customHeight="false" outlineLevel="0" collapsed="false">
      <c r="A8443" s="0" t="n">
        <v>8442</v>
      </c>
      <c r="B8443" s="18" t="n">
        <v>357563.236653503</v>
      </c>
      <c r="C8443" s="18" t="n">
        <v>0</v>
      </c>
      <c r="D8443" s="0" t="n">
        <v>0</v>
      </c>
      <c r="E8443" s="19" t="n">
        <v>30.9166666666667</v>
      </c>
    </row>
    <row r="8444" customFormat="false" ht="15" hidden="false" customHeight="false" outlineLevel="0" collapsed="false">
      <c r="A8444" s="0" t="n">
        <v>8443</v>
      </c>
      <c r="B8444" s="18" t="n">
        <v>1421003.04328431</v>
      </c>
      <c r="C8444" s="18" t="n">
        <v>5162898.15454479</v>
      </c>
      <c r="D8444" s="0" t="n">
        <v>1</v>
      </c>
    </row>
    <row r="8445" customFormat="false" ht="15" hidden="false" customHeight="false" outlineLevel="0" collapsed="false">
      <c r="A8445" s="0" t="n">
        <v>8444</v>
      </c>
      <c r="B8445" s="18" t="n">
        <v>609555.060288508</v>
      </c>
      <c r="C8445" s="18" t="n">
        <v>0</v>
      </c>
      <c r="D8445" s="0" t="n">
        <v>0</v>
      </c>
      <c r="E8445" s="19" t="n">
        <v>32.8333333333333</v>
      </c>
    </row>
    <row r="8446" customFormat="false" ht="15" hidden="false" customHeight="false" outlineLevel="0" collapsed="false">
      <c r="A8446" s="0" t="n">
        <v>8445</v>
      </c>
      <c r="B8446" s="18" t="n">
        <v>1470814.35610198</v>
      </c>
      <c r="C8446" s="18" t="n">
        <v>1532647.54305394</v>
      </c>
      <c r="D8446" s="0" t="n">
        <v>1</v>
      </c>
    </row>
    <row r="8447" customFormat="false" ht="15" hidden="false" customHeight="false" outlineLevel="0" collapsed="false">
      <c r="A8447" s="0" t="n">
        <v>8446</v>
      </c>
      <c r="B8447" s="18" t="n">
        <v>1566893.45255899</v>
      </c>
      <c r="C8447" s="18" t="n">
        <v>14573238.1904068</v>
      </c>
      <c r="D8447" s="0" t="n">
        <v>1</v>
      </c>
    </row>
    <row r="8448" customFormat="false" ht="15" hidden="false" customHeight="false" outlineLevel="0" collapsed="false">
      <c r="A8448" s="0" t="n">
        <v>8447</v>
      </c>
      <c r="B8448" s="18" t="n">
        <v>523289.065059147</v>
      </c>
      <c r="C8448" s="18" t="n">
        <v>0</v>
      </c>
      <c r="D8448" s="0" t="n">
        <v>0</v>
      </c>
      <c r="E8448" s="19" t="n">
        <v>39.5</v>
      </c>
    </row>
    <row r="8449" customFormat="false" ht="15" hidden="false" customHeight="false" outlineLevel="0" collapsed="false">
      <c r="A8449" s="0" t="n">
        <v>8448</v>
      </c>
      <c r="B8449" s="18" t="n">
        <v>597351.574399092</v>
      </c>
      <c r="C8449" s="18" t="n">
        <v>0</v>
      </c>
      <c r="D8449" s="0" t="n">
        <v>0</v>
      </c>
      <c r="E8449" s="19" t="n">
        <v>39.3333333333333</v>
      </c>
    </row>
    <row r="8450" customFormat="false" ht="15" hidden="false" customHeight="false" outlineLevel="0" collapsed="false">
      <c r="A8450" s="0" t="n">
        <v>8449</v>
      </c>
      <c r="B8450" s="18" t="n">
        <v>1438934.93041716</v>
      </c>
      <c r="C8450" s="18" t="n">
        <v>7839165.9720629</v>
      </c>
      <c r="D8450" s="0" t="n">
        <v>1</v>
      </c>
    </row>
    <row r="8451" customFormat="false" ht="15" hidden="false" customHeight="false" outlineLevel="0" collapsed="false">
      <c r="A8451" s="0" t="n">
        <v>8450</v>
      </c>
      <c r="B8451" s="18" t="n">
        <v>946242.310370661</v>
      </c>
      <c r="C8451" s="18" t="n">
        <v>2269455.95546538</v>
      </c>
      <c r="D8451" s="0" t="n">
        <v>1</v>
      </c>
    </row>
    <row r="8452" customFormat="false" ht="15" hidden="false" customHeight="false" outlineLevel="0" collapsed="false">
      <c r="A8452" s="0" t="n">
        <v>8451</v>
      </c>
      <c r="B8452" s="18" t="n">
        <v>1166227.95651663</v>
      </c>
      <c r="C8452" s="18" t="n">
        <v>5513175.00828941</v>
      </c>
      <c r="D8452" s="0" t="n">
        <v>1</v>
      </c>
    </row>
    <row r="8453" customFormat="false" ht="15" hidden="false" customHeight="false" outlineLevel="0" collapsed="false">
      <c r="A8453" s="0" t="n">
        <v>8452</v>
      </c>
      <c r="B8453" s="18" t="n">
        <v>1134401.95747008</v>
      </c>
      <c r="C8453" s="18" t="n">
        <v>81954.7133714082</v>
      </c>
      <c r="D8453" s="0" t="n">
        <v>1</v>
      </c>
    </row>
    <row r="8454" customFormat="false" ht="15" hidden="false" customHeight="false" outlineLevel="0" collapsed="false">
      <c r="A8454" s="0" t="n">
        <v>8453</v>
      </c>
      <c r="B8454" s="18" t="n">
        <v>1405951.14036336</v>
      </c>
      <c r="C8454" s="18" t="n">
        <v>0</v>
      </c>
      <c r="D8454" s="0" t="n">
        <v>0</v>
      </c>
      <c r="E8454" s="19" t="n">
        <v>53.9166666666667</v>
      </c>
    </row>
    <row r="8455" customFormat="false" ht="15" hidden="false" customHeight="false" outlineLevel="0" collapsed="false">
      <c r="A8455" s="0" t="n">
        <v>8454</v>
      </c>
      <c r="B8455" s="18" t="n">
        <v>1274225.82168788</v>
      </c>
      <c r="C8455" s="18" t="n">
        <v>19579514.6234754</v>
      </c>
      <c r="D8455" s="0" t="n">
        <v>1</v>
      </c>
    </row>
    <row r="8456" customFormat="false" ht="15" hidden="false" customHeight="false" outlineLevel="0" collapsed="false">
      <c r="A8456" s="0" t="n">
        <v>8455</v>
      </c>
      <c r="B8456" s="18" t="n">
        <v>433570.745971456</v>
      </c>
      <c r="C8456" s="18" t="n">
        <v>0</v>
      </c>
      <c r="D8456" s="0" t="n">
        <v>0</v>
      </c>
      <c r="E8456" s="19" t="n">
        <v>31.6666666666667</v>
      </c>
    </row>
    <row r="8457" customFormat="false" ht="15" hidden="false" customHeight="false" outlineLevel="0" collapsed="false">
      <c r="A8457" s="0" t="n">
        <v>8456</v>
      </c>
      <c r="B8457" s="18" t="n">
        <v>874134.845945978</v>
      </c>
      <c r="C8457" s="18" t="n">
        <v>0</v>
      </c>
      <c r="D8457" s="0" t="n">
        <v>0</v>
      </c>
      <c r="E8457" s="19" t="n">
        <v>37.6666666666667</v>
      </c>
    </row>
    <row r="8458" customFormat="false" ht="15" hidden="false" customHeight="false" outlineLevel="0" collapsed="false">
      <c r="A8458" s="0" t="n">
        <v>8457</v>
      </c>
      <c r="B8458" s="18" t="n">
        <v>498847.149995268</v>
      </c>
      <c r="C8458" s="18" t="n">
        <v>0</v>
      </c>
      <c r="D8458" s="0" t="n">
        <v>0</v>
      </c>
      <c r="E8458" s="19" t="n">
        <v>42.25</v>
      </c>
    </row>
    <row r="8459" customFormat="false" ht="15" hidden="false" customHeight="false" outlineLevel="0" collapsed="false">
      <c r="A8459" s="0" t="n">
        <v>8458</v>
      </c>
      <c r="B8459" s="18" t="n">
        <v>537935.014196382</v>
      </c>
      <c r="C8459" s="18" t="n">
        <v>0</v>
      </c>
      <c r="D8459" s="0" t="n">
        <v>0</v>
      </c>
      <c r="E8459" s="19" t="n">
        <v>37.3333333333333</v>
      </c>
    </row>
    <row r="8460" customFormat="false" ht="15" hidden="false" customHeight="false" outlineLevel="0" collapsed="false">
      <c r="A8460" s="0" t="n">
        <v>8459</v>
      </c>
      <c r="B8460" s="18" t="n">
        <v>678882.305246235</v>
      </c>
      <c r="C8460" s="18" t="n">
        <v>0</v>
      </c>
      <c r="D8460" s="0" t="n">
        <v>0</v>
      </c>
      <c r="E8460" s="19" t="n">
        <v>41.4166666666667</v>
      </c>
    </row>
    <row r="8461" customFormat="false" ht="15" hidden="false" customHeight="false" outlineLevel="0" collapsed="false">
      <c r="A8461" s="0" t="n">
        <v>8460</v>
      </c>
      <c r="B8461" s="18" t="n">
        <v>390604.001589681</v>
      </c>
      <c r="C8461" s="18" t="n">
        <v>0</v>
      </c>
      <c r="D8461" s="0" t="n">
        <v>0</v>
      </c>
      <c r="E8461" s="19" t="n">
        <v>35.4166666666667</v>
      </c>
    </row>
    <row r="8462" customFormat="false" ht="15" hidden="false" customHeight="false" outlineLevel="0" collapsed="false">
      <c r="A8462" s="0" t="n">
        <v>8461</v>
      </c>
      <c r="B8462" s="18" t="n">
        <v>1133897.20478593</v>
      </c>
      <c r="C8462" s="18" t="n">
        <v>0</v>
      </c>
      <c r="D8462" s="0" t="n">
        <v>0</v>
      </c>
      <c r="E8462" s="19" t="n">
        <v>50.1666666666667</v>
      </c>
    </row>
    <row r="8463" customFormat="false" ht="15" hidden="false" customHeight="false" outlineLevel="0" collapsed="false">
      <c r="A8463" s="0" t="n">
        <v>8462</v>
      </c>
      <c r="B8463" s="18" t="n">
        <v>756154.972847391</v>
      </c>
      <c r="C8463" s="18" t="n">
        <v>0</v>
      </c>
      <c r="D8463" s="0" t="n">
        <v>0</v>
      </c>
      <c r="E8463" s="19" t="n">
        <v>45.25</v>
      </c>
    </row>
    <row r="8464" customFormat="false" ht="15" hidden="false" customHeight="false" outlineLevel="0" collapsed="false">
      <c r="A8464" s="0" t="n">
        <v>8463</v>
      </c>
      <c r="B8464" s="18" t="n">
        <v>671799.264757022</v>
      </c>
      <c r="C8464" s="18" t="n">
        <v>0</v>
      </c>
      <c r="D8464" s="0" t="n">
        <v>0</v>
      </c>
      <c r="E8464" s="19" t="n">
        <v>36.3333333333333</v>
      </c>
    </row>
    <row r="8465" customFormat="false" ht="15" hidden="false" customHeight="false" outlineLevel="0" collapsed="false">
      <c r="A8465" s="0" t="n">
        <v>8464</v>
      </c>
      <c r="B8465" s="18" t="n">
        <v>1522816.85319915</v>
      </c>
      <c r="C8465" s="18" t="n">
        <v>0</v>
      </c>
      <c r="D8465" s="0" t="n">
        <v>0</v>
      </c>
      <c r="E8465" s="19" t="n">
        <v>45.4166666666667</v>
      </c>
    </row>
    <row r="8466" customFormat="false" ht="15" hidden="false" customHeight="false" outlineLevel="0" collapsed="false">
      <c r="A8466" s="0" t="n">
        <v>8465</v>
      </c>
      <c r="B8466" s="18" t="n">
        <v>828049.059969656</v>
      </c>
      <c r="C8466" s="18" t="n">
        <v>0</v>
      </c>
      <c r="D8466" s="0" t="n">
        <v>0</v>
      </c>
      <c r="E8466" s="19" t="n">
        <v>40.25</v>
      </c>
    </row>
    <row r="8467" customFormat="false" ht="15" hidden="false" customHeight="false" outlineLevel="0" collapsed="false">
      <c r="A8467" s="0" t="n">
        <v>8466</v>
      </c>
      <c r="B8467" s="18" t="n">
        <v>879970.500354528</v>
      </c>
      <c r="C8467" s="18" t="n">
        <v>2975067.81828409</v>
      </c>
      <c r="D8467" s="0" t="n">
        <v>1</v>
      </c>
    </row>
    <row r="8468" customFormat="false" ht="15" hidden="false" customHeight="false" outlineLevel="0" collapsed="false">
      <c r="A8468" s="0" t="n">
        <v>8467</v>
      </c>
      <c r="B8468" s="18" t="n">
        <v>983244.459786524</v>
      </c>
      <c r="C8468" s="18" t="n">
        <v>0</v>
      </c>
      <c r="D8468" s="0" t="n">
        <v>0</v>
      </c>
      <c r="E8468" s="19" t="n">
        <v>40.75</v>
      </c>
    </row>
    <row r="8469" customFormat="false" ht="15" hidden="false" customHeight="false" outlineLevel="0" collapsed="false">
      <c r="A8469" s="0" t="n">
        <v>8468</v>
      </c>
      <c r="B8469" s="18" t="n">
        <v>719530.769583794</v>
      </c>
      <c r="C8469" s="18" t="n">
        <v>0</v>
      </c>
      <c r="D8469" s="0" t="n">
        <v>0</v>
      </c>
      <c r="E8469" s="19" t="n">
        <v>34</v>
      </c>
    </row>
    <row r="8470" customFormat="false" ht="15" hidden="false" customHeight="false" outlineLevel="0" collapsed="false">
      <c r="A8470" s="0" t="n">
        <v>8469</v>
      </c>
      <c r="B8470" s="18" t="n">
        <v>1106993.09597257</v>
      </c>
      <c r="C8470" s="18" t="n">
        <v>0</v>
      </c>
      <c r="D8470" s="0" t="n">
        <v>0</v>
      </c>
      <c r="E8470" s="19" t="n">
        <v>42.0833333333333</v>
      </c>
    </row>
    <row r="8471" customFormat="false" ht="15" hidden="false" customHeight="false" outlineLevel="0" collapsed="false">
      <c r="A8471" s="0" t="n">
        <v>8470</v>
      </c>
      <c r="B8471" s="18" t="n">
        <v>425702.950974986</v>
      </c>
      <c r="C8471" s="18" t="n">
        <v>0</v>
      </c>
      <c r="D8471" s="0" t="n">
        <v>0</v>
      </c>
      <c r="E8471" s="19" t="n">
        <v>33.6666666666667</v>
      </c>
    </row>
    <row r="8472" customFormat="false" ht="15" hidden="false" customHeight="false" outlineLevel="0" collapsed="false">
      <c r="A8472" s="0" t="n">
        <v>8471</v>
      </c>
      <c r="B8472" s="18" t="n">
        <v>491292.83918999</v>
      </c>
      <c r="C8472" s="18" t="n">
        <v>0</v>
      </c>
      <c r="D8472" s="0" t="n">
        <v>0</v>
      </c>
      <c r="E8472" s="19" t="n">
        <v>42.4166666666667</v>
      </c>
    </row>
    <row r="8473" customFormat="false" ht="15" hidden="false" customHeight="false" outlineLevel="0" collapsed="false">
      <c r="A8473" s="0" t="n">
        <v>8472</v>
      </c>
      <c r="B8473" s="18" t="n">
        <v>2454647.89528532</v>
      </c>
      <c r="C8473" s="18" t="n">
        <v>2015933.55257774</v>
      </c>
      <c r="D8473" s="0" t="n">
        <v>1</v>
      </c>
    </row>
    <row r="8474" customFormat="false" ht="15" hidden="false" customHeight="false" outlineLevel="0" collapsed="false">
      <c r="A8474" s="0" t="n">
        <v>8473</v>
      </c>
      <c r="B8474" s="18" t="n">
        <v>719865.307920085</v>
      </c>
      <c r="C8474" s="18" t="n">
        <v>0</v>
      </c>
      <c r="D8474" s="0" t="n">
        <v>0</v>
      </c>
      <c r="E8474" s="19" t="n">
        <v>38.6666666666667</v>
      </c>
    </row>
    <row r="8475" customFormat="false" ht="15" hidden="false" customHeight="false" outlineLevel="0" collapsed="false">
      <c r="A8475" s="0" t="n">
        <v>8474</v>
      </c>
      <c r="B8475" s="18" t="n">
        <v>362632.073167493</v>
      </c>
      <c r="C8475" s="18" t="n">
        <v>0</v>
      </c>
      <c r="D8475" s="0" t="n">
        <v>0</v>
      </c>
      <c r="E8475" s="19" t="n">
        <v>30.25</v>
      </c>
    </row>
    <row r="8476" customFormat="false" ht="15" hidden="false" customHeight="false" outlineLevel="0" collapsed="false">
      <c r="A8476" s="0" t="n">
        <v>8475</v>
      </c>
      <c r="B8476" s="18" t="n">
        <v>960433.329645727</v>
      </c>
      <c r="C8476" s="18" t="n">
        <v>0</v>
      </c>
      <c r="D8476" s="0" t="n">
        <v>0</v>
      </c>
      <c r="E8476" s="19" t="n">
        <v>39.9166666666667</v>
      </c>
    </row>
    <row r="8477" customFormat="false" ht="15" hidden="false" customHeight="false" outlineLevel="0" collapsed="false">
      <c r="A8477" s="0" t="n">
        <v>8476</v>
      </c>
      <c r="B8477" s="18" t="n">
        <v>372264.291940482</v>
      </c>
      <c r="C8477" s="18" t="n">
        <v>0</v>
      </c>
      <c r="D8477" s="0" t="n">
        <v>0</v>
      </c>
      <c r="E8477" s="19" t="n">
        <v>40.4166666666667</v>
      </c>
    </row>
    <row r="8478" customFormat="false" ht="15" hidden="false" customHeight="false" outlineLevel="0" collapsed="false">
      <c r="A8478" s="0" t="n">
        <v>8477</v>
      </c>
      <c r="B8478" s="18" t="n">
        <v>2788905.06207526</v>
      </c>
      <c r="C8478" s="18" t="n">
        <v>5109981.78911542</v>
      </c>
      <c r="D8478" s="0" t="n">
        <v>1</v>
      </c>
    </row>
    <row r="8479" customFormat="false" ht="15" hidden="false" customHeight="false" outlineLevel="0" collapsed="false">
      <c r="A8479" s="0" t="n">
        <v>8478</v>
      </c>
      <c r="B8479" s="18" t="n">
        <v>2056218.25594703</v>
      </c>
      <c r="C8479" s="18" t="n">
        <v>389727.865053342</v>
      </c>
      <c r="D8479" s="0" t="n">
        <v>1</v>
      </c>
    </row>
    <row r="8480" customFormat="false" ht="15" hidden="false" customHeight="false" outlineLevel="0" collapsed="false">
      <c r="A8480" s="0" t="n">
        <v>8479</v>
      </c>
      <c r="B8480" s="18" t="n">
        <v>1894980.84212247</v>
      </c>
      <c r="C8480" s="18" t="n">
        <v>1791037.57528661</v>
      </c>
      <c r="D8480" s="0" t="n">
        <v>1</v>
      </c>
    </row>
    <row r="8481" customFormat="false" ht="15" hidden="false" customHeight="false" outlineLevel="0" collapsed="false">
      <c r="A8481" s="0" t="n">
        <v>8480</v>
      </c>
      <c r="B8481" s="18" t="n">
        <v>1066614.36543401</v>
      </c>
      <c r="C8481" s="18" t="n">
        <v>0</v>
      </c>
      <c r="D8481" s="0" t="n">
        <v>0</v>
      </c>
      <c r="E8481" s="19" t="n">
        <v>40.25</v>
      </c>
    </row>
    <row r="8482" customFormat="false" ht="15" hidden="false" customHeight="false" outlineLevel="0" collapsed="false">
      <c r="A8482" s="0" t="n">
        <v>8481</v>
      </c>
      <c r="B8482" s="18" t="n">
        <v>1411093.04599016</v>
      </c>
      <c r="C8482" s="18" t="n">
        <v>2876555.43821766</v>
      </c>
      <c r="D8482" s="0" t="n">
        <v>1</v>
      </c>
    </row>
    <row r="8483" customFormat="false" ht="15" hidden="false" customHeight="false" outlineLevel="0" collapsed="false">
      <c r="A8483" s="0" t="n">
        <v>8482</v>
      </c>
      <c r="B8483" s="18" t="n">
        <v>444066.212725594</v>
      </c>
      <c r="C8483" s="18" t="n">
        <v>0</v>
      </c>
      <c r="D8483" s="0" t="n">
        <v>0</v>
      </c>
      <c r="E8483" s="19" t="n">
        <v>38</v>
      </c>
    </row>
    <row r="8484" customFormat="false" ht="15" hidden="false" customHeight="false" outlineLevel="0" collapsed="false">
      <c r="A8484" s="0" t="n">
        <v>8483</v>
      </c>
      <c r="B8484" s="18" t="n">
        <v>1725056.41207871</v>
      </c>
      <c r="C8484" s="18" t="n">
        <v>2353476.55466499</v>
      </c>
      <c r="D8484" s="0" t="n">
        <v>1</v>
      </c>
    </row>
    <row r="8485" customFormat="false" ht="15" hidden="false" customHeight="false" outlineLevel="0" collapsed="false">
      <c r="A8485" s="0" t="n">
        <v>8484</v>
      </c>
      <c r="B8485" s="18" t="n">
        <v>418774.667430316</v>
      </c>
      <c r="C8485" s="18" t="n">
        <v>0</v>
      </c>
      <c r="D8485" s="0" t="n">
        <v>0</v>
      </c>
      <c r="E8485" s="19" t="n">
        <v>33.5833333333333</v>
      </c>
    </row>
    <row r="8486" customFormat="false" ht="15" hidden="false" customHeight="false" outlineLevel="0" collapsed="false">
      <c r="A8486" s="0" t="n">
        <v>8485</v>
      </c>
      <c r="B8486" s="18" t="n">
        <v>1502723.80967657</v>
      </c>
      <c r="C8486" s="18" t="n">
        <v>0</v>
      </c>
      <c r="D8486" s="0" t="n">
        <v>0</v>
      </c>
      <c r="E8486" s="19" t="n">
        <v>49.8333333333333</v>
      </c>
    </row>
    <row r="8487" customFormat="false" ht="15" hidden="false" customHeight="false" outlineLevel="0" collapsed="false">
      <c r="A8487" s="0" t="n">
        <v>8486</v>
      </c>
      <c r="B8487" s="18" t="n">
        <v>1215404.17288901</v>
      </c>
      <c r="C8487" s="18" t="n">
        <v>0</v>
      </c>
      <c r="D8487" s="0" t="n">
        <v>0</v>
      </c>
      <c r="E8487" s="19" t="n">
        <v>46.75</v>
      </c>
    </row>
    <row r="8488" customFormat="false" ht="15" hidden="false" customHeight="false" outlineLevel="0" collapsed="false">
      <c r="A8488" s="0" t="n">
        <v>8487</v>
      </c>
      <c r="B8488" s="18" t="n">
        <v>1390511.93392322</v>
      </c>
      <c r="C8488" s="18" t="n">
        <v>4295358.44889961</v>
      </c>
      <c r="D8488" s="0" t="n">
        <v>1</v>
      </c>
    </row>
    <row r="8489" customFormat="false" ht="15" hidden="false" customHeight="false" outlineLevel="0" collapsed="false">
      <c r="A8489" s="0" t="n">
        <v>8488</v>
      </c>
      <c r="B8489" s="18" t="n">
        <v>762219.256716646</v>
      </c>
      <c r="C8489" s="18" t="n">
        <v>0</v>
      </c>
      <c r="D8489" s="0" t="n">
        <v>0</v>
      </c>
      <c r="E8489" s="19" t="n">
        <v>39.25</v>
      </c>
    </row>
    <row r="8490" customFormat="false" ht="15" hidden="false" customHeight="false" outlineLevel="0" collapsed="false">
      <c r="A8490" s="0" t="n">
        <v>8489</v>
      </c>
      <c r="B8490" s="18" t="n">
        <v>1741751.85214577</v>
      </c>
      <c r="C8490" s="18" t="n">
        <v>2350455.16028943</v>
      </c>
      <c r="D8490" s="0" t="n">
        <v>1</v>
      </c>
    </row>
    <row r="8491" customFormat="false" ht="15" hidden="false" customHeight="false" outlineLevel="0" collapsed="false">
      <c r="A8491" s="0" t="n">
        <v>8490</v>
      </c>
      <c r="B8491" s="18" t="n">
        <v>376943.540163429</v>
      </c>
      <c r="C8491" s="18" t="n">
        <v>0</v>
      </c>
      <c r="D8491" s="0" t="n">
        <v>0</v>
      </c>
      <c r="E8491" s="19" t="n">
        <v>30.9166666666667</v>
      </c>
    </row>
    <row r="8492" customFormat="false" ht="15" hidden="false" customHeight="false" outlineLevel="0" collapsed="false">
      <c r="A8492" s="0" t="n">
        <v>8491</v>
      </c>
      <c r="B8492" s="18" t="n">
        <v>563298.522316524</v>
      </c>
      <c r="C8492" s="18" t="n">
        <v>0</v>
      </c>
      <c r="D8492" s="0" t="n">
        <v>0</v>
      </c>
      <c r="E8492" s="19" t="n">
        <v>34.9166666666667</v>
      </c>
    </row>
    <row r="8493" customFormat="false" ht="15" hidden="false" customHeight="false" outlineLevel="0" collapsed="false">
      <c r="A8493" s="0" t="n">
        <v>8492</v>
      </c>
      <c r="B8493" s="18" t="n">
        <v>1846124.77068401</v>
      </c>
      <c r="C8493" s="18" t="n">
        <v>5218457.60488202</v>
      </c>
      <c r="D8493" s="0" t="n">
        <v>1</v>
      </c>
    </row>
    <row r="8494" customFormat="false" ht="15" hidden="false" customHeight="false" outlineLevel="0" collapsed="false">
      <c r="A8494" s="0" t="n">
        <v>8493</v>
      </c>
      <c r="B8494" s="18" t="n">
        <v>684783.516595332</v>
      </c>
      <c r="C8494" s="18" t="n">
        <v>0</v>
      </c>
      <c r="D8494" s="0" t="n">
        <v>0</v>
      </c>
      <c r="E8494" s="19" t="n">
        <v>37.5</v>
      </c>
    </row>
    <row r="8495" customFormat="false" ht="15" hidden="false" customHeight="false" outlineLevel="0" collapsed="false">
      <c r="A8495" s="0" t="n">
        <v>8494</v>
      </c>
      <c r="B8495" s="18" t="n">
        <v>472724.709426212</v>
      </c>
      <c r="C8495" s="18" t="n">
        <v>0</v>
      </c>
      <c r="D8495" s="0" t="n">
        <v>0</v>
      </c>
      <c r="E8495" s="19" t="n">
        <v>34.5833333333333</v>
      </c>
    </row>
    <row r="8496" customFormat="false" ht="15" hidden="false" customHeight="false" outlineLevel="0" collapsed="false">
      <c r="A8496" s="0" t="n">
        <v>8495</v>
      </c>
      <c r="B8496" s="18" t="n">
        <v>634728.64444966</v>
      </c>
      <c r="C8496" s="18" t="n">
        <v>0</v>
      </c>
      <c r="D8496" s="0" t="n">
        <v>0</v>
      </c>
      <c r="E8496" s="19" t="n">
        <v>32.9166666666667</v>
      </c>
    </row>
    <row r="8497" customFormat="false" ht="15" hidden="false" customHeight="false" outlineLevel="0" collapsed="false">
      <c r="A8497" s="0" t="n">
        <v>8496</v>
      </c>
      <c r="B8497" s="18" t="n">
        <v>1206739.35341961</v>
      </c>
      <c r="C8497" s="18" t="n">
        <v>3603936.95442983</v>
      </c>
      <c r="D8497" s="0" t="n">
        <v>1</v>
      </c>
    </row>
    <row r="8498" customFormat="false" ht="15" hidden="false" customHeight="false" outlineLevel="0" collapsed="false">
      <c r="A8498" s="0" t="n">
        <v>8497</v>
      </c>
      <c r="B8498" s="18" t="n">
        <v>1993042.00489116</v>
      </c>
      <c r="C8498" s="18" t="n">
        <v>25176932.8291781</v>
      </c>
      <c r="D8498" s="0" t="n">
        <v>1</v>
      </c>
    </row>
    <row r="8499" customFormat="false" ht="15" hidden="false" customHeight="false" outlineLevel="0" collapsed="false">
      <c r="A8499" s="0" t="n">
        <v>8498</v>
      </c>
      <c r="B8499" s="18" t="n">
        <v>1374735.71540452</v>
      </c>
      <c r="C8499" s="18" t="n">
        <v>8364472.54983802</v>
      </c>
      <c r="D8499" s="0" t="n">
        <v>1</v>
      </c>
    </row>
    <row r="8500" customFormat="false" ht="15" hidden="false" customHeight="false" outlineLevel="0" collapsed="false">
      <c r="A8500" s="0" t="n">
        <v>8499</v>
      </c>
      <c r="B8500" s="18" t="n">
        <v>735121.073908007</v>
      </c>
      <c r="C8500" s="18" t="n">
        <v>0</v>
      </c>
      <c r="D8500" s="0" t="n">
        <v>0</v>
      </c>
      <c r="E8500" s="19" t="n">
        <v>42.6666666666667</v>
      </c>
    </row>
    <row r="8501" customFormat="false" ht="15" hidden="false" customHeight="false" outlineLevel="0" collapsed="false">
      <c r="A8501" s="0" t="n">
        <v>8500</v>
      </c>
      <c r="B8501" s="18" t="n">
        <v>1131390.84874725</v>
      </c>
      <c r="C8501" s="18" t="n">
        <v>0</v>
      </c>
      <c r="D8501" s="0" t="n">
        <v>0</v>
      </c>
      <c r="E8501" s="19" t="n">
        <v>49.5</v>
      </c>
    </row>
    <row r="8502" customFormat="false" ht="15" hidden="false" customHeight="false" outlineLevel="0" collapsed="false">
      <c r="A8502" s="0" t="n">
        <v>8501</v>
      </c>
      <c r="B8502" s="18" t="n">
        <v>273282.763944056</v>
      </c>
      <c r="C8502" s="18" t="n">
        <v>0</v>
      </c>
      <c r="D8502" s="0" t="n">
        <v>0</v>
      </c>
      <c r="E8502" s="19" t="n">
        <v>30.6666666666667</v>
      </c>
    </row>
    <row r="8503" customFormat="false" ht="15" hidden="false" customHeight="false" outlineLevel="0" collapsed="false">
      <c r="A8503" s="0" t="n">
        <v>8502</v>
      </c>
      <c r="B8503" s="18" t="n">
        <v>1161858.02184216</v>
      </c>
      <c r="C8503" s="18" t="n">
        <v>0</v>
      </c>
      <c r="D8503" s="0" t="n">
        <v>0</v>
      </c>
      <c r="E8503" s="19" t="n">
        <v>43.6666666666667</v>
      </c>
    </row>
    <row r="8504" customFormat="false" ht="15" hidden="false" customHeight="false" outlineLevel="0" collapsed="false">
      <c r="A8504" s="0" t="n">
        <v>8503</v>
      </c>
      <c r="B8504" s="18" t="n">
        <v>489530.330119465</v>
      </c>
      <c r="C8504" s="18" t="n">
        <v>0</v>
      </c>
      <c r="D8504" s="0" t="n">
        <v>0</v>
      </c>
      <c r="E8504" s="19" t="n">
        <v>36.25</v>
      </c>
    </row>
    <row r="8505" customFormat="false" ht="15" hidden="false" customHeight="false" outlineLevel="0" collapsed="false">
      <c r="A8505" s="0" t="n">
        <v>8504</v>
      </c>
      <c r="B8505" s="18" t="n">
        <v>835243.552744258</v>
      </c>
      <c r="C8505" s="18" t="n">
        <v>0</v>
      </c>
      <c r="D8505" s="0" t="n">
        <v>0</v>
      </c>
      <c r="E8505" s="19" t="n">
        <v>46.5833333333333</v>
      </c>
    </row>
    <row r="8506" customFormat="false" ht="15" hidden="false" customHeight="false" outlineLevel="0" collapsed="false">
      <c r="A8506" s="0" t="n">
        <v>8505</v>
      </c>
      <c r="B8506" s="18" t="n">
        <v>625625.266188884</v>
      </c>
      <c r="C8506" s="18" t="n">
        <v>0</v>
      </c>
      <c r="D8506" s="0" t="n">
        <v>0</v>
      </c>
      <c r="E8506" s="19" t="n">
        <v>39.1666666666667</v>
      </c>
    </row>
    <row r="8507" customFormat="false" ht="15" hidden="false" customHeight="false" outlineLevel="0" collapsed="false">
      <c r="A8507" s="0" t="n">
        <v>8506</v>
      </c>
      <c r="B8507" s="18" t="n">
        <v>1678487.09318861</v>
      </c>
      <c r="C8507" s="18" t="n">
        <v>1676917.55030943</v>
      </c>
      <c r="D8507" s="0" t="n">
        <v>1</v>
      </c>
    </row>
    <row r="8508" customFormat="false" ht="15" hidden="false" customHeight="false" outlineLevel="0" collapsed="false">
      <c r="A8508" s="0" t="n">
        <v>8507</v>
      </c>
      <c r="B8508" s="18" t="n">
        <v>1188918.21303941</v>
      </c>
      <c r="C8508" s="18" t="n">
        <v>1510722.10754393</v>
      </c>
      <c r="D8508" s="0" t="n">
        <v>1</v>
      </c>
    </row>
    <row r="8509" customFormat="false" ht="15" hidden="false" customHeight="false" outlineLevel="0" collapsed="false">
      <c r="A8509" s="0" t="n">
        <v>8508</v>
      </c>
      <c r="B8509" s="18" t="n">
        <v>775434.974896736</v>
      </c>
      <c r="C8509" s="18" t="n">
        <v>0</v>
      </c>
      <c r="D8509" s="0" t="n">
        <v>0</v>
      </c>
      <c r="E8509" s="19" t="n">
        <v>36.75</v>
      </c>
    </row>
    <row r="8510" customFormat="false" ht="15" hidden="false" customHeight="false" outlineLevel="0" collapsed="false">
      <c r="A8510" s="0" t="n">
        <v>8509</v>
      </c>
      <c r="B8510" s="18" t="n">
        <v>1595862.63493241</v>
      </c>
      <c r="C8510" s="18" t="n">
        <v>15664937.2176485</v>
      </c>
      <c r="D8510" s="0" t="n">
        <v>1</v>
      </c>
    </row>
    <row r="8511" customFormat="false" ht="15" hidden="false" customHeight="false" outlineLevel="0" collapsed="false">
      <c r="A8511" s="0" t="n">
        <v>8510</v>
      </c>
      <c r="B8511" s="18" t="n">
        <v>580760.614001271</v>
      </c>
      <c r="C8511" s="18" t="n">
        <v>0</v>
      </c>
      <c r="D8511" s="0" t="n">
        <v>0</v>
      </c>
      <c r="E8511" s="19" t="n">
        <v>42.0833333333333</v>
      </c>
    </row>
    <row r="8512" customFormat="false" ht="15" hidden="false" customHeight="false" outlineLevel="0" collapsed="false">
      <c r="A8512" s="0" t="n">
        <v>8511</v>
      </c>
      <c r="B8512" s="18" t="n">
        <v>1120314.15738401</v>
      </c>
      <c r="C8512" s="18" t="n">
        <v>0</v>
      </c>
      <c r="D8512" s="0" t="n">
        <v>0</v>
      </c>
      <c r="E8512" s="19" t="n">
        <v>52.75</v>
      </c>
    </row>
    <row r="8513" customFormat="false" ht="15" hidden="false" customHeight="false" outlineLevel="0" collapsed="false">
      <c r="A8513" s="0" t="n">
        <v>8512</v>
      </c>
      <c r="B8513" s="18" t="n">
        <v>422127.028619882</v>
      </c>
      <c r="C8513" s="18" t="n">
        <v>0</v>
      </c>
      <c r="D8513" s="0" t="n">
        <v>0</v>
      </c>
      <c r="E8513" s="19" t="n">
        <v>32.9166666666667</v>
      </c>
    </row>
    <row r="8514" customFormat="false" ht="15" hidden="false" customHeight="false" outlineLevel="0" collapsed="false">
      <c r="A8514" s="0" t="n">
        <v>8513</v>
      </c>
      <c r="B8514" s="18" t="n">
        <v>482142.033371349</v>
      </c>
      <c r="C8514" s="18" t="n">
        <v>0</v>
      </c>
      <c r="D8514" s="0" t="n">
        <v>0</v>
      </c>
      <c r="E8514" s="19" t="n">
        <v>37.3333333333333</v>
      </c>
    </row>
    <row r="8515" customFormat="false" ht="15" hidden="false" customHeight="false" outlineLevel="0" collapsed="false">
      <c r="A8515" s="0" t="n">
        <v>8514</v>
      </c>
      <c r="B8515" s="18" t="n">
        <v>764119.669476221</v>
      </c>
      <c r="C8515" s="18" t="n">
        <v>0</v>
      </c>
      <c r="D8515" s="0" t="n">
        <v>0</v>
      </c>
      <c r="E8515" s="19" t="n">
        <v>42.6666666666667</v>
      </c>
    </row>
    <row r="8516" customFormat="false" ht="15" hidden="false" customHeight="false" outlineLevel="0" collapsed="false">
      <c r="A8516" s="0" t="n">
        <v>8515</v>
      </c>
      <c r="B8516" s="18" t="n">
        <v>614942.704142519</v>
      </c>
      <c r="C8516" s="18" t="n">
        <v>0</v>
      </c>
      <c r="D8516" s="0" t="n">
        <v>0</v>
      </c>
      <c r="E8516" s="19" t="n">
        <v>37.5</v>
      </c>
    </row>
    <row r="8517" customFormat="false" ht="15" hidden="false" customHeight="false" outlineLevel="0" collapsed="false">
      <c r="A8517" s="0" t="n">
        <v>8516</v>
      </c>
      <c r="B8517" s="18" t="n">
        <v>421476.060275119</v>
      </c>
      <c r="C8517" s="18" t="n">
        <v>0</v>
      </c>
      <c r="D8517" s="0" t="n">
        <v>0</v>
      </c>
      <c r="E8517" s="19" t="n">
        <v>30.75</v>
      </c>
    </row>
    <row r="8518" customFormat="false" ht="15" hidden="false" customHeight="false" outlineLevel="0" collapsed="false">
      <c r="A8518" s="0" t="n">
        <v>8517</v>
      </c>
      <c r="B8518" s="18" t="n">
        <v>1231831.79646203</v>
      </c>
      <c r="C8518" s="18" t="n">
        <v>11000408.4879205</v>
      </c>
      <c r="D8518" s="0" t="n">
        <v>1</v>
      </c>
    </row>
    <row r="8519" customFormat="false" ht="15" hidden="false" customHeight="false" outlineLevel="0" collapsed="false">
      <c r="A8519" s="0" t="n">
        <v>8518</v>
      </c>
      <c r="B8519" s="18" t="n">
        <v>961816.63388637</v>
      </c>
      <c r="C8519" s="18" t="n">
        <v>0</v>
      </c>
      <c r="D8519" s="0" t="n">
        <v>0</v>
      </c>
      <c r="E8519" s="19" t="n">
        <v>44.0833333333333</v>
      </c>
    </row>
    <row r="8520" customFormat="false" ht="15" hidden="false" customHeight="false" outlineLevel="0" collapsed="false">
      <c r="A8520" s="0" t="n">
        <v>8519</v>
      </c>
      <c r="B8520" s="18" t="n">
        <v>3608834.63532881</v>
      </c>
      <c r="C8520" s="18" t="n">
        <v>15058869.0785566</v>
      </c>
      <c r="D8520" s="0" t="n">
        <v>1</v>
      </c>
    </row>
    <row r="8521" customFormat="false" ht="15" hidden="false" customHeight="false" outlineLevel="0" collapsed="false">
      <c r="A8521" s="0" t="n">
        <v>8520</v>
      </c>
      <c r="B8521" s="18" t="n">
        <v>1078500.84737385</v>
      </c>
      <c r="C8521" s="18" t="n">
        <v>1139477.65798127</v>
      </c>
      <c r="D8521" s="0" t="n">
        <v>1</v>
      </c>
    </row>
    <row r="8522" customFormat="false" ht="15" hidden="false" customHeight="false" outlineLevel="0" collapsed="false">
      <c r="A8522" s="0" t="n">
        <v>8521</v>
      </c>
      <c r="B8522" s="18" t="n">
        <v>427394.15779946</v>
      </c>
      <c r="C8522" s="18" t="n">
        <v>0</v>
      </c>
      <c r="D8522" s="0" t="n">
        <v>0</v>
      </c>
      <c r="E8522" s="19" t="n">
        <v>30.5</v>
      </c>
    </row>
    <row r="8523" customFormat="false" ht="15" hidden="false" customHeight="false" outlineLevel="0" collapsed="false">
      <c r="A8523" s="0" t="n">
        <v>8522</v>
      </c>
      <c r="B8523" s="18" t="n">
        <v>571686.48569386</v>
      </c>
      <c r="C8523" s="18" t="n">
        <v>0</v>
      </c>
      <c r="D8523" s="0" t="n">
        <v>0</v>
      </c>
      <c r="E8523" s="19" t="n">
        <v>35.5833333333333</v>
      </c>
    </row>
    <row r="8524" customFormat="false" ht="15" hidden="false" customHeight="false" outlineLevel="0" collapsed="false">
      <c r="A8524" s="0" t="n">
        <v>8523</v>
      </c>
      <c r="B8524" s="18" t="n">
        <v>966250.385736948</v>
      </c>
      <c r="C8524" s="18" t="n">
        <v>0</v>
      </c>
      <c r="D8524" s="0" t="n">
        <v>0</v>
      </c>
      <c r="E8524" s="19" t="n">
        <v>48.75</v>
      </c>
    </row>
    <row r="8525" customFormat="false" ht="15" hidden="false" customHeight="false" outlineLevel="0" collapsed="false">
      <c r="A8525" s="0" t="n">
        <v>8524</v>
      </c>
      <c r="B8525" s="18" t="n">
        <v>921004.37644614</v>
      </c>
      <c r="C8525" s="18" t="n">
        <v>0</v>
      </c>
      <c r="D8525" s="0" t="n">
        <v>0</v>
      </c>
      <c r="E8525" s="19" t="n">
        <v>39.0833333333333</v>
      </c>
    </row>
    <row r="8526" customFormat="false" ht="15" hidden="false" customHeight="false" outlineLevel="0" collapsed="false">
      <c r="A8526" s="0" t="n">
        <v>8525</v>
      </c>
      <c r="B8526" s="18" t="n">
        <v>1424836.31701307</v>
      </c>
      <c r="C8526" s="18" t="n">
        <v>3875447.52151278</v>
      </c>
      <c r="D8526" s="0" t="n">
        <v>1</v>
      </c>
    </row>
    <row r="8527" customFormat="false" ht="15" hidden="false" customHeight="false" outlineLevel="0" collapsed="false">
      <c r="A8527" s="0" t="n">
        <v>8526</v>
      </c>
      <c r="B8527" s="18" t="n">
        <v>689232.102111902</v>
      </c>
      <c r="C8527" s="18" t="n">
        <v>0</v>
      </c>
      <c r="D8527" s="0" t="n">
        <v>0</v>
      </c>
      <c r="E8527" s="19" t="n">
        <v>37.3333333333333</v>
      </c>
    </row>
    <row r="8528" customFormat="false" ht="15" hidden="false" customHeight="false" outlineLevel="0" collapsed="false">
      <c r="A8528" s="0" t="n">
        <v>8527</v>
      </c>
      <c r="B8528" s="18" t="n">
        <v>2576062.05111924</v>
      </c>
      <c r="C8528" s="18" t="n">
        <v>7780705.59394839</v>
      </c>
      <c r="D8528" s="0" t="n">
        <v>1</v>
      </c>
    </row>
    <row r="8529" customFormat="false" ht="15" hidden="false" customHeight="false" outlineLevel="0" collapsed="false">
      <c r="A8529" s="0" t="n">
        <v>8528</v>
      </c>
      <c r="B8529" s="18" t="n">
        <v>1578954.87303131</v>
      </c>
      <c r="C8529" s="18" t="n">
        <v>3283520.34591746</v>
      </c>
      <c r="D8529" s="0" t="n">
        <v>1</v>
      </c>
    </row>
    <row r="8530" customFormat="false" ht="15" hidden="false" customHeight="false" outlineLevel="0" collapsed="false">
      <c r="A8530" s="0" t="n">
        <v>8529</v>
      </c>
      <c r="B8530" s="18" t="n">
        <v>816126.410520055</v>
      </c>
      <c r="C8530" s="18" t="n">
        <v>102941.3303137</v>
      </c>
      <c r="D8530" s="0" t="n">
        <v>1</v>
      </c>
    </row>
    <row r="8531" customFormat="false" ht="15" hidden="false" customHeight="false" outlineLevel="0" collapsed="false">
      <c r="A8531" s="0" t="n">
        <v>8530</v>
      </c>
      <c r="B8531" s="18" t="n">
        <v>940490.006952663</v>
      </c>
      <c r="C8531" s="18" t="n">
        <v>0</v>
      </c>
      <c r="D8531" s="0" t="n">
        <v>0</v>
      </c>
      <c r="E8531" s="19" t="n">
        <v>35.4166666666667</v>
      </c>
    </row>
    <row r="8532" customFormat="false" ht="15" hidden="false" customHeight="false" outlineLevel="0" collapsed="false">
      <c r="A8532" s="0" t="n">
        <v>8531</v>
      </c>
      <c r="B8532" s="18" t="n">
        <v>1532232.84531146</v>
      </c>
      <c r="C8532" s="18" t="n">
        <v>231466.984713636</v>
      </c>
      <c r="D8532" s="0" t="n">
        <v>1</v>
      </c>
    </row>
    <row r="8533" customFormat="false" ht="15" hidden="false" customHeight="false" outlineLevel="0" collapsed="false">
      <c r="A8533" s="0" t="n">
        <v>8532</v>
      </c>
      <c r="B8533" s="18" t="n">
        <v>1417780.63097482</v>
      </c>
      <c r="C8533" s="18" t="n">
        <v>0</v>
      </c>
      <c r="D8533" s="0" t="n">
        <v>0</v>
      </c>
      <c r="E8533" s="19" t="n">
        <v>45.3333333333333</v>
      </c>
    </row>
    <row r="8534" customFormat="false" ht="15" hidden="false" customHeight="false" outlineLevel="0" collapsed="false">
      <c r="A8534" s="0" t="n">
        <v>8533</v>
      </c>
      <c r="B8534" s="18" t="n">
        <v>2160154.95598572</v>
      </c>
      <c r="C8534" s="18" t="n">
        <v>8357383.91352502</v>
      </c>
      <c r="D8534" s="0" t="n">
        <v>1</v>
      </c>
    </row>
    <row r="8535" customFormat="false" ht="15" hidden="false" customHeight="false" outlineLevel="0" collapsed="false">
      <c r="A8535" s="0" t="n">
        <v>8534</v>
      </c>
      <c r="B8535" s="18" t="n">
        <v>829587.628376421</v>
      </c>
      <c r="C8535" s="18" t="n">
        <v>0</v>
      </c>
      <c r="D8535" s="0" t="n">
        <v>0</v>
      </c>
      <c r="E8535" s="19" t="n">
        <v>36.5833333333333</v>
      </c>
    </row>
    <row r="8536" customFormat="false" ht="15" hidden="false" customHeight="false" outlineLevel="0" collapsed="false">
      <c r="A8536" s="0" t="n">
        <v>8535</v>
      </c>
      <c r="B8536" s="18" t="n">
        <v>1632555.26500918</v>
      </c>
      <c r="C8536" s="18" t="n">
        <v>2543360.07717072</v>
      </c>
      <c r="D8536" s="0" t="n">
        <v>1</v>
      </c>
    </row>
    <row r="8537" customFormat="false" ht="15" hidden="false" customHeight="false" outlineLevel="0" collapsed="false">
      <c r="A8537" s="0" t="n">
        <v>8536</v>
      </c>
      <c r="B8537" s="18" t="n">
        <v>709691.225216772</v>
      </c>
      <c r="C8537" s="18" t="n">
        <v>0</v>
      </c>
      <c r="D8537" s="0" t="n">
        <v>0</v>
      </c>
      <c r="E8537" s="19" t="n">
        <v>50.1666666666667</v>
      </c>
    </row>
    <row r="8538" customFormat="false" ht="15" hidden="false" customHeight="false" outlineLevel="0" collapsed="false">
      <c r="A8538" s="0" t="n">
        <v>8537</v>
      </c>
      <c r="B8538" s="18" t="n">
        <v>1663294.42026177</v>
      </c>
      <c r="C8538" s="18" t="n">
        <v>4078923.57602374</v>
      </c>
      <c r="D8538" s="0" t="n">
        <v>1</v>
      </c>
    </row>
    <row r="8539" customFormat="false" ht="15" hidden="false" customHeight="false" outlineLevel="0" collapsed="false">
      <c r="A8539" s="0" t="n">
        <v>8538</v>
      </c>
      <c r="B8539" s="18" t="n">
        <v>361220.604387168</v>
      </c>
      <c r="C8539" s="18" t="n">
        <v>0</v>
      </c>
      <c r="D8539" s="0" t="n">
        <v>0</v>
      </c>
      <c r="E8539" s="19" t="n">
        <v>33.0833333333333</v>
      </c>
    </row>
    <row r="8540" customFormat="false" ht="15" hidden="false" customHeight="false" outlineLevel="0" collapsed="false">
      <c r="A8540" s="0" t="n">
        <v>8539</v>
      </c>
      <c r="B8540" s="18" t="n">
        <v>952269.415083548</v>
      </c>
      <c r="C8540" s="18" t="n">
        <v>3460157.90407768</v>
      </c>
      <c r="D8540" s="0" t="n">
        <v>1</v>
      </c>
    </row>
    <row r="8541" customFormat="false" ht="15" hidden="false" customHeight="false" outlineLevel="0" collapsed="false">
      <c r="A8541" s="0" t="n">
        <v>8540</v>
      </c>
      <c r="B8541" s="18" t="n">
        <v>488813.262736971</v>
      </c>
      <c r="C8541" s="18" t="n">
        <v>0</v>
      </c>
      <c r="D8541" s="0" t="n">
        <v>0</v>
      </c>
      <c r="E8541" s="19" t="n">
        <v>32.4166666666667</v>
      </c>
    </row>
    <row r="8542" customFormat="false" ht="15" hidden="false" customHeight="false" outlineLevel="0" collapsed="false">
      <c r="A8542" s="0" t="n">
        <v>8541</v>
      </c>
      <c r="B8542" s="18" t="n">
        <v>1175197.12616517</v>
      </c>
      <c r="C8542" s="18" t="n">
        <v>81889.6243611172</v>
      </c>
      <c r="D8542" s="0" t="n">
        <v>1</v>
      </c>
    </row>
    <row r="8543" customFormat="false" ht="15" hidden="false" customHeight="false" outlineLevel="0" collapsed="false">
      <c r="A8543" s="0" t="n">
        <v>8542</v>
      </c>
      <c r="B8543" s="18" t="n">
        <v>1561869.10090044</v>
      </c>
      <c r="C8543" s="18" t="n">
        <v>3156343.87286317</v>
      </c>
      <c r="D8543" s="0" t="n">
        <v>1</v>
      </c>
    </row>
    <row r="8544" customFormat="false" ht="15" hidden="false" customHeight="false" outlineLevel="0" collapsed="false">
      <c r="A8544" s="0" t="n">
        <v>8543</v>
      </c>
      <c r="B8544" s="18" t="n">
        <v>597475.25494505</v>
      </c>
      <c r="C8544" s="18" t="n">
        <v>0</v>
      </c>
      <c r="D8544" s="0" t="n">
        <v>0</v>
      </c>
      <c r="E8544" s="19" t="n">
        <v>33.75</v>
      </c>
    </row>
    <row r="8545" customFormat="false" ht="15" hidden="false" customHeight="false" outlineLevel="0" collapsed="false">
      <c r="A8545" s="0" t="n">
        <v>8544</v>
      </c>
      <c r="B8545" s="18" t="n">
        <v>731641.296007524</v>
      </c>
      <c r="C8545" s="18" t="n">
        <v>0</v>
      </c>
      <c r="D8545" s="0" t="n">
        <v>0</v>
      </c>
      <c r="E8545" s="19" t="n">
        <v>42.3333333333333</v>
      </c>
    </row>
    <row r="8546" customFormat="false" ht="15" hidden="false" customHeight="false" outlineLevel="0" collapsed="false">
      <c r="A8546" s="0" t="n">
        <v>8545</v>
      </c>
      <c r="B8546" s="18" t="n">
        <v>1700270.03729827</v>
      </c>
      <c r="C8546" s="18" t="n">
        <v>0</v>
      </c>
      <c r="D8546" s="0" t="n">
        <v>0</v>
      </c>
      <c r="E8546" s="19" t="n">
        <v>53.5833333333333</v>
      </c>
    </row>
    <row r="8547" customFormat="false" ht="15" hidden="false" customHeight="false" outlineLevel="0" collapsed="false">
      <c r="A8547" s="0" t="n">
        <v>8546</v>
      </c>
      <c r="B8547" s="18" t="n">
        <v>689012.279753004</v>
      </c>
      <c r="C8547" s="18" t="n">
        <v>54587.7743319335</v>
      </c>
      <c r="D8547" s="0" t="n">
        <v>1</v>
      </c>
    </row>
    <row r="8548" customFormat="false" ht="15" hidden="false" customHeight="false" outlineLevel="0" collapsed="false">
      <c r="A8548" s="0" t="n">
        <v>8547</v>
      </c>
      <c r="B8548" s="18" t="n">
        <v>295262.53432374</v>
      </c>
      <c r="C8548" s="18" t="n">
        <v>0</v>
      </c>
      <c r="D8548" s="0" t="n">
        <v>0</v>
      </c>
      <c r="E8548" s="19" t="n">
        <v>29.5</v>
      </c>
    </row>
    <row r="8549" customFormat="false" ht="15" hidden="false" customHeight="false" outlineLevel="0" collapsed="false">
      <c r="A8549" s="0" t="n">
        <v>8548</v>
      </c>
      <c r="B8549" s="18" t="n">
        <v>603673.620102994</v>
      </c>
      <c r="C8549" s="18" t="n">
        <v>0</v>
      </c>
      <c r="D8549" s="0" t="n">
        <v>0</v>
      </c>
      <c r="E8549" s="19" t="n">
        <v>38</v>
      </c>
    </row>
    <row r="8550" customFormat="false" ht="15" hidden="false" customHeight="false" outlineLevel="0" collapsed="false">
      <c r="A8550" s="0" t="n">
        <v>8549</v>
      </c>
      <c r="B8550" s="18" t="n">
        <v>769445.997255538</v>
      </c>
      <c r="C8550" s="18" t="n">
        <v>0</v>
      </c>
      <c r="D8550" s="0" t="n">
        <v>0</v>
      </c>
      <c r="E8550" s="19" t="n">
        <v>35.5833333333333</v>
      </c>
    </row>
    <row r="8551" customFormat="false" ht="15" hidden="false" customHeight="false" outlineLevel="0" collapsed="false">
      <c r="A8551" s="0" t="n">
        <v>8550</v>
      </c>
      <c r="B8551" s="18" t="n">
        <v>572339.257169552</v>
      </c>
      <c r="C8551" s="18" t="n">
        <v>0</v>
      </c>
      <c r="D8551" s="0" t="n">
        <v>0</v>
      </c>
      <c r="E8551" s="19" t="n">
        <v>43.0833333333333</v>
      </c>
    </row>
    <row r="8552" customFormat="false" ht="15" hidden="false" customHeight="false" outlineLevel="0" collapsed="false">
      <c r="A8552" s="0" t="n">
        <v>8551</v>
      </c>
      <c r="B8552" s="18" t="n">
        <v>1098619.26978307</v>
      </c>
      <c r="C8552" s="18" t="n">
        <v>0</v>
      </c>
      <c r="D8552" s="0" t="n">
        <v>0</v>
      </c>
      <c r="E8552" s="19" t="n">
        <v>37.3333333333333</v>
      </c>
    </row>
    <row r="8553" customFormat="false" ht="15" hidden="false" customHeight="false" outlineLevel="0" collapsed="false">
      <c r="A8553" s="0" t="n">
        <v>8552</v>
      </c>
      <c r="B8553" s="18" t="n">
        <v>958270.227855763</v>
      </c>
      <c r="C8553" s="18" t="n">
        <v>5332074.06939096</v>
      </c>
      <c r="D8553" s="0" t="n">
        <v>1</v>
      </c>
    </row>
    <row r="8554" customFormat="false" ht="15" hidden="false" customHeight="false" outlineLevel="0" collapsed="false">
      <c r="A8554" s="0" t="n">
        <v>8553</v>
      </c>
      <c r="B8554" s="18" t="n">
        <v>618762.692867138</v>
      </c>
      <c r="C8554" s="18" t="n">
        <v>0</v>
      </c>
      <c r="D8554" s="0" t="n">
        <v>0</v>
      </c>
      <c r="E8554" s="19" t="n">
        <v>38.9166666666667</v>
      </c>
    </row>
    <row r="8555" customFormat="false" ht="15" hidden="false" customHeight="false" outlineLevel="0" collapsed="false">
      <c r="A8555" s="0" t="n">
        <v>8554</v>
      </c>
      <c r="B8555" s="18" t="n">
        <v>971217.54907366</v>
      </c>
      <c r="C8555" s="18" t="n">
        <v>10701721.6392842</v>
      </c>
      <c r="D8555" s="0" t="n">
        <v>1</v>
      </c>
    </row>
    <row r="8556" customFormat="false" ht="15" hidden="false" customHeight="false" outlineLevel="0" collapsed="false">
      <c r="A8556" s="0" t="n">
        <v>8555</v>
      </c>
      <c r="B8556" s="18" t="n">
        <v>946990.640011452</v>
      </c>
      <c r="C8556" s="18" t="n">
        <v>0</v>
      </c>
      <c r="D8556" s="0" t="n">
        <v>0</v>
      </c>
      <c r="E8556" s="19" t="n">
        <v>40.6666666666667</v>
      </c>
    </row>
    <row r="8557" customFormat="false" ht="15" hidden="false" customHeight="false" outlineLevel="0" collapsed="false">
      <c r="A8557" s="0" t="n">
        <v>8556</v>
      </c>
      <c r="B8557" s="18" t="n">
        <v>546010.599059781</v>
      </c>
      <c r="C8557" s="18" t="n">
        <v>0</v>
      </c>
      <c r="D8557" s="0" t="n">
        <v>0</v>
      </c>
      <c r="E8557" s="19" t="n">
        <v>39</v>
      </c>
    </row>
    <row r="8558" customFormat="false" ht="15" hidden="false" customHeight="false" outlineLevel="0" collapsed="false">
      <c r="A8558" s="0" t="n">
        <v>8557</v>
      </c>
      <c r="B8558" s="18" t="n">
        <v>403778.877669498</v>
      </c>
      <c r="C8558" s="18" t="n">
        <v>0</v>
      </c>
      <c r="D8558" s="0" t="n">
        <v>0</v>
      </c>
      <c r="E8558" s="19" t="n">
        <v>33.8333333333333</v>
      </c>
    </row>
    <row r="8559" customFormat="false" ht="15" hidden="false" customHeight="false" outlineLevel="0" collapsed="false">
      <c r="A8559" s="0" t="n">
        <v>8558</v>
      </c>
      <c r="B8559" s="18" t="n">
        <v>577390.909428891</v>
      </c>
      <c r="C8559" s="18" t="n">
        <v>0</v>
      </c>
      <c r="D8559" s="0" t="n">
        <v>0</v>
      </c>
      <c r="E8559" s="19" t="n">
        <v>34.4166666666667</v>
      </c>
    </row>
    <row r="8560" customFormat="false" ht="15" hidden="false" customHeight="false" outlineLevel="0" collapsed="false">
      <c r="A8560" s="0" t="n">
        <v>8559</v>
      </c>
      <c r="B8560" s="18" t="n">
        <v>567698.176981223</v>
      </c>
      <c r="C8560" s="18" t="n">
        <v>0</v>
      </c>
      <c r="D8560" s="0" t="n">
        <v>0</v>
      </c>
      <c r="E8560" s="19" t="n">
        <v>38.3333333333333</v>
      </c>
    </row>
    <row r="8561" customFormat="false" ht="15" hidden="false" customHeight="false" outlineLevel="0" collapsed="false">
      <c r="A8561" s="0" t="n">
        <v>8560</v>
      </c>
      <c r="B8561" s="18" t="n">
        <v>2038407.23866375</v>
      </c>
      <c r="C8561" s="18" t="n">
        <v>40813367.8801912</v>
      </c>
      <c r="D8561" s="0" t="n">
        <v>1</v>
      </c>
    </row>
    <row r="8562" customFormat="false" ht="15" hidden="false" customHeight="false" outlineLevel="0" collapsed="false">
      <c r="A8562" s="0" t="n">
        <v>8561</v>
      </c>
      <c r="B8562" s="18" t="n">
        <v>858608.758433589</v>
      </c>
      <c r="C8562" s="18" t="n">
        <v>0</v>
      </c>
      <c r="D8562" s="0" t="n">
        <v>0</v>
      </c>
      <c r="E8562" s="19" t="n">
        <v>36.3333333333333</v>
      </c>
    </row>
    <row r="8563" customFormat="false" ht="15" hidden="false" customHeight="false" outlineLevel="0" collapsed="false">
      <c r="A8563" s="0" t="n">
        <v>8562</v>
      </c>
      <c r="B8563" s="18" t="n">
        <v>1210968.67832733</v>
      </c>
      <c r="C8563" s="18" t="n">
        <v>0</v>
      </c>
      <c r="D8563" s="0" t="n">
        <v>0</v>
      </c>
      <c r="E8563" s="19" t="n">
        <v>45.6666666666667</v>
      </c>
    </row>
    <row r="8564" customFormat="false" ht="15" hidden="false" customHeight="false" outlineLevel="0" collapsed="false">
      <c r="A8564" s="0" t="n">
        <v>8563</v>
      </c>
      <c r="B8564" s="18" t="n">
        <v>1328526.87953675</v>
      </c>
      <c r="C8564" s="18" t="n">
        <v>0</v>
      </c>
      <c r="D8564" s="0" t="n">
        <v>0</v>
      </c>
      <c r="E8564" s="19" t="n">
        <v>54.25</v>
      </c>
    </row>
    <row r="8565" customFormat="false" ht="15" hidden="false" customHeight="false" outlineLevel="0" collapsed="false">
      <c r="A8565" s="0" t="n">
        <v>8564</v>
      </c>
      <c r="B8565" s="18" t="n">
        <v>365142.191681395</v>
      </c>
      <c r="C8565" s="18" t="n">
        <v>0</v>
      </c>
      <c r="D8565" s="0" t="n">
        <v>0</v>
      </c>
      <c r="E8565" s="19" t="n">
        <v>29.5833333333333</v>
      </c>
    </row>
    <row r="8566" customFormat="false" ht="15" hidden="false" customHeight="false" outlineLevel="0" collapsed="false">
      <c r="A8566" s="0" t="n">
        <v>8565</v>
      </c>
      <c r="B8566" s="18" t="n">
        <v>1448545.33962412</v>
      </c>
      <c r="C8566" s="18" t="n">
        <v>0</v>
      </c>
      <c r="D8566" s="0" t="n">
        <v>0</v>
      </c>
      <c r="E8566" s="19" t="n">
        <v>53.9166666666667</v>
      </c>
    </row>
    <row r="8567" customFormat="false" ht="15" hidden="false" customHeight="false" outlineLevel="0" collapsed="false">
      <c r="A8567" s="0" t="n">
        <v>8566</v>
      </c>
      <c r="B8567" s="18" t="n">
        <v>542773.324284615</v>
      </c>
      <c r="C8567" s="18" t="n">
        <v>0</v>
      </c>
      <c r="D8567" s="0" t="n">
        <v>0</v>
      </c>
      <c r="E8567" s="19" t="n">
        <v>32.3333333333333</v>
      </c>
    </row>
    <row r="8568" customFormat="false" ht="15" hidden="false" customHeight="false" outlineLevel="0" collapsed="false">
      <c r="A8568" s="0" t="n">
        <v>8567</v>
      </c>
      <c r="B8568" s="18" t="n">
        <v>366069.132921415</v>
      </c>
      <c r="C8568" s="18" t="n">
        <v>0</v>
      </c>
      <c r="D8568" s="0" t="n">
        <v>0</v>
      </c>
      <c r="E8568" s="19" t="n">
        <v>29.75</v>
      </c>
    </row>
    <row r="8569" customFormat="false" ht="15" hidden="false" customHeight="false" outlineLevel="0" collapsed="false">
      <c r="A8569" s="0" t="n">
        <v>8568</v>
      </c>
      <c r="B8569" s="18" t="n">
        <v>577294.192916557</v>
      </c>
      <c r="C8569" s="18" t="n">
        <v>0</v>
      </c>
      <c r="D8569" s="0" t="n">
        <v>0</v>
      </c>
      <c r="E8569" s="19" t="n">
        <v>53.5</v>
      </c>
    </row>
    <row r="8570" customFormat="false" ht="15" hidden="false" customHeight="false" outlineLevel="0" collapsed="false">
      <c r="A8570" s="0" t="n">
        <v>8569</v>
      </c>
      <c r="B8570" s="18" t="n">
        <v>1043751.55739578</v>
      </c>
      <c r="C8570" s="18" t="n">
        <v>0</v>
      </c>
      <c r="D8570" s="0" t="n">
        <v>0</v>
      </c>
      <c r="E8570" s="19" t="n">
        <v>38.6666666666667</v>
      </c>
    </row>
    <row r="8571" customFormat="false" ht="15" hidden="false" customHeight="false" outlineLevel="0" collapsed="false">
      <c r="A8571" s="0" t="n">
        <v>8570</v>
      </c>
      <c r="B8571" s="18" t="n">
        <v>596350.11250367</v>
      </c>
      <c r="C8571" s="18" t="n">
        <v>0</v>
      </c>
      <c r="D8571" s="0" t="n">
        <v>0</v>
      </c>
      <c r="E8571" s="19" t="n">
        <v>34</v>
      </c>
    </row>
    <row r="8572" customFormat="false" ht="15" hidden="false" customHeight="false" outlineLevel="0" collapsed="false">
      <c r="A8572" s="0" t="n">
        <v>8571</v>
      </c>
      <c r="B8572" s="18" t="n">
        <v>685213.22207345</v>
      </c>
      <c r="C8572" s="18" t="n">
        <v>0</v>
      </c>
      <c r="D8572" s="0" t="n">
        <v>0</v>
      </c>
      <c r="E8572" s="19" t="n">
        <v>34.8333333333333</v>
      </c>
    </row>
    <row r="8573" customFormat="false" ht="15" hidden="false" customHeight="false" outlineLevel="0" collapsed="false">
      <c r="A8573" s="0" t="n">
        <v>8572</v>
      </c>
      <c r="B8573" s="18" t="n">
        <v>1273888.82959</v>
      </c>
      <c r="C8573" s="18" t="n">
        <v>1320141.9005276</v>
      </c>
      <c r="D8573" s="0" t="n">
        <v>1</v>
      </c>
    </row>
    <row r="8574" customFormat="false" ht="15" hidden="false" customHeight="false" outlineLevel="0" collapsed="false">
      <c r="A8574" s="0" t="n">
        <v>8573</v>
      </c>
      <c r="B8574" s="18" t="n">
        <v>1065708.04566496</v>
      </c>
      <c r="C8574" s="18" t="n">
        <v>1888240.98922314</v>
      </c>
      <c r="D8574" s="0" t="n">
        <v>1</v>
      </c>
    </row>
    <row r="8575" customFormat="false" ht="15" hidden="false" customHeight="false" outlineLevel="0" collapsed="false">
      <c r="A8575" s="0" t="n">
        <v>8574</v>
      </c>
      <c r="B8575" s="18" t="n">
        <v>1425605.23888363</v>
      </c>
      <c r="C8575" s="18" t="n">
        <v>3181085.7314596</v>
      </c>
      <c r="D8575" s="0" t="n">
        <v>1</v>
      </c>
    </row>
    <row r="8576" customFormat="false" ht="15" hidden="false" customHeight="false" outlineLevel="0" collapsed="false">
      <c r="A8576" s="0" t="n">
        <v>8575</v>
      </c>
      <c r="B8576" s="18" t="n">
        <v>396574.686459708</v>
      </c>
      <c r="C8576" s="18" t="n">
        <v>0</v>
      </c>
      <c r="D8576" s="0" t="n">
        <v>0</v>
      </c>
      <c r="E8576" s="19" t="n">
        <v>30.5</v>
      </c>
    </row>
    <row r="8577" customFormat="false" ht="15" hidden="false" customHeight="false" outlineLevel="0" collapsed="false">
      <c r="A8577" s="0" t="n">
        <v>8576</v>
      </c>
      <c r="B8577" s="18" t="n">
        <v>460198.529902964</v>
      </c>
      <c r="C8577" s="18" t="n">
        <v>0</v>
      </c>
      <c r="D8577" s="0" t="n">
        <v>0</v>
      </c>
      <c r="E8577" s="19" t="n">
        <v>38.4166666666667</v>
      </c>
    </row>
    <row r="8578" customFormat="false" ht="15" hidden="false" customHeight="false" outlineLevel="0" collapsed="false">
      <c r="A8578" s="0" t="n">
        <v>8577</v>
      </c>
      <c r="B8578" s="18" t="n">
        <v>903241.432464184</v>
      </c>
      <c r="C8578" s="18" t="n">
        <v>0</v>
      </c>
      <c r="D8578" s="0" t="n">
        <v>0</v>
      </c>
      <c r="E8578" s="19" t="n">
        <v>49.1666666666667</v>
      </c>
    </row>
    <row r="8579" customFormat="false" ht="15" hidden="false" customHeight="false" outlineLevel="0" collapsed="false">
      <c r="A8579" s="0" t="n">
        <v>8578</v>
      </c>
      <c r="B8579" s="18" t="n">
        <v>775805.337672082</v>
      </c>
      <c r="C8579" s="18" t="n">
        <v>0</v>
      </c>
      <c r="D8579" s="0" t="n">
        <v>0</v>
      </c>
      <c r="E8579" s="19" t="n">
        <v>43.5</v>
      </c>
    </row>
    <row r="8580" customFormat="false" ht="15" hidden="false" customHeight="false" outlineLevel="0" collapsed="false">
      <c r="A8580" s="0" t="n">
        <v>8579</v>
      </c>
      <c r="B8580" s="18" t="n">
        <v>768899.761549543</v>
      </c>
      <c r="C8580" s="18" t="n">
        <v>0</v>
      </c>
      <c r="D8580" s="0" t="n">
        <v>0</v>
      </c>
      <c r="E8580" s="19" t="n">
        <v>36</v>
      </c>
    </row>
    <row r="8581" customFormat="false" ht="15" hidden="false" customHeight="false" outlineLevel="0" collapsed="false">
      <c r="A8581" s="0" t="n">
        <v>8580</v>
      </c>
      <c r="B8581" s="18" t="n">
        <v>1207245.84377486</v>
      </c>
      <c r="C8581" s="18" t="n">
        <v>0</v>
      </c>
      <c r="D8581" s="0" t="n">
        <v>0</v>
      </c>
      <c r="E8581" s="19" t="n">
        <v>48.9166666666667</v>
      </c>
    </row>
    <row r="8582" customFormat="false" ht="15" hidden="false" customHeight="false" outlineLevel="0" collapsed="false">
      <c r="A8582" s="0" t="n">
        <v>8581</v>
      </c>
      <c r="B8582" s="18" t="n">
        <v>1972261.86246206</v>
      </c>
      <c r="C8582" s="18" t="n">
        <v>13390518.0126004</v>
      </c>
      <c r="D8582" s="0" t="n">
        <v>1</v>
      </c>
    </row>
    <row r="8583" customFormat="false" ht="15" hidden="false" customHeight="false" outlineLevel="0" collapsed="false">
      <c r="A8583" s="0" t="n">
        <v>8582</v>
      </c>
      <c r="B8583" s="18" t="n">
        <v>799835.016158093</v>
      </c>
      <c r="C8583" s="18" t="n">
        <v>0</v>
      </c>
      <c r="D8583" s="0" t="n">
        <v>0</v>
      </c>
      <c r="E8583" s="19" t="n">
        <v>40.1666666666667</v>
      </c>
    </row>
    <row r="8584" customFormat="false" ht="15" hidden="false" customHeight="false" outlineLevel="0" collapsed="false">
      <c r="A8584" s="0" t="n">
        <v>8583</v>
      </c>
      <c r="B8584" s="18" t="n">
        <v>587129.482319868</v>
      </c>
      <c r="C8584" s="18" t="n">
        <v>0</v>
      </c>
      <c r="D8584" s="0" t="n">
        <v>0</v>
      </c>
      <c r="E8584" s="19" t="n">
        <v>49.5833333333333</v>
      </c>
    </row>
    <row r="8585" customFormat="false" ht="15" hidden="false" customHeight="false" outlineLevel="0" collapsed="false">
      <c r="A8585" s="0" t="n">
        <v>8584</v>
      </c>
      <c r="B8585" s="18" t="n">
        <v>615720.35686541</v>
      </c>
      <c r="C8585" s="18" t="n">
        <v>0</v>
      </c>
      <c r="D8585" s="0" t="n">
        <v>0</v>
      </c>
      <c r="E8585" s="19" t="n">
        <v>48.0833333333333</v>
      </c>
    </row>
    <row r="8586" customFormat="false" ht="15" hidden="false" customHeight="false" outlineLevel="0" collapsed="false">
      <c r="A8586" s="0" t="n">
        <v>8585</v>
      </c>
      <c r="B8586" s="18" t="n">
        <v>1200548.17717722</v>
      </c>
      <c r="C8586" s="18" t="n">
        <v>1408327.19880408</v>
      </c>
      <c r="D8586" s="0" t="n">
        <v>1</v>
      </c>
    </row>
    <row r="8587" customFormat="false" ht="15" hidden="false" customHeight="false" outlineLevel="0" collapsed="false">
      <c r="A8587" s="0" t="n">
        <v>8586</v>
      </c>
      <c r="B8587" s="18" t="n">
        <v>623337.739642732</v>
      </c>
      <c r="C8587" s="18" t="n">
        <v>0</v>
      </c>
      <c r="D8587" s="0" t="n">
        <v>0</v>
      </c>
      <c r="E8587" s="19" t="n">
        <v>32.5</v>
      </c>
    </row>
    <row r="8588" customFormat="false" ht="15" hidden="false" customHeight="false" outlineLevel="0" collapsed="false">
      <c r="A8588" s="0" t="n">
        <v>8587</v>
      </c>
      <c r="B8588" s="18" t="n">
        <v>1503569.74848279</v>
      </c>
      <c r="C8588" s="18" t="n">
        <v>26599.8617749471</v>
      </c>
      <c r="D8588" s="0" t="n">
        <v>1</v>
      </c>
    </row>
    <row r="8589" customFormat="false" ht="15" hidden="false" customHeight="false" outlineLevel="0" collapsed="false">
      <c r="A8589" s="0" t="n">
        <v>8588</v>
      </c>
      <c r="B8589" s="18" t="n">
        <v>1242484.55342605</v>
      </c>
      <c r="C8589" s="18" t="n">
        <v>0</v>
      </c>
      <c r="D8589" s="0" t="n">
        <v>0</v>
      </c>
      <c r="E8589" s="19" t="n">
        <v>43.5833333333333</v>
      </c>
    </row>
    <row r="8590" customFormat="false" ht="15" hidden="false" customHeight="false" outlineLevel="0" collapsed="false">
      <c r="A8590" s="0" t="n">
        <v>8589</v>
      </c>
      <c r="B8590" s="18" t="n">
        <v>968757.752933068</v>
      </c>
      <c r="C8590" s="18" t="n">
        <v>702656.009393519</v>
      </c>
      <c r="D8590" s="0" t="n">
        <v>1</v>
      </c>
    </row>
    <row r="8591" customFormat="false" ht="15" hidden="false" customHeight="false" outlineLevel="0" collapsed="false">
      <c r="A8591" s="0" t="n">
        <v>8590</v>
      </c>
      <c r="B8591" s="18" t="n">
        <v>1552794.35724472</v>
      </c>
      <c r="C8591" s="18" t="n">
        <v>619312.796787392</v>
      </c>
      <c r="D8591" s="0" t="n">
        <v>1</v>
      </c>
    </row>
    <row r="8592" customFormat="false" ht="15" hidden="false" customHeight="false" outlineLevel="0" collapsed="false">
      <c r="A8592" s="0" t="n">
        <v>8591</v>
      </c>
      <c r="B8592" s="18" t="n">
        <v>2988599.93527709</v>
      </c>
      <c r="C8592" s="18" t="n">
        <v>1124996.75879194</v>
      </c>
      <c r="D8592" s="0" t="n">
        <v>1</v>
      </c>
    </row>
    <row r="8593" customFormat="false" ht="15" hidden="false" customHeight="false" outlineLevel="0" collapsed="false">
      <c r="A8593" s="0" t="n">
        <v>8592</v>
      </c>
      <c r="B8593" s="18" t="n">
        <v>967905.152740565</v>
      </c>
      <c r="C8593" s="18" t="n">
        <v>1380386.51093163</v>
      </c>
      <c r="D8593" s="0" t="n">
        <v>1</v>
      </c>
    </row>
    <row r="8594" customFormat="false" ht="15" hidden="false" customHeight="false" outlineLevel="0" collapsed="false">
      <c r="A8594" s="0" t="n">
        <v>8593</v>
      </c>
      <c r="B8594" s="18" t="n">
        <v>261393.748106161</v>
      </c>
      <c r="C8594" s="18" t="n">
        <v>0</v>
      </c>
      <c r="D8594" s="0" t="n">
        <v>0</v>
      </c>
      <c r="E8594" s="19" t="n">
        <v>31.25</v>
      </c>
    </row>
    <row r="8595" customFormat="false" ht="15" hidden="false" customHeight="false" outlineLevel="0" collapsed="false">
      <c r="A8595" s="0" t="n">
        <v>8594</v>
      </c>
      <c r="B8595" s="18" t="n">
        <v>1787386.14949316</v>
      </c>
      <c r="C8595" s="18" t="n">
        <v>2496586.78382992</v>
      </c>
      <c r="D8595" s="0" t="n">
        <v>1</v>
      </c>
    </row>
    <row r="8596" customFormat="false" ht="15" hidden="false" customHeight="false" outlineLevel="0" collapsed="false">
      <c r="A8596" s="0" t="n">
        <v>8595</v>
      </c>
      <c r="B8596" s="18" t="n">
        <v>795905.300645627</v>
      </c>
      <c r="C8596" s="18" t="n">
        <v>0</v>
      </c>
      <c r="D8596" s="0" t="n">
        <v>0</v>
      </c>
      <c r="E8596" s="19" t="n">
        <v>34.9166666666667</v>
      </c>
    </row>
    <row r="8597" customFormat="false" ht="15" hidden="false" customHeight="false" outlineLevel="0" collapsed="false">
      <c r="A8597" s="0" t="n">
        <v>8596</v>
      </c>
      <c r="B8597" s="18" t="n">
        <v>3015651.9985372</v>
      </c>
      <c r="C8597" s="18" t="n">
        <v>9483989.36314157</v>
      </c>
      <c r="D8597" s="0" t="n">
        <v>1</v>
      </c>
    </row>
    <row r="8598" customFormat="false" ht="15" hidden="false" customHeight="false" outlineLevel="0" collapsed="false">
      <c r="A8598" s="0" t="n">
        <v>8597</v>
      </c>
      <c r="B8598" s="18" t="n">
        <v>743637.004191265</v>
      </c>
      <c r="C8598" s="18" t="n">
        <v>0</v>
      </c>
      <c r="D8598" s="0" t="n">
        <v>0</v>
      </c>
      <c r="E8598" s="19" t="n">
        <v>46.4166666666667</v>
      </c>
    </row>
    <row r="8599" customFormat="false" ht="15" hidden="false" customHeight="false" outlineLevel="0" collapsed="false">
      <c r="A8599" s="0" t="n">
        <v>8598</v>
      </c>
      <c r="B8599" s="18" t="n">
        <v>2314844.40350325</v>
      </c>
      <c r="C8599" s="18" t="n">
        <v>15072060.8646798</v>
      </c>
      <c r="D8599" s="0" t="n">
        <v>1</v>
      </c>
    </row>
    <row r="8600" customFormat="false" ht="15" hidden="false" customHeight="false" outlineLevel="0" collapsed="false">
      <c r="A8600" s="0" t="n">
        <v>8599</v>
      </c>
      <c r="B8600" s="18" t="n">
        <v>2082997.10053684</v>
      </c>
      <c r="C8600" s="18" t="n">
        <v>2226296.8017815</v>
      </c>
      <c r="D8600" s="0" t="n">
        <v>1</v>
      </c>
    </row>
    <row r="8601" customFormat="false" ht="15" hidden="false" customHeight="false" outlineLevel="0" collapsed="false">
      <c r="A8601" s="0" t="n">
        <v>8600</v>
      </c>
      <c r="B8601" s="18" t="n">
        <v>1042286.94275429</v>
      </c>
      <c r="C8601" s="18" t="n">
        <v>295412.3109439</v>
      </c>
      <c r="D8601" s="0" t="n">
        <v>1</v>
      </c>
    </row>
    <row r="8602" customFormat="false" ht="15" hidden="false" customHeight="false" outlineLevel="0" collapsed="false">
      <c r="A8602" s="0" t="n">
        <v>8601</v>
      </c>
      <c r="B8602" s="18" t="n">
        <v>692019.890689662</v>
      </c>
      <c r="C8602" s="18" t="n">
        <v>2873496.0855861</v>
      </c>
      <c r="D8602" s="0" t="n">
        <v>1</v>
      </c>
    </row>
    <row r="8603" customFormat="false" ht="15" hidden="false" customHeight="false" outlineLevel="0" collapsed="false">
      <c r="A8603" s="0" t="n">
        <v>8602</v>
      </c>
      <c r="B8603" s="18" t="n">
        <v>1118940.20927562</v>
      </c>
      <c r="C8603" s="18" t="n">
        <v>218214.572174558</v>
      </c>
      <c r="D8603" s="0" t="n">
        <v>1</v>
      </c>
    </row>
    <row r="8604" customFormat="false" ht="15" hidden="false" customHeight="false" outlineLevel="0" collapsed="false">
      <c r="A8604" s="0" t="n">
        <v>8603</v>
      </c>
      <c r="B8604" s="18" t="n">
        <v>1012356.42956836</v>
      </c>
      <c r="C8604" s="18" t="n">
        <v>315329.095097582</v>
      </c>
      <c r="D8604" s="0" t="n">
        <v>1</v>
      </c>
    </row>
    <row r="8605" customFormat="false" ht="15" hidden="false" customHeight="false" outlineLevel="0" collapsed="false">
      <c r="A8605" s="0" t="n">
        <v>8604</v>
      </c>
      <c r="B8605" s="18" t="n">
        <v>581406.217335586</v>
      </c>
      <c r="C8605" s="18" t="n">
        <v>0</v>
      </c>
      <c r="D8605" s="0" t="n">
        <v>0</v>
      </c>
      <c r="E8605" s="19" t="n">
        <v>34.4166666666667</v>
      </c>
    </row>
    <row r="8606" customFormat="false" ht="15" hidden="false" customHeight="false" outlineLevel="0" collapsed="false">
      <c r="A8606" s="0" t="n">
        <v>8605</v>
      </c>
      <c r="B8606" s="18" t="n">
        <v>662224.966276286</v>
      </c>
      <c r="C8606" s="18" t="n">
        <v>0</v>
      </c>
      <c r="D8606" s="0" t="n">
        <v>0</v>
      </c>
      <c r="E8606" s="19" t="n">
        <v>34.9166666666667</v>
      </c>
    </row>
    <row r="8607" customFormat="false" ht="15" hidden="false" customHeight="false" outlineLevel="0" collapsed="false">
      <c r="A8607" s="0" t="n">
        <v>8606</v>
      </c>
      <c r="B8607" s="18" t="n">
        <v>499497.944583233</v>
      </c>
      <c r="C8607" s="18" t="n">
        <v>0</v>
      </c>
      <c r="D8607" s="0" t="n">
        <v>0</v>
      </c>
      <c r="E8607" s="19" t="n">
        <v>31.8333333333333</v>
      </c>
    </row>
    <row r="8608" customFormat="false" ht="15" hidden="false" customHeight="false" outlineLevel="0" collapsed="false">
      <c r="A8608" s="0" t="n">
        <v>8607</v>
      </c>
      <c r="B8608" s="18" t="n">
        <v>1431715.29079247</v>
      </c>
      <c r="C8608" s="18" t="n">
        <v>994655.033643785</v>
      </c>
      <c r="D8608" s="0" t="n">
        <v>1</v>
      </c>
    </row>
    <row r="8609" customFormat="false" ht="15" hidden="false" customHeight="false" outlineLevel="0" collapsed="false">
      <c r="A8609" s="0" t="n">
        <v>8608</v>
      </c>
      <c r="B8609" s="18" t="n">
        <v>532458.824497339</v>
      </c>
      <c r="C8609" s="18" t="n">
        <v>0</v>
      </c>
      <c r="D8609" s="0" t="n">
        <v>0</v>
      </c>
      <c r="E8609" s="19" t="n">
        <v>37</v>
      </c>
    </row>
    <row r="8610" customFormat="false" ht="15" hidden="false" customHeight="false" outlineLevel="0" collapsed="false">
      <c r="A8610" s="0" t="n">
        <v>8609</v>
      </c>
      <c r="B8610" s="18" t="n">
        <v>396708.177322627</v>
      </c>
      <c r="C8610" s="18" t="n">
        <v>0</v>
      </c>
      <c r="D8610" s="0" t="n">
        <v>0</v>
      </c>
      <c r="E8610" s="19" t="n">
        <v>35</v>
      </c>
    </row>
    <row r="8611" customFormat="false" ht="15" hidden="false" customHeight="false" outlineLevel="0" collapsed="false">
      <c r="A8611" s="0" t="n">
        <v>8610</v>
      </c>
      <c r="B8611" s="18" t="n">
        <v>1423838.28872499</v>
      </c>
      <c r="C8611" s="18" t="n">
        <v>0</v>
      </c>
      <c r="D8611" s="0" t="n">
        <v>0</v>
      </c>
      <c r="E8611" s="19" t="n">
        <v>44.0833333333333</v>
      </c>
    </row>
    <row r="8612" customFormat="false" ht="15" hidden="false" customHeight="false" outlineLevel="0" collapsed="false">
      <c r="A8612" s="0" t="n">
        <v>8611</v>
      </c>
      <c r="B8612" s="18" t="n">
        <v>413748.246412954</v>
      </c>
      <c r="C8612" s="18" t="n">
        <v>0</v>
      </c>
      <c r="D8612" s="0" t="n">
        <v>0</v>
      </c>
      <c r="E8612" s="19" t="n">
        <v>31.3333333333333</v>
      </c>
    </row>
    <row r="8613" customFormat="false" ht="15" hidden="false" customHeight="false" outlineLevel="0" collapsed="false">
      <c r="A8613" s="0" t="n">
        <v>8612</v>
      </c>
      <c r="B8613" s="18" t="n">
        <v>886476.228615771</v>
      </c>
      <c r="C8613" s="18" t="n">
        <v>0</v>
      </c>
      <c r="D8613" s="0" t="n">
        <v>0</v>
      </c>
      <c r="E8613" s="19" t="n">
        <v>42.0833333333333</v>
      </c>
    </row>
    <row r="8614" customFormat="false" ht="15" hidden="false" customHeight="false" outlineLevel="0" collapsed="false">
      <c r="A8614" s="0" t="n">
        <v>8613</v>
      </c>
      <c r="B8614" s="18" t="n">
        <v>335504.46799638</v>
      </c>
      <c r="C8614" s="18" t="n">
        <v>0</v>
      </c>
      <c r="D8614" s="0" t="n">
        <v>0</v>
      </c>
      <c r="E8614" s="19" t="n">
        <v>30.9166666666667</v>
      </c>
    </row>
    <row r="8615" customFormat="false" ht="15" hidden="false" customHeight="false" outlineLevel="0" collapsed="false">
      <c r="A8615" s="0" t="n">
        <v>8614</v>
      </c>
      <c r="B8615" s="18" t="n">
        <v>782014.648956455</v>
      </c>
      <c r="C8615" s="18" t="n">
        <v>1008854.17229361</v>
      </c>
      <c r="D8615" s="0" t="n">
        <v>1</v>
      </c>
    </row>
    <row r="8616" customFormat="false" ht="15" hidden="false" customHeight="false" outlineLevel="0" collapsed="false">
      <c r="A8616" s="0" t="n">
        <v>8615</v>
      </c>
      <c r="B8616" s="18" t="n">
        <v>687650.061883899</v>
      </c>
      <c r="C8616" s="18" t="n">
        <v>0</v>
      </c>
      <c r="D8616" s="0" t="n">
        <v>0</v>
      </c>
      <c r="E8616" s="19" t="n">
        <v>35.9166666666667</v>
      </c>
    </row>
    <row r="8617" customFormat="false" ht="15" hidden="false" customHeight="false" outlineLevel="0" collapsed="false">
      <c r="A8617" s="0" t="n">
        <v>8616</v>
      </c>
      <c r="B8617" s="18" t="n">
        <v>1306957.50520449</v>
      </c>
      <c r="C8617" s="18" t="n">
        <v>830203.354647926</v>
      </c>
      <c r="D8617" s="0" t="n">
        <v>1</v>
      </c>
    </row>
    <row r="8618" customFormat="false" ht="15" hidden="false" customHeight="false" outlineLevel="0" collapsed="false">
      <c r="A8618" s="0" t="n">
        <v>8617</v>
      </c>
      <c r="B8618" s="18" t="n">
        <v>780400.971227396</v>
      </c>
      <c r="C8618" s="18" t="n">
        <v>0</v>
      </c>
      <c r="D8618" s="0" t="n">
        <v>0</v>
      </c>
      <c r="E8618" s="19" t="n">
        <v>42.5</v>
      </c>
    </row>
    <row r="8619" customFormat="false" ht="15" hidden="false" customHeight="false" outlineLevel="0" collapsed="false">
      <c r="A8619" s="0" t="n">
        <v>8618</v>
      </c>
      <c r="B8619" s="18" t="n">
        <v>490449.02197399</v>
      </c>
      <c r="C8619" s="18" t="n">
        <v>0</v>
      </c>
      <c r="D8619" s="0" t="n">
        <v>0</v>
      </c>
      <c r="E8619" s="19" t="n">
        <v>32.1666666666667</v>
      </c>
    </row>
    <row r="8620" customFormat="false" ht="15" hidden="false" customHeight="false" outlineLevel="0" collapsed="false">
      <c r="A8620" s="0" t="n">
        <v>8619</v>
      </c>
      <c r="B8620" s="18" t="n">
        <v>579132.325471213</v>
      </c>
      <c r="C8620" s="18" t="n">
        <v>0</v>
      </c>
      <c r="D8620" s="0" t="n">
        <v>0</v>
      </c>
      <c r="E8620" s="19" t="n">
        <v>37.25</v>
      </c>
    </row>
    <row r="8621" customFormat="false" ht="15" hidden="false" customHeight="false" outlineLevel="0" collapsed="false">
      <c r="A8621" s="0" t="n">
        <v>8620</v>
      </c>
      <c r="B8621" s="18" t="n">
        <v>1048004.82038235</v>
      </c>
      <c r="C8621" s="18" t="n">
        <v>0</v>
      </c>
      <c r="D8621" s="0" t="n">
        <v>0</v>
      </c>
      <c r="E8621" s="19" t="n">
        <v>40.0833333333333</v>
      </c>
    </row>
    <row r="8622" customFormat="false" ht="15" hidden="false" customHeight="false" outlineLevel="0" collapsed="false">
      <c r="A8622" s="0" t="n">
        <v>8621</v>
      </c>
      <c r="B8622" s="18" t="n">
        <v>827954.794365325</v>
      </c>
      <c r="C8622" s="18" t="n">
        <v>0</v>
      </c>
      <c r="D8622" s="0" t="n">
        <v>0</v>
      </c>
      <c r="E8622" s="19" t="n">
        <v>39.25</v>
      </c>
    </row>
    <row r="8623" customFormat="false" ht="15" hidden="false" customHeight="false" outlineLevel="0" collapsed="false">
      <c r="A8623" s="0" t="n">
        <v>8622</v>
      </c>
      <c r="B8623" s="18" t="n">
        <v>1500720.05876105</v>
      </c>
      <c r="C8623" s="18" t="n">
        <v>2230046.531625</v>
      </c>
      <c r="D8623" s="0" t="n">
        <v>1</v>
      </c>
    </row>
    <row r="8624" customFormat="false" ht="15" hidden="false" customHeight="false" outlineLevel="0" collapsed="false">
      <c r="A8624" s="0" t="n">
        <v>8623</v>
      </c>
      <c r="B8624" s="18" t="n">
        <v>829343.968990351</v>
      </c>
      <c r="C8624" s="18" t="n">
        <v>831426.080883303</v>
      </c>
      <c r="D8624" s="0" t="n">
        <v>1</v>
      </c>
    </row>
    <row r="8625" customFormat="false" ht="15" hidden="false" customHeight="false" outlineLevel="0" collapsed="false">
      <c r="A8625" s="0" t="n">
        <v>8624</v>
      </c>
      <c r="B8625" s="18" t="n">
        <v>633361.159283206</v>
      </c>
      <c r="C8625" s="18" t="n">
        <v>0</v>
      </c>
      <c r="D8625" s="0" t="n">
        <v>0</v>
      </c>
      <c r="E8625" s="19" t="n">
        <v>37.8333333333333</v>
      </c>
    </row>
    <row r="8626" customFormat="false" ht="15" hidden="false" customHeight="false" outlineLevel="0" collapsed="false">
      <c r="A8626" s="0" t="n">
        <v>8625</v>
      </c>
      <c r="B8626" s="18" t="n">
        <v>808151.092886171</v>
      </c>
      <c r="C8626" s="18" t="n">
        <v>0</v>
      </c>
      <c r="D8626" s="0" t="n">
        <v>0</v>
      </c>
      <c r="E8626" s="19" t="n">
        <v>42.8333333333333</v>
      </c>
    </row>
    <row r="8627" customFormat="false" ht="15" hidden="false" customHeight="false" outlineLevel="0" collapsed="false">
      <c r="A8627" s="0" t="n">
        <v>8626</v>
      </c>
      <c r="B8627" s="18" t="n">
        <v>1281365.95707973</v>
      </c>
      <c r="C8627" s="18" t="n">
        <v>0</v>
      </c>
      <c r="D8627" s="0" t="n">
        <v>0</v>
      </c>
      <c r="E8627" s="19" t="n">
        <v>43.8333333333333</v>
      </c>
    </row>
    <row r="8628" customFormat="false" ht="15" hidden="false" customHeight="false" outlineLevel="0" collapsed="false">
      <c r="A8628" s="0" t="n">
        <v>8627</v>
      </c>
      <c r="B8628" s="18" t="n">
        <v>1754939.74510485</v>
      </c>
      <c r="C8628" s="18" t="n">
        <v>6843175.56863373</v>
      </c>
      <c r="D8628" s="0" t="n">
        <v>1</v>
      </c>
    </row>
    <row r="8629" customFormat="false" ht="15" hidden="false" customHeight="false" outlineLevel="0" collapsed="false">
      <c r="A8629" s="0" t="n">
        <v>8628</v>
      </c>
      <c r="B8629" s="18" t="n">
        <v>898138.69927577</v>
      </c>
      <c r="C8629" s="18" t="n">
        <v>0</v>
      </c>
      <c r="D8629" s="0" t="n">
        <v>0</v>
      </c>
      <c r="E8629" s="19" t="n">
        <v>40</v>
      </c>
    </row>
    <row r="8630" customFormat="false" ht="15" hidden="false" customHeight="false" outlineLevel="0" collapsed="false">
      <c r="A8630" s="0" t="n">
        <v>8629</v>
      </c>
      <c r="B8630" s="18" t="n">
        <v>337762.261633032</v>
      </c>
      <c r="C8630" s="18" t="n">
        <v>0</v>
      </c>
      <c r="D8630" s="0" t="n">
        <v>0</v>
      </c>
      <c r="E8630" s="19" t="n">
        <v>32.25</v>
      </c>
    </row>
    <row r="8631" customFormat="false" ht="15" hidden="false" customHeight="false" outlineLevel="0" collapsed="false">
      <c r="A8631" s="0" t="n">
        <v>8630</v>
      </c>
      <c r="B8631" s="18" t="n">
        <v>623744.577044907</v>
      </c>
      <c r="C8631" s="18" t="n">
        <v>0</v>
      </c>
      <c r="D8631" s="0" t="n">
        <v>0</v>
      </c>
      <c r="E8631" s="19" t="n">
        <v>42.9166666666667</v>
      </c>
    </row>
    <row r="8632" customFormat="false" ht="15" hidden="false" customHeight="false" outlineLevel="0" collapsed="false">
      <c r="A8632" s="0" t="n">
        <v>8631</v>
      </c>
      <c r="B8632" s="18" t="n">
        <v>776096.7585438</v>
      </c>
      <c r="C8632" s="18" t="n">
        <v>0</v>
      </c>
      <c r="D8632" s="0" t="n">
        <v>0</v>
      </c>
      <c r="E8632" s="19" t="n">
        <v>37.1666666666667</v>
      </c>
    </row>
    <row r="8633" customFormat="false" ht="15" hidden="false" customHeight="false" outlineLevel="0" collapsed="false">
      <c r="A8633" s="0" t="n">
        <v>8632</v>
      </c>
      <c r="B8633" s="18" t="n">
        <v>687689.143178728</v>
      </c>
      <c r="C8633" s="18" t="n">
        <v>0</v>
      </c>
      <c r="D8633" s="0" t="n">
        <v>0</v>
      </c>
      <c r="E8633" s="19" t="n">
        <v>36.0833333333333</v>
      </c>
    </row>
    <row r="8634" customFormat="false" ht="15" hidden="false" customHeight="false" outlineLevel="0" collapsed="false">
      <c r="A8634" s="0" t="n">
        <v>8633</v>
      </c>
      <c r="B8634" s="18" t="n">
        <v>1815614.14812463</v>
      </c>
      <c r="C8634" s="18" t="n">
        <v>880760.225230276</v>
      </c>
      <c r="D8634" s="0" t="n">
        <v>1</v>
      </c>
    </row>
    <row r="8635" customFormat="false" ht="15" hidden="false" customHeight="false" outlineLevel="0" collapsed="false">
      <c r="A8635" s="0" t="n">
        <v>8634</v>
      </c>
      <c r="B8635" s="18" t="n">
        <v>558115.056187405</v>
      </c>
      <c r="C8635" s="18" t="n">
        <v>0</v>
      </c>
      <c r="D8635" s="0" t="n">
        <v>0</v>
      </c>
      <c r="E8635" s="19" t="n">
        <v>35.3333333333333</v>
      </c>
    </row>
    <row r="8636" customFormat="false" ht="15" hidden="false" customHeight="false" outlineLevel="0" collapsed="false">
      <c r="A8636" s="0" t="n">
        <v>8635</v>
      </c>
      <c r="B8636" s="18" t="n">
        <v>1063307.68986615</v>
      </c>
      <c r="C8636" s="18" t="n">
        <v>4922443.61458433</v>
      </c>
      <c r="D8636" s="0" t="n">
        <v>1</v>
      </c>
    </row>
    <row r="8637" customFormat="false" ht="15" hidden="false" customHeight="false" outlineLevel="0" collapsed="false">
      <c r="A8637" s="0" t="n">
        <v>8636</v>
      </c>
      <c r="B8637" s="18" t="n">
        <v>608849.283425235</v>
      </c>
      <c r="C8637" s="18" t="n">
        <v>0</v>
      </c>
      <c r="D8637" s="0" t="n">
        <v>0</v>
      </c>
      <c r="E8637" s="19" t="n">
        <v>38.1666666666667</v>
      </c>
    </row>
    <row r="8638" customFormat="false" ht="15" hidden="false" customHeight="false" outlineLevel="0" collapsed="false">
      <c r="A8638" s="0" t="n">
        <v>8637</v>
      </c>
      <c r="B8638" s="18" t="n">
        <v>834504.29932522</v>
      </c>
      <c r="C8638" s="18" t="n">
        <v>0</v>
      </c>
      <c r="D8638" s="0" t="n">
        <v>0</v>
      </c>
      <c r="E8638" s="19" t="n">
        <v>38.6666666666667</v>
      </c>
    </row>
    <row r="8639" customFormat="false" ht="15" hidden="false" customHeight="false" outlineLevel="0" collapsed="false">
      <c r="A8639" s="0" t="n">
        <v>8638</v>
      </c>
      <c r="B8639" s="18" t="n">
        <v>555137.223326763</v>
      </c>
      <c r="C8639" s="18" t="n">
        <v>458235.012755438</v>
      </c>
      <c r="D8639" s="0" t="n">
        <v>1</v>
      </c>
    </row>
    <row r="8640" customFormat="false" ht="15" hidden="false" customHeight="false" outlineLevel="0" collapsed="false">
      <c r="A8640" s="0" t="n">
        <v>8639</v>
      </c>
      <c r="B8640" s="18" t="n">
        <v>1716032.48156288</v>
      </c>
      <c r="C8640" s="18" t="n">
        <v>7859599.32517933</v>
      </c>
      <c r="D8640" s="0" t="n">
        <v>1</v>
      </c>
    </row>
    <row r="8641" customFormat="false" ht="15" hidden="false" customHeight="false" outlineLevel="0" collapsed="false">
      <c r="A8641" s="0" t="n">
        <v>8640</v>
      </c>
      <c r="B8641" s="18" t="n">
        <v>1693496.37350421</v>
      </c>
      <c r="C8641" s="18" t="n">
        <v>2738435.45147069</v>
      </c>
      <c r="D8641" s="0" t="n">
        <v>1</v>
      </c>
    </row>
    <row r="8642" customFormat="false" ht="15" hidden="false" customHeight="false" outlineLevel="0" collapsed="false">
      <c r="A8642" s="0" t="n">
        <v>8641</v>
      </c>
      <c r="B8642" s="18" t="n">
        <v>1410781.9782205</v>
      </c>
      <c r="C8642" s="18" t="n">
        <v>10022393.0431726</v>
      </c>
      <c r="D8642" s="0" t="n">
        <v>1</v>
      </c>
    </row>
    <row r="8643" customFormat="false" ht="15" hidden="false" customHeight="false" outlineLevel="0" collapsed="false">
      <c r="A8643" s="0" t="n">
        <v>8642</v>
      </c>
      <c r="B8643" s="18" t="n">
        <v>866704.832269601</v>
      </c>
      <c r="C8643" s="18" t="n">
        <v>0</v>
      </c>
      <c r="D8643" s="0" t="n">
        <v>0</v>
      </c>
      <c r="E8643" s="19" t="n">
        <v>42.25</v>
      </c>
    </row>
    <row r="8644" customFormat="false" ht="15" hidden="false" customHeight="false" outlineLevel="0" collapsed="false">
      <c r="A8644" s="0" t="n">
        <v>8643</v>
      </c>
      <c r="B8644" s="18" t="n">
        <v>958202.84159362</v>
      </c>
      <c r="C8644" s="18" t="n">
        <v>0</v>
      </c>
      <c r="D8644" s="0" t="n">
        <v>0</v>
      </c>
      <c r="E8644" s="19" t="n">
        <v>46.0833333333333</v>
      </c>
    </row>
    <row r="8645" customFormat="false" ht="15" hidden="false" customHeight="false" outlineLevel="0" collapsed="false">
      <c r="A8645" s="0" t="n">
        <v>8644</v>
      </c>
      <c r="B8645" s="18" t="n">
        <v>757322.730227821</v>
      </c>
      <c r="C8645" s="18" t="n">
        <v>0</v>
      </c>
      <c r="D8645" s="0" t="n">
        <v>0</v>
      </c>
      <c r="E8645" s="19" t="n">
        <v>43.0833333333333</v>
      </c>
    </row>
    <row r="8646" customFormat="false" ht="15" hidden="false" customHeight="false" outlineLevel="0" collapsed="false">
      <c r="A8646" s="0" t="n">
        <v>8645</v>
      </c>
      <c r="B8646" s="18" t="n">
        <v>1068045.17240617</v>
      </c>
      <c r="C8646" s="18" t="n">
        <v>0</v>
      </c>
      <c r="D8646" s="0" t="n">
        <v>0</v>
      </c>
      <c r="E8646" s="19" t="n">
        <v>42.5833333333333</v>
      </c>
    </row>
    <row r="8647" customFormat="false" ht="15" hidden="false" customHeight="false" outlineLevel="0" collapsed="false">
      <c r="A8647" s="0" t="n">
        <v>8646</v>
      </c>
      <c r="B8647" s="18" t="n">
        <v>536959.503555437</v>
      </c>
      <c r="C8647" s="18" t="n">
        <v>0</v>
      </c>
      <c r="D8647" s="0" t="n">
        <v>0</v>
      </c>
      <c r="E8647" s="19" t="n">
        <v>34.3333333333333</v>
      </c>
    </row>
    <row r="8648" customFormat="false" ht="15" hidden="false" customHeight="false" outlineLevel="0" collapsed="false">
      <c r="A8648" s="0" t="n">
        <v>8647</v>
      </c>
      <c r="B8648" s="18" t="n">
        <v>351853.251059307</v>
      </c>
      <c r="C8648" s="18" t="n">
        <v>0</v>
      </c>
      <c r="D8648" s="0" t="n">
        <v>0</v>
      </c>
      <c r="E8648" s="19" t="n">
        <v>29.75</v>
      </c>
    </row>
    <row r="8649" customFormat="false" ht="15" hidden="false" customHeight="false" outlineLevel="0" collapsed="false">
      <c r="A8649" s="0" t="n">
        <v>8648</v>
      </c>
      <c r="B8649" s="18" t="n">
        <v>817046.947632675</v>
      </c>
      <c r="C8649" s="18" t="n">
        <v>0</v>
      </c>
      <c r="D8649" s="0" t="n">
        <v>0</v>
      </c>
      <c r="E8649" s="19" t="n">
        <v>51</v>
      </c>
    </row>
    <row r="8650" customFormat="false" ht="15" hidden="false" customHeight="false" outlineLevel="0" collapsed="false">
      <c r="A8650" s="0" t="n">
        <v>8649</v>
      </c>
      <c r="B8650" s="18" t="n">
        <v>1709626.47796367</v>
      </c>
      <c r="C8650" s="18" t="n">
        <v>879730.417385311</v>
      </c>
      <c r="D8650" s="0" t="n">
        <v>1</v>
      </c>
    </row>
    <row r="8651" customFormat="false" ht="15" hidden="false" customHeight="false" outlineLevel="0" collapsed="false">
      <c r="A8651" s="0" t="n">
        <v>8650</v>
      </c>
      <c r="B8651" s="18" t="n">
        <v>662690.565233315</v>
      </c>
      <c r="C8651" s="18" t="n">
        <v>0</v>
      </c>
      <c r="D8651" s="0" t="n">
        <v>0</v>
      </c>
      <c r="E8651" s="19" t="n">
        <v>43.5833333333333</v>
      </c>
    </row>
    <row r="8652" customFormat="false" ht="15" hidden="false" customHeight="false" outlineLevel="0" collapsed="false">
      <c r="A8652" s="0" t="n">
        <v>8651</v>
      </c>
      <c r="B8652" s="18" t="n">
        <v>912826.761274927</v>
      </c>
      <c r="C8652" s="18" t="n">
        <v>0</v>
      </c>
      <c r="D8652" s="0" t="n">
        <v>0</v>
      </c>
      <c r="E8652" s="19" t="n">
        <v>38.25</v>
      </c>
    </row>
    <row r="8653" customFormat="false" ht="15" hidden="false" customHeight="false" outlineLevel="0" collapsed="false">
      <c r="A8653" s="0" t="n">
        <v>8652</v>
      </c>
      <c r="B8653" s="18" t="n">
        <v>297987.956393878</v>
      </c>
      <c r="C8653" s="18" t="n">
        <v>0</v>
      </c>
      <c r="D8653" s="0" t="n">
        <v>0</v>
      </c>
      <c r="E8653" s="19" t="n">
        <v>29.6666666666667</v>
      </c>
    </row>
    <row r="8654" customFormat="false" ht="15" hidden="false" customHeight="false" outlineLevel="0" collapsed="false">
      <c r="A8654" s="0" t="n">
        <v>8653</v>
      </c>
      <c r="B8654" s="18" t="n">
        <v>668366.338427699</v>
      </c>
      <c r="C8654" s="18" t="n">
        <v>0</v>
      </c>
      <c r="D8654" s="0" t="n">
        <v>0</v>
      </c>
      <c r="E8654" s="19" t="n">
        <v>36.5</v>
      </c>
    </row>
    <row r="8655" customFormat="false" ht="15" hidden="false" customHeight="false" outlineLevel="0" collapsed="false">
      <c r="A8655" s="0" t="n">
        <v>8654</v>
      </c>
      <c r="B8655" s="18" t="n">
        <v>774071.483741982</v>
      </c>
      <c r="C8655" s="18" t="n">
        <v>0</v>
      </c>
      <c r="D8655" s="0" t="n">
        <v>0</v>
      </c>
      <c r="E8655" s="19" t="n">
        <v>41.25</v>
      </c>
    </row>
    <row r="8656" customFormat="false" ht="15" hidden="false" customHeight="false" outlineLevel="0" collapsed="false">
      <c r="A8656" s="0" t="n">
        <v>8655</v>
      </c>
      <c r="B8656" s="18" t="n">
        <v>802621.789865749</v>
      </c>
      <c r="C8656" s="18" t="n">
        <v>0</v>
      </c>
      <c r="D8656" s="0" t="n">
        <v>0</v>
      </c>
      <c r="E8656" s="19" t="n">
        <v>51.8333333333333</v>
      </c>
    </row>
    <row r="8657" customFormat="false" ht="15" hidden="false" customHeight="false" outlineLevel="0" collapsed="false">
      <c r="A8657" s="0" t="n">
        <v>8656</v>
      </c>
      <c r="B8657" s="18" t="n">
        <v>747270.915902343</v>
      </c>
      <c r="C8657" s="18" t="n">
        <v>0</v>
      </c>
      <c r="D8657" s="0" t="n">
        <v>0</v>
      </c>
      <c r="E8657" s="19" t="n">
        <v>45.5</v>
      </c>
    </row>
    <row r="8658" customFormat="false" ht="15" hidden="false" customHeight="false" outlineLevel="0" collapsed="false">
      <c r="A8658" s="0" t="n">
        <v>8657</v>
      </c>
      <c r="B8658" s="18" t="n">
        <v>776280.610169122</v>
      </c>
      <c r="C8658" s="18" t="n">
        <v>0</v>
      </c>
      <c r="D8658" s="0" t="n">
        <v>0</v>
      </c>
      <c r="E8658" s="19" t="n">
        <v>44</v>
      </c>
    </row>
    <row r="8659" customFormat="false" ht="15" hidden="false" customHeight="false" outlineLevel="0" collapsed="false">
      <c r="A8659" s="0" t="n">
        <v>8658</v>
      </c>
      <c r="B8659" s="18" t="n">
        <v>1225942.28289283</v>
      </c>
      <c r="C8659" s="18" t="n">
        <v>0</v>
      </c>
      <c r="D8659" s="0" t="n">
        <v>0</v>
      </c>
      <c r="E8659" s="19" t="n">
        <v>42.75</v>
      </c>
    </row>
    <row r="8660" customFormat="false" ht="15" hidden="false" customHeight="false" outlineLevel="0" collapsed="false">
      <c r="A8660" s="0" t="n">
        <v>8659</v>
      </c>
      <c r="B8660" s="18" t="n">
        <v>813368.096639705</v>
      </c>
      <c r="C8660" s="18" t="n">
        <v>0</v>
      </c>
      <c r="D8660" s="0" t="n">
        <v>0</v>
      </c>
      <c r="E8660" s="19" t="n">
        <v>38.9166666666667</v>
      </c>
    </row>
    <row r="8661" customFormat="false" ht="15" hidden="false" customHeight="false" outlineLevel="0" collapsed="false">
      <c r="A8661" s="0" t="n">
        <v>8660</v>
      </c>
      <c r="B8661" s="18" t="n">
        <v>1490523.92608968</v>
      </c>
      <c r="C8661" s="18" t="n">
        <v>6130406.15548883</v>
      </c>
      <c r="D8661" s="0" t="n">
        <v>1</v>
      </c>
    </row>
    <row r="8662" customFormat="false" ht="15" hidden="false" customHeight="false" outlineLevel="0" collapsed="false">
      <c r="A8662" s="0" t="n">
        <v>8661</v>
      </c>
      <c r="B8662" s="18" t="n">
        <v>1575249.01853728</v>
      </c>
      <c r="C8662" s="18" t="n">
        <v>3445476.64054842</v>
      </c>
      <c r="D8662" s="0" t="n">
        <v>1</v>
      </c>
    </row>
    <row r="8663" customFormat="false" ht="15" hidden="false" customHeight="false" outlineLevel="0" collapsed="false">
      <c r="A8663" s="0" t="n">
        <v>8662</v>
      </c>
      <c r="B8663" s="18" t="n">
        <v>845450.167865873</v>
      </c>
      <c r="C8663" s="18" t="n">
        <v>0</v>
      </c>
      <c r="D8663" s="0" t="n">
        <v>0</v>
      </c>
      <c r="E8663" s="19" t="n">
        <v>42.5833333333333</v>
      </c>
    </row>
    <row r="8664" customFormat="false" ht="15" hidden="false" customHeight="false" outlineLevel="0" collapsed="false">
      <c r="A8664" s="0" t="n">
        <v>8663</v>
      </c>
      <c r="B8664" s="18" t="n">
        <v>814251.286946751</v>
      </c>
      <c r="C8664" s="18" t="n">
        <v>469315.101893835</v>
      </c>
      <c r="D8664" s="0" t="n">
        <v>1</v>
      </c>
    </row>
    <row r="8665" customFormat="false" ht="15" hidden="false" customHeight="false" outlineLevel="0" collapsed="false">
      <c r="A8665" s="0" t="n">
        <v>8664</v>
      </c>
      <c r="B8665" s="18" t="n">
        <v>545888.059068181</v>
      </c>
      <c r="C8665" s="18" t="n">
        <v>0</v>
      </c>
      <c r="D8665" s="0" t="n">
        <v>0</v>
      </c>
      <c r="E8665" s="19" t="n">
        <v>39</v>
      </c>
    </row>
    <row r="8666" customFormat="false" ht="15" hidden="false" customHeight="false" outlineLevel="0" collapsed="false">
      <c r="A8666" s="0" t="n">
        <v>8665</v>
      </c>
      <c r="B8666" s="18" t="n">
        <v>1765641.12814389</v>
      </c>
      <c r="C8666" s="18" t="n">
        <v>3674992.46799647</v>
      </c>
      <c r="D8666" s="0" t="n">
        <v>1</v>
      </c>
    </row>
    <row r="8667" customFormat="false" ht="15" hidden="false" customHeight="false" outlineLevel="0" collapsed="false">
      <c r="A8667" s="0" t="n">
        <v>8666</v>
      </c>
      <c r="B8667" s="18" t="n">
        <v>1363936.53808175</v>
      </c>
      <c r="C8667" s="18" t="n">
        <v>419453.574911083</v>
      </c>
      <c r="D8667" s="0" t="n">
        <v>1</v>
      </c>
    </row>
    <row r="8668" customFormat="false" ht="15" hidden="false" customHeight="false" outlineLevel="0" collapsed="false">
      <c r="A8668" s="0" t="n">
        <v>8667</v>
      </c>
      <c r="B8668" s="18" t="n">
        <v>805203.182739696</v>
      </c>
      <c r="C8668" s="18" t="n">
        <v>0</v>
      </c>
      <c r="D8668" s="0" t="n">
        <v>0</v>
      </c>
      <c r="E8668" s="19" t="n">
        <v>38.4166666666667</v>
      </c>
    </row>
    <row r="8669" customFormat="false" ht="15" hidden="false" customHeight="false" outlineLevel="0" collapsed="false">
      <c r="A8669" s="0" t="n">
        <v>8668</v>
      </c>
      <c r="B8669" s="18" t="n">
        <v>1173672.45585481</v>
      </c>
      <c r="C8669" s="18" t="n">
        <v>1881889.16435022</v>
      </c>
      <c r="D8669" s="0" t="n">
        <v>1</v>
      </c>
    </row>
    <row r="8670" customFormat="false" ht="15" hidden="false" customHeight="false" outlineLevel="0" collapsed="false">
      <c r="A8670" s="0" t="n">
        <v>8669</v>
      </c>
      <c r="B8670" s="18" t="n">
        <v>354612.353939252</v>
      </c>
      <c r="C8670" s="18" t="n">
        <v>0</v>
      </c>
      <c r="D8670" s="0" t="n">
        <v>0</v>
      </c>
      <c r="E8670" s="19" t="n">
        <v>31.0833333333333</v>
      </c>
    </row>
    <row r="8671" customFormat="false" ht="15" hidden="false" customHeight="false" outlineLevel="0" collapsed="false">
      <c r="A8671" s="0" t="n">
        <v>8670</v>
      </c>
      <c r="B8671" s="18" t="n">
        <v>3116505.9114926</v>
      </c>
      <c r="C8671" s="18" t="n">
        <v>12309461.1026007</v>
      </c>
      <c r="D8671" s="0" t="n">
        <v>1</v>
      </c>
    </row>
    <row r="8672" customFormat="false" ht="15" hidden="false" customHeight="false" outlineLevel="0" collapsed="false">
      <c r="A8672" s="0" t="n">
        <v>8671</v>
      </c>
      <c r="B8672" s="18" t="n">
        <v>471441.694417433</v>
      </c>
      <c r="C8672" s="18" t="n">
        <v>0</v>
      </c>
      <c r="D8672" s="0" t="n">
        <v>0</v>
      </c>
      <c r="E8672" s="19" t="n">
        <v>35.5833333333333</v>
      </c>
    </row>
    <row r="8673" customFormat="false" ht="15" hidden="false" customHeight="false" outlineLevel="0" collapsed="false">
      <c r="A8673" s="0" t="n">
        <v>8672</v>
      </c>
      <c r="B8673" s="18" t="n">
        <v>920563.298853358</v>
      </c>
      <c r="C8673" s="18" t="n">
        <v>27713.0097331542</v>
      </c>
      <c r="D8673" s="0" t="n">
        <v>1</v>
      </c>
    </row>
    <row r="8674" customFormat="false" ht="15" hidden="false" customHeight="false" outlineLevel="0" collapsed="false">
      <c r="A8674" s="0" t="n">
        <v>8673</v>
      </c>
      <c r="B8674" s="18" t="n">
        <v>2027637.26301245</v>
      </c>
      <c r="C8674" s="18" t="n">
        <v>0</v>
      </c>
      <c r="D8674" s="0" t="n">
        <v>0</v>
      </c>
      <c r="E8674" s="19" t="n">
        <v>54.6666666666667</v>
      </c>
    </row>
    <row r="8675" customFormat="false" ht="15" hidden="false" customHeight="false" outlineLevel="0" collapsed="false">
      <c r="A8675" s="0" t="n">
        <v>8674</v>
      </c>
      <c r="B8675" s="18" t="n">
        <v>1085341.61056949</v>
      </c>
      <c r="C8675" s="18" t="n">
        <v>0</v>
      </c>
      <c r="D8675" s="0" t="n">
        <v>0</v>
      </c>
      <c r="E8675" s="19" t="n">
        <v>42.3333333333333</v>
      </c>
    </row>
    <row r="8676" customFormat="false" ht="15" hidden="false" customHeight="false" outlineLevel="0" collapsed="false">
      <c r="A8676" s="0" t="n">
        <v>8675</v>
      </c>
      <c r="B8676" s="18" t="n">
        <v>2917853.2938113</v>
      </c>
      <c r="C8676" s="18" t="n">
        <v>10960432.2422053</v>
      </c>
      <c r="D8676" s="0" t="n">
        <v>1</v>
      </c>
    </row>
    <row r="8677" customFormat="false" ht="15" hidden="false" customHeight="false" outlineLevel="0" collapsed="false">
      <c r="A8677" s="0" t="n">
        <v>8676</v>
      </c>
      <c r="B8677" s="18" t="n">
        <v>1392869.76481493</v>
      </c>
      <c r="C8677" s="18" t="n">
        <v>2115039.70154727</v>
      </c>
      <c r="D8677" s="0" t="n">
        <v>1</v>
      </c>
    </row>
    <row r="8678" customFormat="false" ht="15" hidden="false" customHeight="false" outlineLevel="0" collapsed="false">
      <c r="A8678" s="0" t="n">
        <v>8677</v>
      </c>
      <c r="B8678" s="18" t="n">
        <v>495241.566450699</v>
      </c>
      <c r="C8678" s="18" t="n">
        <v>0</v>
      </c>
      <c r="D8678" s="0" t="n">
        <v>0</v>
      </c>
      <c r="E8678" s="19" t="n">
        <v>37</v>
      </c>
    </row>
    <row r="8679" customFormat="false" ht="15" hidden="false" customHeight="false" outlineLevel="0" collapsed="false">
      <c r="A8679" s="0" t="n">
        <v>8678</v>
      </c>
      <c r="B8679" s="18" t="n">
        <v>1202531.94231198</v>
      </c>
      <c r="C8679" s="18" t="n">
        <v>2358285.14489494</v>
      </c>
      <c r="D8679" s="0" t="n">
        <v>1</v>
      </c>
    </row>
    <row r="8680" customFormat="false" ht="15" hidden="false" customHeight="false" outlineLevel="0" collapsed="false">
      <c r="A8680" s="0" t="n">
        <v>8679</v>
      </c>
      <c r="B8680" s="18" t="n">
        <v>1412255.13895825</v>
      </c>
      <c r="C8680" s="18" t="n">
        <v>0</v>
      </c>
      <c r="D8680" s="0" t="n">
        <v>0</v>
      </c>
      <c r="E8680" s="19" t="n">
        <v>42.1666666666667</v>
      </c>
    </row>
    <row r="8681" customFormat="false" ht="15" hidden="false" customHeight="false" outlineLevel="0" collapsed="false">
      <c r="A8681" s="0" t="n">
        <v>8680</v>
      </c>
      <c r="B8681" s="18" t="n">
        <v>978932.759672729</v>
      </c>
      <c r="C8681" s="18" t="n">
        <v>0</v>
      </c>
      <c r="D8681" s="0" t="n">
        <v>0</v>
      </c>
      <c r="E8681" s="19" t="n">
        <v>41.3333333333333</v>
      </c>
    </row>
    <row r="8682" customFormat="false" ht="15" hidden="false" customHeight="false" outlineLevel="0" collapsed="false">
      <c r="A8682" s="0" t="n">
        <v>8681</v>
      </c>
      <c r="B8682" s="18" t="n">
        <v>1083252.51320263</v>
      </c>
      <c r="C8682" s="18" t="n">
        <v>2018136.23001395</v>
      </c>
      <c r="D8682" s="0" t="n">
        <v>1</v>
      </c>
    </row>
    <row r="8683" customFormat="false" ht="15" hidden="false" customHeight="false" outlineLevel="0" collapsed="false">
      <c r="A8683" s="0" t="n">
        <v>8682</v>
      </c>
      <c r="B8683" s="18" t="n">
        <v>1512746.6971198</v>
      </c>
      <c r="C8683" s="18" t="n">
        <v>3952744.17798889</v>
      </c>
      <c r="D8683" s="0" t="n">
        <v>1</v>
      </c>
    </row>
    <row r="8684" customFormat="false" ht="15" hidden="false" customHeight="false" outlineLevel="0" collapsed="false">
      <c r="A8684" s="0" t="n">
        <v>8683</v>
      </c>
      <c r="B8684" s="18" t="n">
        <v>589540.258029041</v>
      </c>
      <c r="C8684" s="18" t="n">
        <v>0</v>
      </c>
      <c r="D8684" s="0" t="n">
        <v>0</v>
      </c>
      <c r="E8684" s="19" t="n">
        <v>35.5833333333333</v>
      </c>
    </row>
    <row r="8685" customFormat="false" ht="15" hidden="false" customHeight="false" outlineLevel="0" collapsed="false">
      <c r="A8685" s="0" t="n">
        <v>8684</v>
      </c>
      <c r="B8685" s="18" t="n">
        <v>734672.274264404</v>
      </c>
      <c r="C8685" s="18" t="n">
        <v>0</v>
      </c>
      <c r="D8685" s="0" t="n">
        <v>0</v>
      </c>
      <c r="E8685" s="19" t="n">
        <v>35.6666666666667</v>
      </c>
    </row>
    <row r="8686" customFormat="false" ht="15" hidden="false" customHeight="false" outlineLevel="0" collapsed="false">
      <c r="A8686" s="0" t="n">
        <v>8685</v>
      </c>
      <c r="B8686" s="18" t="n">
        <v>586405.187809715</v>
      </c>
      <c r="C8686" s="18" t="n">
        <v>0</v>
      </c>
      <c r="D8686" s="0" t="n">
        <v>0</v>
      </c>
      <c r="E8686" s="19" t="n">
        <v>34.8333333333333</v>
      </c>
    </row>
    <row r="8687" customFormat="false" ht="15" hidden="false" customHeight="false" outlineLevel="0" collapsed="false">
      <c r="A8687" s="0" t="n">
        <v>8686</v>
      </c>
      <c r="B8687" s="18" t="n">
        <v>602353.878990334</v>
      </c>
      <c r="C8687" s="18" t="n">
        <v>0</v>
      </c>
      <c r="D8687" s="0" t="n">
        <v>0</v>
      </c>
      <c r="E8687" s="19" t="n">
        <v>37.75</v>
      </c>
    </row>
    <row r="8688" customFormat="false" ht="15" hidden="false" customHeight="false" outlineLevel="0" collapsed="false">
      <c r="A8688" s="0" t="n">
        <v>8687</v>
      </c>
      <c r="B8688" s="18" t="n">
        <v>535840.770215006</v>
      </c>
      <c r="C8688" s="18" t="n">
        <v>240660.085608272</v>
      </c>
      <c r="D8688" s="0" t="n">
        <v>1</v>
      </c>
    </row>
    <row r="8689" customFormat="false" ht="15" hidden="false" customHeight="false" outlineLevel="0" collapsed="false">
      <c r="A8689" s="0" t="n">
        <v>8688</v>
      </c>
      <c r="B8689" s="18" t="n">
        <v>645014.310818975</v>
      </c>
      <c r="C8689" s="18" t="n">
        <v>0</v>
      </c>
      <c r="D8689" s="0" t="n">
        <v>0</v>
      </c>
      <c r="E8689" s="19" t="n">
        <v>42.25</v>
      </c>
    </row>
    <row r="8690" customFormat="false" ht="15" hidden="false" customHeight="false" outlineLevel="0" collapsed="false">
      <c r="A8690" s="0" t="n">
        <v>8689</v>
      </c>
      <c r="B8690" s="18" t="n">
        <v>460177.044344576</v>
      </c>
      <c r="C8690" s="18" t="n">
        <v>0</v>
      </c>
      <c r="D8690" s="0" t="n">
        <v>0</v>
      </c>
      <c r="E8690" s="19" t="n">
        <v>33.25</v>
      </c>
    </row>
    <row r="8691" customFormat="false" ht="15" hidden="false" customHeight="false" outlineLevel="0" collapsed="false">
      <c r="A8691" s="0" t="n">
        <v>8690</v>
      </c>
      <c r="B8691" s="18" t="n">
        <v>1854508.30097247</v>
      </c>
      <c r="C8691" s="18" t="n">
        <v>3909976.52918565</v>
      </c>
      <c r="D8691" s="0" t="n">
        <v>1</v>
      </c>
    </row>
    <row r="8692" customFormat="false" ht="15" hidden="false" customHeight="false" outlineLevel="0" collapsed="false">
      <c r="A8692" s="0" t="n">
        <v>8691</v>
      </c>
      <c r="B8692" s="18" t="n">
        <v>1109883.85398968</v>
      </c>
      <c r="C8692" s="18" t="n">
        <v>549861.191577063</v>
      </c>
      <c r="D8692" s="0" t="n">
        <v>1</v>
      </c>
    </row>
    <row r="8693" customFormat="false" ht="15" hidden="false" customHeight="false" outlineLevel="0" collapsed="false">
      <c r="A8693" s="0" t="n">
        <v>8692</v>
      </c>
      <c r="B8693" s="18" t="n">
        <v>568783.146305345</v>
      </c>
      <c r="C8693" s="18" t="n">
        <v>0</v>
      </c>
      <c r="D8693" s="0" t="n">
        <v>0</v>
      </c>
      <c r="E8693" s="19" t="n">
        <v>36.6666666666667</v>
      </c>
    </row>
    <row r="8694" customFormat="false" ht="15" hidden="false" customHeight="false" outlineLevel="0" collapsed="false">
      <c r="A8694" s="0" t="n">
        <v>8693</v>
      </c>
      <c r="B8694" s="18" t="n">
        <v>810976.855723403</v>
      </c>
      <c r="C8694" s="18" t="n">
        <v>0</v>
      </c>
      <c r="D8694" s="0" t="n">
        <v>0</v>
      </c>
      <c r="E8694" s="19" t="n">
        <v>39.5833333333333</v>
      </c>
    </row>
    <row r="8695" customFormat="false" ht="15" hidden="false" customHeight="false" outlineLevel="0" collapsed="false">
      <c r="A8695" s="0" t="n">
        <v>8694</v>
      </c>
      <c r="B8695" s="18" t="n">
        <v>1306701.61337274</v>
      </c>
      <c r="C8695" s="18" t="n">
        <v>3487344.78791641</v>
      </c>
      <c r="D8695" s="0" t="n">
        <v>1</v>
      </c>
    </row>
    <row r="8696" customFormat="false" ht="15" hidden="false" customHeight="false" outlineLevel="0" collapsed="false">
      <c r="A8696" s="0" t="n">
        <v>8695</v>
      </c>
      <c r="B8696" s="18" t="n">
        <v>1354886.10267246</v>
      </c>
      <c r="C8696" s="18" t="n">
        <v>11010448.3552561</v>
      </c>
      <c r="D8696" s="0" t="n">
        <v>1</v>
      </c>
    </row>
    <row r="8697" customFormat="false" ht="15" hidden="false" customHeight="false" outlineLevel="0" collapsed="false">
      <c r="A8697" s="0" t="n">
        <v>8696</v>
      </c>
      <c r="B8697" s="18" t="n">
        <v>2940588.50664869</v>
      </c>
      <c r="C8697" s="18" t="n">
        <v>6749515.01833024</v>
      </c>
      <c r="D8697" s="0" t="n">
        <v>1</v>
      </c>
    </row>
    <row r="8698" customFormat="false" ht="15" hidden="false" customHeight="false" outlineLevel="0" collapsed="false">
      <c r="A8698" s="0" t="n">
        <v>8697</v>
      </c>
      <c r="B8698" s="18" t="n">
        <v>1493359.50115801</v>
      </c>
      <c r="C8698" s="18" t="n">
        <v>805280.420585919</v>
      </c>
      <c r="D8698" s="0" t="n">
        <v>1</v>
      </c>
    </row>
    <row r="8699" customFormat="false" ht="15" hidden="false" customHeight="false" outlineLevel="0" collapsed="false">
      <c r="A8699" s="0" t="n">
        <v>8698</v>
      </c>
      <c r="B8699" s="18" t="n">
        <v>954065.731914226</v>
      </c>
      <c r="C8699" s="18" t="n">
        <v>0</v>
      </c>
      <c r="D8699" s="0" t="n">
        <v>0</v>
      </c>
      <c r="E8699" s="19" t="n">
        <v>50.25</v>
      </c>
    </row>
    <row r="8700" customFormat="false" ht="15" hidden="false" customHeight="false" outlineLevel="0" collapsed="false">
      <c r="A8700" s="0" t="n">
        <v>8699</v>
      </c>
      <c r="B8700" s="18" t="n">
        <v>1295463.57671591</v>
      </c>
      <c r="C8700" s="18" t="n">
        <v>0</v>
      </c>
      <c r="D8700" s="0" t="n">
        <v>0</v>
      </c>
      <c r="E8700" s="19" t="n">
        <v>46.75</v>
      </c>
    </row>
    <row r="8701" customFormat="false" ht="15" hidden="false" customHeight="false" outlineLevel="0" collapsed="false">
      <c r="A8701" s="0" t="n">
        <v>8700</v>
      </c>
      <c r="B8701" s="18" t="n">
        <v>2005803.72365755</v>
      </c>
      <c r="C8701" s="18" t="n">
        <v>11895664.449896</v>
      </c>
      <c r="D8701" s="0" t="n">
        <v>1</v>
      </c>
    </row>
    <row r="8702" customFormat="false" ht="15" hidden="false" customHeight="false" outlineLevel="0" collapsed="false">
      <c r="A8702" s="0" t="n">
        <v>8701</v>
      </c>
      <c r="B8702" s="18" t="n">
        <v>560006.91903552</v>
      </c>
      <c r="C8702" s="18" t="n">
        <v>0</v>
      </c>
      <c r="D8702" s="0" t="n">
        <v>0</v>
      </c>
      <c r="E8702" s="19" t="n">
        <v>39.3333333333333</v>
      </c>
    </row>
    <row r="8703" customFormat="false" ht="15" hidden="false" customHeight="false" outlineLevel="0" collapsed="false">
      <c r="A8703" s="0" t="n">
        <v>8702</v>
      </c>
      <c r="B8703" s="18" t="n">
        <v>1761945.03746556</v>
      </c>
      <c r="C8703" s="18" t="n">
        <v>15775624.8371717</v>
      </c>
      <c r="D8703" s="0" t="n">
        <v>1</v>
      </c>
    </row>
    <row r="8704" customFormat="false" ht="15" hidden="false" customHeight="false" outlineLevel="0" collapsed="false">
      <c r="A8704" s="0" t="n">
        <v>8703</v>
      </c>
      <c r="B8704" s="18" t="n">
        <v>1284708.34721139</v>
      </c>
      <c r="C8704" s="18" t="n">
        <v>12281683.8117848</v>
      </c>
      <c r="D8704" s="0" t="n">
        <v>1</v>
      </c>
    </row>
    <row r="8705" customFormat="false" ht="15" hidden="false" customHeight="false" outlineLevel="0" collapsed="false">
      <c r="A8705" s="0" t="n">
        <v>8704</v>
      </c>
      <c r="B8705" s="18" t="n">
        <v>789520.013987921</v>
      </c>
      <c r="C8705" s="18" t="n">
        <v>0</v>
      </c>
      <c r="D8705" s="0" t="n">
        <v>0</v>
      </c>
      <c r="E8705" s="19" t="n">
        <v>49.3333333333333</v>
      </c>
    </row>
    <row r="8706" customFormat="false" ht="15" hidden="false" customHeight="false" outlineLevel="0" collapsed="false">
      <c r="A8706" s="0" t="n">
        <v>8705</v>
      </c>
      <c r="B8706" s="18" t="n">
        <v>1178877.17947245</v>
      </c>
      <c r="C8706" s="18" t="n">
        <v>0</v>
      </c>
      <c r="D8706" s="0" t="n">
        <v>0</v>
      </c>
      <c r="E8706" s="19" t="n">
        <v>40.9166666666667</v>
      </c>
    </row>
    <row r="8707" customFormat="false" ht="15" hidden="false" customHeight="false" outlineLevel="0" collapsed="false">
      <c r="A8707" s="0" t="n">
        <v>8706</v>
      </c>
      <c r="B8707" s="18" t="n">
        <v>620157.389029027</v>
      </c>
      <c r="C8707" s="18" t="n">
        <v>0</v>
      </c>
      <c r="D8707" s="0" t="n">
        <v>0</v>
      </c>
      <c r="E8707" s="19" t="n">
        <v>46.3333333333333</v>
      </c>
    </row>
    <row r="8708" customFormat="false" ht="15" hidden="false" customHeight="false" outlineLevel="0" collapsed="false">
      <c r="A8708" s="0" t="n">
        <v>8707</v>
      </c>
      <c r="B8708" s="18" t="n">
        <v>1326108.95226764</v>
      </c>
      <c r="C8708" s="18" t="n">
        <v>6094570.98479594</v>
      </c>
      <c r="D8708" s="0" t="n">
        <v>1</v>
      </c>
    </row>
    <row r="8709" customFormat="false" ht="15" hidden="false" customHeight="false" outlineLevel="0" collapsed="false">
      <c r="A8709" s="0" t="n">
        <v>8708</v>
      </c>
      <c r="B8709" s="18" t="n">
        <v>1013819.86902053</v>
      </c>
      <c r="C8709" s="18" t="n">
        <v>4074826.65410047</v>
      </c>
      <c r="D8709" s="0" t="n">
        <v>1</v>
      </c>
    </row>
    <row r="8710" customFormat="false" ht="15" hidden="false" customHeight="false" outlineLevel="0" collapsed="false">
      <c r="A8710" s="0" t="n">
        <v>8709</v>
      </c>
      <c r="B8710" s="18" t="n">
        <v>1234668.34229292</v>
      </c>
      <c r="C8710" s="18" t="n">
        <v>327019.303243211</v>
      </c>
      <c r="D8710" s="0" t="n">
        <v>1</v>
      </c>
    </row>
    <row r="8711" customFormat="false" ht="15" hidden="false" customHeight="false" outlineLevel="0" collapsed="false">
      <c r="A8711" s="0" t="n">
        <v>8710</v>
      </c>
      <c r="B8711" s="18" t="n">
        <v>556066.531465448</v>
      </c>
      <c r="C8711" s="18" t="n">
        <v>0</v>
      </c>
      <c r="D8711" s="0" t="n">
        <v>0</v>
      </c>
      <c r="E8711" s="19" t="n">
        <v>35.6666666666667</v>
      </c>
    </row>
    <row r="8712" customFormat="false" ht="15" hidden="false" customHeight="false" outlineLevel="0" collapsed="false">
      <c r="A8712" s="0" t="n">
        <v>8711</v>
      </c>
      <c r="B8712" s="18" t="n">
        <v>717861.810938629</v>
      </c>
      <c r="C8712" s="18" t="n">
        <v>0</v>
      </c>
      <c r="D8712" s="0" t="n">
        <v>0</v>
      </c>
      <c r="E8712" s="19" t="n">
        <v>36.6666666666667</v>
      </c>
    </row>
    <row r="8713" customFormat="false" ht="15" hidden="false" customHeight="false" outlineLevel="0" collapsed="false">
      <c r="A8713" s="0" t="n">
        <v>8712</v>
      </c>
      <c r="B8713" s="18" t="n">
        <v>453815.835060288</v>
      </c>
      <c r="C8713" s="18" t="n">
        <v>0</v>
      </c>
      <c r="D8713" s="0" t="n">
        <v>0</v>
      </c>
      <c r="E8713" s="19" t="n">
        <v>32.0833333333333</v>
      </c>
    </row>
    <row r="8714" customFormat="false" ht="15" hidden="false" customHeight="false" outlineLevel="0" collapsed="false">
      <c r="A8714" s="0" t="n">
        <v>8713</v>
      </c>
      <c r="B8714" s="18" t="n">
        <v>571814.256441559</v>
      </c>
      <c r="C8714" s="18" t="n">
        <v>0</v>
      </c>
      <c r="D8714" s="0" t="n">
        <v>0</v>
      </c>
      <c r="E8714" s="19" t="n">
        <v>35.3333333333333</v>
      </c>
    </row>
    <row r="8715" customFormat="false" ht="15" hidden="false" customHeight="false" outlineLevel="0" collapsed="false">
      <c r="A8715" s="0" t="n">
        <v>8714</v>
      </c>
      <c r="B8715" s="18" t="n">
        <v>521071.87261236</v>
      </c>
      <c r="C8715" s="18" t="n">
        <v>0</v>
      </c>
      <c r="D8715" s="0" t="n">
        <v>0</v>
      </c>
      <c r="E8715" s="19" t="n">
        <v>41.4166666666667</v>
      </c>
    </row>
    <row r="8716" customFormat="false" ht="15" hidden="false" customHeight="false" outlineLevel="0" collapsed="false">
      <c r="A8716" s="0" t="n">
        <v>8715</v>
      </c>
      <c r="B8716" s="18" t="n">
        <v>1179719.5375163</v>
      </c>
      <c r="C8716" s="18" t="n">
        <v>634343.419408909</v>
      </c>
      <c r="D8716" s="0" t="n">
        <v>1</v>
      </c>
    </row>
    <row r="8717" customFormat="false" ht="15" hidden="false" customHeight="false" outlineLevel="0" collapsed="false">
      <c r="A8717" s="0" t="n">
        <v>8716</v>
      </c>
      <c r="B8717" s="18" t="n">
        <v>1186738.43505103</v>
      </c>
      <c r="C8717" s="18" t="n">
        <v>0</v>
      </c>
      <c r="D8717" s="0" t="n">
        <v>0</v>
      </c>
      <c r="E8717" s="19" t="n">
        <v>41.25</v>
      </c>
    </row>
    <row r="8718" customFormat="false" ht="15" hidden="false" customHeight="false" outlineLevel="0" collapsed="false">
      <c r="A8718" s="0" t="n">
        <v>8717</v>
      </c>
      <c r="B8718" s="18" t="n">
        <v>742286.867176683</v>
      </c>
      <c r="C8718" s="18" t="n">
        <v>0</v>
      </c>
      <c r="D8718" s="0" t="n">
        <v>0</v>
      </c>
      <c r="E8718" s="19" t="n">
        <v>50.25</v>
      </c>
    </row>
    <row r="8719" customFormat="false" ht="15" hidden="false" customHeight="false" outlineLevel="0" collapsed="false">
      <c r="A8719" s="0" t="n">
        <v>8718</v>
      </c>
      <c r="B8719" s="18" t="n">
        <v>1360368.69225957</v>
      </c>
      <c r="C8719" s="18" t="n">
        <v>2163481.61296483</v>
      </c>
      <c r="D8719" s="0" t="n">
        <v>1</v>
      </c>
    </row>
    <row r="8720" customFormat="false" ht="15" hidden="false" customHeight="false" outlineLevel="0" collapsed="false">
      <c r="A8720" s="0" t="n">
        <v>8719</v>
      </c>
      <c r="B8720" s="18" t="n">
        <v>1022467.65911709</v>
      </c>
      <c r="C8720" s="18" t="n">
        <v>0</v>
      </c>
      <c r="D8720" s="0" t="n">
        <v>0</v>
      </c>
      <c r="E8720" s="19" t="n">
        <v>41.1666666666667</v>
      </c>
    </row>
    <row r="8721" customFormat="false" ht="15" hidden="false" customHeight="false" outlineLevel="0" collapsed="false">
      <c r="A8721" s="0" t="n">
        <v>8720</v>
      </c>
      <c r="B8721" s="18" t="n">
        <v>787864.63265395</v>
      </c>
      <c r="C8721" s="18" t="n">
        <v>0</v>
      </c>
      <c r="D8721" s="0" t="n">
        <v>0</v>
      </c>
      <c r="E8721" s="19" t="n">
        <v>47.0833333333333</v>
      </c>
    </row>
    <row r="8722" customFormat="false" ht="15" hidden="false" customHeight="false" outlineLevel="0" collapsed="false">
      <c r="A8722" s="0" t="n">
        <v>8721</v>
      </c>
      <c r="B8722" s="18" t="n">
        <v>2683557.58126819</v>
      </c>
      <c r="C8722" s="18" t="n">
        <v>0</v>
      </c>
      <c r="D8722" s="0" t="n">
        <v>0</v>
      </c>
      <c r="E8722" s="19" t="n">
        <v>45.3333333333333</v>
      </c>
    </row>
    <row r="8723" customFormat="false" ht="15" hidden="false" customHeight="false" outlineLevel="0" collapsed="false">
      <c r="A8723" s="0" t="n">
        <v>8722</v>
      </c>
      <c r="B8723" s="18" t="n">
        <v>666729.453676325</v>
      </c>
      <c r="C8723" s="18" t="n">
        <v>0</v>
      </c>
      <c r="D8723" s="0" t="n">
        <v>0</v>
      </c>
      <c r="E8723" s="19" t="n">
        <v>39.75</v>
      </c>
    </row>
    <row r="8724" customFormat="false" ht="15" hidden="false" customHeight="false" outlineLevel="0" collapsed="false">
      <c r="A8724" s="0" t="n">
        <v>8723</v>
      </c>
      <c r="B8724" s="18" t="n">
        <v>744525.352815292</v>
      </c>
      <c r="C8724" s="18" t="n">
        <v>0</v>
      </c>
      <c r="D8724" s="0" t="n">
        <v>0</v>
      </c>
      <c r="E8724" s="19" t="n">
        <v>38.6666666666667</v>
      </c>
    </row>
    <row r="8725" customFormat="false" ht="15" hidden="false" customHeight="false" outlineLevel="0" collapsed="false">
      <c r="A8725" s="0" t="n">
        <v>8724</v>
      </c>
      <c r="B8725" s="18" t="n">
        <v>678325.278307285</v>
      </c>
      <c r="C8725" s="18" t="n">
        <v>0</v>
      </c>
      <c r="D8725" s="0" t="n">
        <v>0</v>
      </c>
      <c r="E8725" s="19" t="n">
        <v>35.3333333333333</v>
      </c>
    </row>
    <row r="8726" customFormat="false" ht="15" hidden="false" customHeight="false" outlineLevel="0" collapsed="false">
      <c r="A8726" s="0" t="n">
        <v>8725</v>
      </c>
      <c r="B8726" s="18" t="n">
        <v>707301.286122078</v>
      </c>
      <c r="C8726" s="18" t="n">
        <v>0</v>
      </c>
      <c r="D8726" s="0" t="n">
        <v>0</v>
      </c>
      <c r="E8726" s="19" t="n">
        <v>47.9166666666667</v>
      </c>
    </row>
    <row r="8727" customFormat="false" ht="15" hidden="false" customHeight="false" outlineLevel="0" collapsed="false">
      <c r="A8727" s="0" t="n">
        <v>8726</v>
      </c>
      <c r="B8727" s="18" t="n">
        <v>1110799.58113259</v>
      </c>
      <c r="C8727" s="18" t="n">
        <v>0</v>
      </c>
      <c r="D8727" s="0" t="n">
        <v>0</v>
      </c>
      <c r="E8727" s="19" t="n">
        <v>53.3333333333333</v>
      </c>
    </row>
    <row r="8728" customFormat="false" ht="15" hidden="false" customHeight="false" outlineLevel="0" collapsed="false">
      <c r="A8728" s="0" t="n">
        <v>8727</v>
      </c>
      <c r="B8728" s="18" t="n">
        <v>446349.994315433</v>
      </c>
      <c r="C8728" s="18" t="n">
        <v>0</v>
      </c>
      <c r="D8728" s="0" t="n">
        <v>0</v>
      </c>
      <c r="E8728" s="19" t="n">
        <v>32.3333333333333</v>
      </c>
    </row>
    <row r="8729" customFormat="false" ht="15" hidden="false" customHeight="false" outlineLevel="0" collapsed="false">
      <c r="A8729" s="0" t="n">
        <v>8728</v>
      </c>
      <c r="B8729" s="18" t="n">
        <v>480000.356563834</v>
      </c>
      <c r="C8729" s="18" t="n">
        <v>0</v>
      </c>
      <c r="D8729" s="0" t="n">
        <v>0</v>
      </c>
      <c r="E8729" s="19" t="n">
        <v>35.8333333333333</v>
      </c>
    </row>
    <row r="8730" customFormat="false" ht="15" hidden="false" customHeight="false" outlineLevel="0" collapsed="false">
      <c r="A8730" s="0" t="n">
        <v>8729</v>
      </c>
      <c r="B8730" s="18" t="n">
        <v>1606789.95061854</v>
      </c>
      <c r="C8730" s="18" t="n">
        <v>6131418.794048</v>
      </c>
      <c r="D8730" s="0" t="n">
        <v>1</v>
      </c>
    </row>
    <row r="8731" customFormat="false" ht="15" hidden="false" customHeight="false" outlineLevel="0" collapsed="false">
      <c r="A8731" s="0" t="n">
        <v>8730</v>
      </c>
      <c r="B8731" s="18" t="n">
        <v>952065.160963066</v>
      </c>
      <c r="C8731" s="18" t="n">
        <v>2936106.52631228</v>
      </c>
      <c r="D8731" s="0" t="n">
        <v>1</v>
      </c>
    </row>
    <row r="8732" customFormat="false" ht="15" hidden="false" customHeight="false" outlineLevel="0" collapsed="false">
      <c r="A8732" s="0" t="n">
        <v>8731</v>
      </c>
      <c r="B8732" s="18" t="n">
        <v>330390.638678817</v>
      </c>
      <c r="C8732" s="18" t="n">
        <v>0</v>
      </c>
      <c r="D8732" s="0" t="n">
        <v>0</v>
      </c>
      <c r="E8732" s="19" t="n">
        <v>31</v>
      </c>
    </row>
    <row r="8733" customFormat="false" ht="15" hidden="false" customHeight="false" outlineLevel="0" collapsed="false">
      <c r="A8733" s="0" t="n">
        <v>8732</v>
      </c>
      <c r="B8733" s="18" t="n">
        <v>1192587.24142569</v>
      </c>
      <c r="C8733" s="18" t="n">
        <v>1344159.47331224</v>
      </c>
      <c r="D8733" s="0" t="n">
        <v>1</v>
      </c>
    </row>
    <row r="8734" customFormat="false" ht="15" hidden="false" customHeight="false" outlineLevel="0" collapsed="false">
      <c r="A8734" s="0" t="n">
        <v>8733</v>
      </c>
      <c r="B8734" s="18" t="n">
        <v>1489668.74652724</v>
      </c>
      <c r="C8734" s="18" t="n">
        <v>2008363.84112433</v>
      </c>
      <c r="D8734" s="0" t="n">
        <v>1</v>
      </c>
    </row>
    <row r="8735" customFormat="false" ht="15" hidden="false" customHeight="false" outlineLevel="0" collapsed="false">
      <c r="A8735" s="0" t="n">
        <v>8734</v>
      </c>
      <c r="B8735" s="18" t="n">
        <v>773929.111309412</v>
      </c>
      <c r="C8735" s="18" t="n">
        <v>0</v>
      </c>
      <c r="D8735" s="0" t="n">
        <v>0</v>
      </c>
      <c r="E8735" s="19" t="n">
        <v>36.9166666666667</v>
      </c>
    </row>
    <row r="8736" customFormat="false" ht="15" hidden="false" customHeight="false" outlineLevel="0" collapsed="false">
      <c r="A8736" s="0" t="n">
        <v>8735</v>
      </c>
      <c r="B8736" s="18" t="n">
        <v>384776.728333461</v>
      </c>
      <c r="C8736" s="18" t="n">
        <v>0</v>
      </c>
      <c r="D8736" s="0" t="n">
        <v>0</v>
      </c>
      <c r="E8736" s="19" t="n">
        <v>33.8333333333333</v>
      </c>
    </row>
    <row r="8737" customFormat="false" ht="15" hidden="false" customHeight="false" outlineLevel="0" collapsed="false">
      <c r="A8737" s="0" t="n">
        <v>8736</v>
      </c>
      <c r="B8737" s="18" t="n">
        <v>1175487.03226941</v>
      </c>
      <c r="C8737" s="18" t="n">
        <v>0</v>
      </c>
      <c r="D8737" s="0" t="n">
        <v>0</v>
      </c>
      <c r="E8737" s="19" t="n">
        <v>54.3333333333333</v>
      </c>
    </row>
    <row r="8738" customFormat="false" ht="15" hidden="false" customHeight="false" outlineLevel="0" collapsed="false">
      <c r="A8738" s="0" t="n">
        <v>8737</v>
      </c>
      <c r="B8738" s="18" t="n">
        <v>836052.139695312</v>
      </c>
      <c r="C8738" s="18" t="n">
        <v>0</v>
      </c>
      <c r="D8738" s="0" t="n">
        <v>0</v>
      </c>
      <c r="E8738" s="19" t="n">
        <v>41.3333333333333</v>
      </c>
    </row>
    <row r="8739" customFormat="false" ht="15" hidden="false" customHeight="false" outlineLevel="0" collapsed="false">
      <c r="A8739" s="0" t="n">
        <v>8738</v>
      </c>
      <c r="B8739" s="18" t="n">
        <v>2525024.87745676</v>
      </c>
      <c r="C8739" s="18" t="n">
        <v>6497090.78845616</v>
      </c>
      <c r="D8739" s="0" t="n">
        <v>1</v>
      </c>
    </row>
    <row r="8740" customFormat="false" ht="15" hidden="false" customHeight="false" outlineLevel="0" collapsed="false">
      <c r="A8740" s="0" t="n">
        <v>8739</v>
      </c>
      <c r="B8740" s="18" t="n">
        <v>1459163.77352283</v>
      </c>
      <c r="C8740" s="18" t="n">
        <v>9542382.94286729</v>
      </c>
      <c r="D8740" s="0" t="n">
        <v>1</v>
      </c>
    </row>
    <row r="8741" customFormat="false" ht="15" hidden="false" customHeight="false" outlineLevel="0" collapsed="false">
      <c r="A8741" s="0" t="n">
        <v>8740</v>
      </c>
      <c r="B8741" s="18" t="n">
        <v>543091.770861603</v>
      </c>
      <c r="C8741" s="18" t="n">
        <v>0</v>
      </c>
      <c r="D8741" s="0" t="n">
        <v>0</v>
      </c>
      <c r="E8741" s="19" t="n">
        <v>34.0833333333333</v>
      </c>
    </row>
    <row r="8742" customFormat="false" ht="15" hidden="false" customHeight="false" outlineLevel="0" collapsed="false">
      <c r="A8742" s="0" t="n">
        <v>8741</v>
      </c>
      <c r="B8742" s="18" t="n">
        <v>282305.247420515</v>
      </c>
      <c r="C8742" s="18" t="n">
        <v>0</v>
      </c>
      <c r="D8742" s="0" t="n">
        <v>0</v>
      </c>
      <c r="E8742" s="19" t="n">
        <v>29.75</v>
      </c>
    </row>
    <row r="8743" customFormat="false" ht="15" hidden="false" customHeight="false" outlineLevel="0" collapsed="false">
      <c r="A8743" s="0" t="n">
        <v>8742</v>
      </c>
      <c r="B8743" s="18" t="n">
        <v>1742008.01394245</v>
      </c>
      <c r="C8743" s="18" t="n">
        <v>14760597.8801889</v>
      </c>
      <c r="D8743" s="0" t="n">
        <v>1</v>
      </c>
    </row>
    <row r="8744" customFormat="false" ht="15" hidden="false" customHeight="false" outlineLevel="0" collapsed="false">
      <c r="A8744" s="0" t="n">
        <v>8743</v>
      </c>
      <c r="B8744" s="18" t="n">
        <v>539306.362769479</v>
      </c>
      <c r="C8744" s="18" t="n">
        <v>0</v>
      </c>
      <c r="D8744" s="0" t="n">
        <v>0</v>
      </c>
      <c r="E8744" s="19" t="n">
        <v>35.1666666666667</v>
      </c>
    </row>
    <row r="8745" customFormat="false" ht="15" hidden="false" customHeight="false" outlineLevel="0" collapsed="false">
      <c r="A8745" s="0" t="n">
        <v>8744</v>
      </c>
      <c r="B8745" s="18" t="n">
        <v>2529513.33155463</v>
      </c>
      <c r="C8745" s="18" t="n">
        <v>4225833.06793237</v>
      </c>
      <c r="D8745" s="0" t="n">
        <v>1</v>
      </c>
    </row>
    <row r="8746" customFormat="false" ht="15" hidden="false" customHeight="false" outlineLevel="0" collapsed="false">
      <c r="A8746" s="0" t="n">
        <v>8745</v>
      </c>
      <c r="B8746" s="18" t="n">
        <v>1364040.87575866</v>
      </c>
      <c r="C8746" s="18" t="n">
        <v>0</v>
      </c>
      <c r="D8746" s="0" t="n">
        <v>0</v>
      </c>
      <c r="E8746" s="19" t="n">
        <v>47.6666666666667</v>
      </c>
    </row>
    <row r="8747" customFormat="false" ht="15" hidden="false" customHeight="false" outlineLevel="0" collapsed="false">
      <c r="A8747" s="0" t="n">
        <v>8746</v>
      </c>
      <c r="B8747" s="18" t="n">
        <v>1075058.62399589</v>
      </c>
      <c r="C8747" s="18" t="n">
        <v>0</v>
      </c>
      <c r="D8747" s="0" t="n">
        <v>0</v>
      </c>
      <c r="E8747" s="19" t="n">
        <v>49</v>
      </c>
    </row>
    <row r="8748" customFormat="false" ht="15" hidden="false" customHeight="false" outlineLevel="0" collapsed="false">
      <c r="A8748" s="0" t="n">
        <v>8747</v>
      </c>
      <c r="B8748" s="18" t="n">
        <v>599159.439907894</v>
      </c>
      <c r="C8748" s="18" t="n">
        <v>0</v>
      </c>
      <c r="D8748" s="0" t="n">
        <v>0</v>
      </c>
      <c r="E8748" s="19" t="n">
        <v>37.25</v>
      </c>
    </row>
    <row r="8749" customFormat="false" ht="15" hidden="false" customHeight="false" outlineLevel="0" collapsed="false">
      <c r="A8749" s="0" t="n">
        <v>8748</v>
      </c>
      <c r="B8749" s="18" t="n">
        <v>1348884.30395733</v>
      </c>
      <c r="C8749" s="18" t="n">
        <v>1007361.95070659</v>
      </c>
      <c r="D8749" s="0" t="n">
        <v>1</v>
      </c>
    </row>
    <row r="8750" customFormat="false" ht="15" hidden="false" customHeight="false" outlineLevel="0" collapsed="false">
      <c r="A8750" s="0" t="n">
        <v>8749</v>
      </c>
      <c r="B8750" s="18" t="n">
        <v>2535815.04114127</v>
      </c>
      <c r="C8750" s="18" t="n">
        <v>13162289.0743762</v>
      </c>
      <c r="D8750" s="0" t="n">
        <v>1</v>
      </c>
    </row>
    <row r="8751" customFormat="false" ht="15" hidden="false" customHeight="false" outlineLevel="0" collapsed="false">
      <c r="A8751" s="0" t="n">
        <v>8750</v>
      </c>
      <c r="B8751" s="18" t="n">
        <v>881514.291669691</v>
      </c>
      <c r="C8751" s="18" t="n">
        <v>0</v>
      </c>
      <c r="D8751" s="0" t="n">
        <v>0</v>
      </c>
      <c r="E8751" s="19" t="n">
        <v>38.5</v>
      </c>
    </row>
    <row r="8752" customFormat="false" ht="15" hidden="false" customHeight="false" outlineLevel="0" collapsed="false">
      <c r="A8752" s="0" t="n">
        <v>8751</v>
      </c>
      <c r="B8752" s="18" t="n">
        <v>1496505.95068338</v>
      </c>
      <c r="C8752" s="18" t="n">
        <v>0</v>
      </c>
      <c r="D8752" s="0" t="n">
        <v>0</v>
      </c>
      <c r="E8752" s="19" t="n">
        <v>39.5833333333333</v>
      </c>
    </row>
    <row r="8753" customFormat="false" ht="15" hidden="false" customHeight="false" outlineLevel="0" collapsed="false">
      <c r="A8753" s="0" t="n">
        <v>8752</v>
      </c>
      <c r="B8753" s="18" t="n">
        <v>1629429.39235364</v>
      </c>
      <c r="C8753" s="18" t="n">
        <v>6470450.15364267</v>
      </c>
      <c r="D8753" s="0" t="n">
        <v>1</v>
      </c>
    </row>
    <row r="8754" customFormat="false" ht="15" hidden="false" customHeight="false" outlineLevel="0" collapsed="false">
      <c r="A8754" s="0" t="n">
        <v>8753</v>
      </c>
      <c r="B8754" s="18" t="n">
        <v>482152.666869054</v>
      </c>
      <c r="C8754" s="18" t="n">
        <v>0</v>
      </c>
      <c r="D8754" s="0" t="n">
        <v>0</v>
      </c>
      <c r="E8754" s="19" t="n">
        <v>32</v>
      </c>
    </row>
    <row r="8755" customFormat="false" ht="15" hidden="false" customHeight="false" outlineLevel="0" collapsed="false">
      <c r="A8755" s="0" t="n">
        <v>8754</v>
      </c>
      <c r="B8755" s="18" t="n">
        <v>1436436.11704743</v>
      </c>
      <c r="C8755" s="18" t="n">
        <v>0</v>
      </c>
      <c r="D8755" s="0" t="n">
        <v>0</v>
      </c>
      <c r="E8755" s="19" t="n">
        <v>44.4166666666667</v>
      </c>
    </row>
    <row r="8756" customFormat="false" ht="15" hidden="false" customHeight="false" outlineLevel="0" collapsed="false">
      <c r="A8756" s="0" t="n">
        <v>8755</v>
      </c>
      <c r="B8756" s="18" t="n">
        <v>803817.877613089</v>
      </c>
      <c r="C8756" s="18" t="n">
        <v>0</v>
      </c>
      <c r="D8756" s="0" t="n">
        <v>0</v>
      </c>
      <c r="E8756" s="19" t="n">
        <v>36.3333333333333</v>
      </c>
    </row>
    <row r="8757" customFormat="false" ht="15" hidden="false" customHeight="false" outlineLevel="0" collapsed="false">
      <c r="A8757" s="0" t="n">
        <v>8756</v>
      </c>
      <c r="B8757" s="18" t="n">
        <v>614553.495940807</v>
      </c>
      <c r="C8757" s="18" t="n">
        <v>0</v>
      </c>
      <c r="D8757" s="0" t="n">
        <v>0</v>
      </c>
      <c r="E8757" s="19" t="n">
        <v>33.8333333333333</v>
      </c>
    </row>
    <row r="8758" customFormat="false" ht="15" hidden="false" customHeight="false" outlineLevel="0" collapsed="false">
      <c r="A8758" s="0" t="n">
        <v>8757</v>
      </c>
      <c r="B8758" s="18" t="n">
        <v>802943.604377787</v>
      </c>
      <c r="C8758" s="18" t="n">
        <v>7806876.13790403</v>
      </c>
      <c r="D8758" s="0" t="n">
        <v>1</v>
      </c>
    </row>
    <row r="8759" customFormat="false" ht="15" hidden="false" customHeight="false" outlineLevel="0" collapsed="false">
      <c r="A8759" s="0" t="n">
        <v>8758</v>
      </c>
      <c r="B8759" s="18" t="n">
        <v>1192621.39489327</v>
      </c>
      <c r="C8759" s="18" t="n">
        <v>0</v>
      </c>
      <c r="D8759" s="0" t="n">
        <v>0</v>
      </c>
      <c r="E8759" s="19" t="n">
        <v>53.9166666666667</v>
      </c>
    </row>
    <row r="8760" customFormat="false" ht="15" hidden="false" customHeight="false" outlineLevel="0" collapsed="false">
      <c r="A8760" s="0" t="n">
        <v>8759</v>
      </c>
      <c r="B8760" s="18" t="n">
        <v>1390637.52518804</v>
      </c>
      <c r="C8760" s="18" t="n">
        <v>139460.641011411</v>
      </c>
      <c r="D8760" s="0" t="n">
        <v>1</v>
      </c>
    </row>
    <row r="8761" customFormat="false" ht="15" hidden="false" customHeight="false" outlineLevel="0" collapsed="false">
      <c r="A8761" s="0" t="n">
        <v>8760</v>
      </c>
      <c r="B8761" s="18" t="n">
        <v>1216387.59555353</v>
      </c>
      <c r="C8761" s="18" t="n">
        <v>3522698.07095858</v>
      </c>
      <c r="D8761" s="0" t="n">
        <v>1</v>
      </c>
    </row>
    <row r="8762" customFormat="false" ht="15" hidden="false" customHeight="false" outlineLevel="0" collapsed="false">
      <c r="A8762" s="0" t="n">
        <v>8761</v>
      </c>
      <c r="B8762" s="18" t="n">
        <v>502587.99047242</v>
      </c>
      <c r="C8762" s="18" t="n">
        <v>0</v>
      </c>
      <c r="D8762" s="0" t="n">
        <v>0</v>
      </c>
      <c r="E8762" s="19" t="n">
        <v>31.75</v>
      </c>
    </row>
    <row r="8763" customFormat="false" ht="15" hidden="false" customHeight="false" outlineLevel="0" collapsed="false">
      <c r="A8763" s="0" t="n">
        <v>8762</v>
      </c>
      <c r="B8763" s="18" t="n">
        <v>1565665.57486281</v>
      </c>
      <c r="C8763" s="18" t="n">
        <v>19771056.5271323</v>
      </c>
      <c r="D8763" s="0" t="n">
        <v>1</v>
      </c>
    </row>
    <row r="8764" customFormat="false" ht="15" hidden="false" customHeight="false" outlineLevel="0" collapsed="false">
      <c r="A8764" s="0" t="n">
        <v>8763</v>
      </c>
      <c r="B8764" s="18" t="n">
        <v>481750.560996713</v>
      </c>
      <c r="C8764" s="18" t="n">
        <v>0</v>
      </c>
      <c r="D8764" s="0" t="n">
        <v>0</v>
      </c>
      <c r="E8764" s="19" t="n">
        <v>34</v>
      </c>
    </row>
    <row r="8765" customFormat="false" ht="15" hidden="false" customHeight="false" outlineLevel="0" collapsed="false">
      <c r="A8765" s="0" t="n">
        <v>8764</v>
      </c>
      <c r="B8765" s="18" t="n">
        <v>520107.177354808</v>
      </c>
      <c r="C8765" s="18" t="n">
        <v>0</v>
      </c>
      <c r="D8765" s="0" t="n">
        <v>0</v>
      </c>
      <c r="E8765" s="19" t="n">
        <v>38.0833333333333</v>
      </c>
    </row>
    <row r="8766" customFormat="false" ht="15" hidden="false" customHeight="false" outlineLevel="0" collapsed="false">
      <c r="A8766" s="0" t="n">
        <v>8765</v>
      </c>
      <c r="B8766" s="18" t="n">
        <v>694715.686057949</v>
      </c>
      <c r="C8766" s="18" t="n">
        <v>0</v>
      </c>
      <c r="D8766" s="0" t="n">
        <v>0</v>
      </c>
      <c r="E8766" s="19" t="n">
        <v>43.3333333333333</v>
      </c>
    </row>
    <row r="8767" customFormat="false" ht="15" hidden="false" customHeight="false" outlineLevel="0" collapsed="false">
      <c r="A8767" s="0" t="n">
        <v>8766</v>
      </c>
      <c r="B8767" s="18" t="n">
        <v>368142.551157715</v>
      </c>
      <c r="C8767" s="18" t="n">
        <v>0</v>
      </c>
      <c r="D8767" s="0" t="n">
        <v>0</v>
      </c>
      <c r="E8767" s="19" t="n">
        <v>37.8333333333333</v>
      </c>
    </row>
    <row r="8768" customFormat="false" ht="15" hidden="false" customHeight="false" outlineLevel="0" collapsed="false">
      <c r="A8768" s="0" t="n">
        <v>8767</v>
      </c>
      <c r="B8768" s="18" t="n">
        <v>538882.437300138</v>
      </c>
      <c r="C8768" s="18" t="n">
        <v>0</v>
      </c>
      <c r="D8768" s="0" t="n">
        <v>0</v>
      </c>
      <c r="E8768" s="19" t="n">
        <v>35.1666666666667</v>
      </c>
    </row>
    <row r="8769" customFormat="false" ht="15" hidden="false" customHeight="false" outlineLevel="0" collapsed="false">
      <c r="A8769" s="0" t="n">
        <v>8768</v>
      </c>
      <c r="B8769" s="18" t="n">
        <v>733284.157645537</v>
      </c>
      <c r="C8769" s="18" t="n">
        <v>0</v>
      </c>
      <c r="D8769" s="0" t="n">
        <v>0</v>
      </c>
      <c r="E8769" s="19" t="n">
        <v>51.4166666666667</v>
      </c>
    </row>
    <row r="8770" customFormat="false" ht="15" hidden="false" customHeight="false" outlineLevel="0" collapsed="false">
      <c r="A8770" s="0" t="n">
        <v>8769</v>
      </c>
      <c r="B8770" s="18" t="n">
        <v>1588212.51140171</v>
      </c>
      <c r="C8770" s="18" t="n">
        <v>2509252.53299932</v>
      </c>
      <c r="D8770" s="0" t="n">
        <v>1</v>
      </c>
    </row>
    <row r="8771" customFormat="false" ht="15" hidden="false" customHeight="false" outlineLevel="0" collapsed="false">
      <c r="A8771" s="0" t="n">
        <v>8770</v>
      </c>
      <c r="B8771" s="18" t="n">
        <v>1167974.52557382</v>
      </c>
      <c r="C8771" s="18" t="n">
        <v>5635968.16214697</v>
      </c>
      <c r="D8771" s="0" t="n">
        <v>1</v>
      </c>
    </row>
    <row r="8772" customFormat="false" ht="15" hidden="false" customHeight="false" outlineLevel="0" collapsed="false">
      <c r="A8772" s="0" t="n">
        <v>8771</v>
      </c>
      <c r="B8772" s="18" t="n">
        <v>472574.285913473</v>
      </c>
      <c r="C8772" s="18" t="n">
        <v>0</v>
      </c>
      <c r="D8772" s="0" t="n">
        <v>0</v>
      </c>
      <c r="E8772" s="19" t="n">
        <v>36.1666666666667</v>
      </c>
    </row>
    <row r="8773" customFormat="false" ht="15" hidden="false" customHeight="false" outlineLevel="0" collapsed="false">
      <c r="A8773" s="0" t="n">
        <v>8772</v>
      </c>
      <c r="B8773" s="18" t="n">
        <v>501028.693464628</v>
      </c>
      <c r="C8773" s="18" t="n">
        <v>0</v>
      </c>
      <c r="D8773" s="0" t="n">
        <v>0</v>
      </c>
      <c r="E8773" s="19" t="n">
        <v>40.75</v>
      </c>
    </row>
    <row r="8774" customFormat="false" ht="15" hidden="false" customHeight="false" outlineLevel="0" collapsed="false">
      <c r="A8774" s="0" t="n">
        <v>8773</v>
      </c>
      <c r="B8774" s="18" t="n">
        <v>1983292.44575395</v>
      </c>
      <c r="C8774" s="18" t="n">
        <v>0</v>
      </c>
      <c r="D8774" s="0" t="n">
        <v>0</v>
      </c>
      <c r="E8774" s="19" t="n">
        <v>49.6666666666667</v>
      </c>
    </row>
    <row r="8775" customFormat="false" ht="15" hidden="false" customHeight="false" outlineLevel="0" collapsed="false">
      <c r="A8775" s="0" t="n">
        <v>8774</v>
      </c>
      <c r="B8775" s="18" t="n">
        <v>2093548.59988334</v>
      </c>
      <c r="C8775" s="18" t="n">
        <v>294721.939261378</v>
      </c>
      <c r="D8775" s="0" t="n">
        <v>1</v>
      </c>
    </row>
    <row r="8776" customFormat="false" ht="15" hidden="false" customHeight="false" outlineLevel="0" collapsed="false">
      <c r="A8776" s="0" t="n">
        <v>8775</v>
      </c>
      <c r="B8776" s="18" t="n">
        <v>279001.279985893</v>
      </c>
      <c r="C8776" s="18" t="n">
        <v>0</v>
      </c>
      <c r="D8776" s="0" t="n">
        <v>0</v>
      </c>
      <c r="E8776" s="19" t="n">
        <v>31.25</v>
      </c>
    </row>
    <row r="8777" customFormat="false" ht="15" hidden="false" customHeight="false" outlineLevel="0" collapsed="false">
      <c r="A8777" s="0" t="n">
        <v>8776</v>
      </c>
      <c r="B8777" s="18" t="n">
        <v>675016.091469277</v>
      </c>
      <c r="C8777" s="18" t="n">
        <v>0</v>
      </c>
      <c r="D8777" s="0" t="n">
        <v>0</v>
      </c>
      <c r="E8777" s="19" t="n">
        <v>43.5833333333333</v>
      </c>
    </row>
    <row r="8778" customFormat="false" ht="15" hidden="false" customHeight="false" outlineLevel="0" collapsed="false">
      <c r="A8778" s="0" t="n">
        <v>8777</v>
      </c>
      <c r="B8778" s="18" t="n">
        <v>1643515.21002059</v>
      </c>
      <c r="C8778" s="18" t="n">
        <v>6836400.40281508</v>
      </c>
      <c r="D8778" s="0" t="n">
        <v>1</v>
      </c>
    </row>
    <row r="8779" customFormat="false" ht="15" hidden="false" customHeight="false" outlineLevel="0" collapsed="false">
      <c r="A8779" s="0" t="n">
        <v>8778</v>
      </c>
      <c r="B8779" s="18" t="n">
        <v>863579.767374818</v>
      </c>
      <c r="C8779" s="18" t="n">
        <v>0</v>
      </c>
      <c r="D8779" s="0" t="n">
        <v>0</v>
      </c>
      <c r="E8779" s="19" t="n">
        <v>37.1666666666667</v>
      </c>
    </row>
    <row r="8780" customFormat="false" ht="15" hidden="false" customHeight="false" outlineLevel="0" collapsed="false">
      <c r="A8780" s="0" t="n">
        <v>8779</v>
      </c>
      <c r="B8780" s="18" t="n">
        <v>909860.615527503</v>
      </c>
      <c r="C8780" s="18" t="n">
        <v>0</v>
      </c>
      <c r="D8780" s="0" t="n">
        <v>0</v>
      </c>
      <c r="E8780" s="19" t="n">
        <v>39.9166666666667</v>
      </c>
    </row>
    <row r="8781" customFormat="false" ht="15" hidden="false" customHeight="false" outlineLevel="0" collapsed="false">
      <c r="A8781" s="0" t="n">
        <v>8780</v>
      </c>
      <c r="B8781" s="18" t="n">
        <v>1245474.8151524</v>
      </c>
      <c r="C8781" s="18" t="n">
        <v>4370345.09189514</v>
      </c>
      <c r="D8781" s="0" t="n">
        <v>1</v>
      </c>
    </row>
    <row r="8782" customFormat="false" ht="15" hidden="false" customHeight="false" outlineLevel="0" collapsed="false">
      <c r="A8782" s="0" t="n">
        <v>8781</v>
      </c>
      <c r="B8782" s="18" t="n">
        <v>624301.46338636</v>
      </c>
      <c r="C8782" s="18" t="n">
        <v>0</v>
      </c>
      <c r="D8782" s="0" t="n">
        <v>0</v>
      </c>
      <c r="E8782" s="19" t="n">
        <v>34.5</v>
      </c>
    </row>
    <row r="8783" customFormat="false" ht="15" hidden="false" customHeight="false" outlineLevel="0" collapsed="false">
      <c r="A8783" s="0" t="n">
        <v>8782</v>
      </c>
      <c r="B8783" s="18" t="n">
        <v>763643.436152939</v>
      </c>
      <c r="C8783" s="18" t="n">
        <v>0</v>
      </c>
      <c r="D8783" s="0" t="n">
        <v>0</v>
      </c>
      <c r="E8783" s="19" t="n">
        <v>39.9166666666667</v>
      </c>
    </row>
    <row r="8784" customFormat="false" ht="15" hidden="false" customHeight="false" outlineLevel="0" collapsed="false">
      <c r="A8784" s="0" t="n">
        <v>8783</v>
      </c>
      <c r="B8784" s="18" t="n">
        <v>567891.216523601</v>
      </c>
      <c r="C8784" s="18" t="n">
        <v>0</v>
      </c>
      <c r="D8784" s="0" t="n">
        <v>0</v>
      </c>
      <c r="E8784" s="19" t="n">
        <v>36.9166666666667</v>
      </c>
    </row>
    <row r="8785" customFormat="false" ht="15" hidden="false" customHeight="false" outlineLevel="0" collapsed="false">
      <c r="A8785" s="0" t="n">
        <v>8784</v>
      </c>
      <c r="B8785" s="18" t="n">
        <v>1239126.84459995</v>
      </c>
      <c r="C8785" s="18" t="n">
        <v>189699.110389493</v>
      </c>
      <c r="D8785" s="0" t="n">
        <v>1</v>
      </c>
    </row>
    <row r="8786" customFormat="false" ht="15" hidden="false" customHeight="false" outlineLevel="0" collapsed="false">
      <c r="A8786" s="0" t="n">
        <v>8785</v>
      </c>
      <c r="B8786" s="18" t="n">
        <v>274849.94718677</v>
      </c>
      <c r="C8786" s="18" t="n">
        <v>0</v>
      </c>
      <c r="D8786" s="0" t="n">
        <v>0</v>
      </c>
      <c r="E8786" s="19" t="n">
        <v>30</v>
      </c>
    </row>
    <row r="8787" customFormat="false" ht="15" hidden="false" customHeight="false" outlineLevel="0" collapsed="false">
      <c r="A8787" s="0" t="n">
        <v>8786</v>
      </c>
      <c r="B8787" s="18" t="n">
        <v>2630828.67226158</v>
      </c>
      <c r="C8787" s="18" t="n">
        <v>0</v>
      </c>
      <c r="D8787" s="0" t="n">
        <v>0</v>
      </c>
      <c r="E8787" s="19" t="n">
        <v>51</v>
      </c>
    </row>
    <row r="8788" customFormat="false" ht="15" hidden="false" customHeight="false" outlineLevel="0" collapsed="false">
      <c r="A8788" s="0" t="n">
        <v>8787</v>
      </c>
      <c r="B8788" s="18" t="n">
        <v>1533341.76578304</v>
      </c>
      <c r="C8788" s="18" t="n">
        <v>1870972.73927161</v>
      </c>
      <c r="D8788" s="0" t="n">
        <v>1</v>
      </c>
    </row>
    <row r="8789" customFormat="false" ht="15" hidden="false" customHeight="false" outlineLevel="0" collapsed="false">
      <c r="A8789" s="0" t="n">
        <v>8788</v>
      </c>
      <c r="B8789" s="18" t="n">
        <v>1618438.55343115</v>
      </c>
      <c r="C8789" s="18" t="n">
        <v>6334035.71777402</v>
      </c>
      <c r="D8789" s="0" t="n">
        <v>1</v>
      </c>
    </row>
    <row r="8790" customFormat="false" ht="15" hidden="false" customHeight="false" outlineLevel="0" collapsed="false">
      <c r="A8790" s="0" t="n">
        <v>8789</v>
      </c>
      <c r="B8790" s="18" t="n">
        <v>436333.327818705</v>
      </c>
      <c r="C8790" s="18" t="n">
        <v>0</v>
      </c>
      <c r="D8790" s="0" t="n">
        <v>0</v>
      </c>
      <c r="E8790" s="19" t="n">
        <v>31.4166666666667</v>
      </c>
    </row>
    <row r="8791" customFormat="false" ht="15" hidden="false" customHeight="false" outlineLevel="0" collapsed="false">
      <c r="A8791" s="0" t="n">
        <v>8790</v>
      </c>
      <c r="B8791" s="18" t="n">
        <v>854498.442736656</v>
      </c>
      <c r="C8791" s="18" t="n">
        <v>0</v>
      </c>
      <c r="D8791" s="0" t="n">
        <v>0</v>
      </c>
      <c r="E8791" s="19" t="n">
        <v>43.25</v>
      </c>
    </row>
    <row r="8792" customFormat="false" ht="15" hidden="false" customHeight="false" outlineLevel="0" collapsed="false">
      <c r="A8792" s="0" t="n">
        <v>8791</v>
      </c>
      <c r="B8792" s="18" t="n">
        <v>1564589.79138101</v>
      </c>
      <c r="C8792" s="18" t="n">
        <v>0</v>
      </c>
      <c r="D8792" s="0" t="n">
        <v>0</v>
      </c>
      <c r="E8792" s="19" t="n">
        <v>48.4166666666667</v>
      </c>
    </row>
    <row r="8793" customFormat="false" ht="15" hidden="false" customHeight="false" outlineLevel="0" collapsed="false">
      <c r="A8793" s="0" t="n">
        <v>8792</v>
      </c>
      <c r="B8793" s="18" t="n">
        <v>878614.903365726</v>
      </c>
      <c r="C8793" s="18" t="n">
        <v>0</v>
      </c>
      <c r="D8793" s="0" t="n">
        <v>0</v>
      </c>
      <c r="E8793" s="19" t="n">
        <v>44</v>
      </c>
    </row>
    <row r="8794" customFormat="false" ht="15" hidden="false" customHeight="false" outlineLevel="0" collapsed="false">
      <c r="A8794" s="0" t="n">
        <v>8793</v>
      </c>
      <c r="B8794" s="18" t="n">
        <v>880334.986848296</v>
      </c>
      <c r="C8794" s="18" t="n">
        <v>579603.723438835</v>
      </c>
      <c r="D8794" s="0" t="n">
        <v>1</v>
      </c>
    </row>
    <row r="8795" customFormat="false" ht="15" hidden="false" customHeight="false" outlineLevel="0" collapsed="false">
      <c r="A8795" s="0" t="n">
        <v>8794</v>
      </c>
      <c r="B8795" s="18" t="n">
        <v>1070550.46482002</v>
      </c>
      <c r="C8795" s="18" t="n">
        <v>1105345.37675513</v>
      </c>
      <c r="D8795" s="0" t="n">
        <v>1</v>
      </c>
    </row>
    <row r="8796" customFormat="false" ht="15" hidden="false" customHeight="false" outlineLevel="0" collapsed="false">
      <c r="A8796" s="0" t="n">
        <v>8795</v>
      </c>
      <c r="B8796" s="18" t="n">
        <v>1308821.42106083</v>
      </c>
      <c r="C8796" s="18" t="n">
        <v>839953.274945333</v>
      </c>
      <c r="D8796" s="0" t="n">
        <v>1</v>
      </c>
    </row>
    <row r="8797" customFormat="false" ht="15" hidden="false" customHeight="false" outlineLevel="0" collapsed="false">
      <c r="A8797" s="0" t="n">
        <v>8796</v>
      </c>
      <c r="B8797" s="18" t="n">
        <v>643517.148980139</v>
      </c>
      <c r="C8797" s="18" t="n">
        <v>0</v>
      </c>
      <c r="D8797" s="0" t="n">
        <v>0</v>
      </c>
      <c r="E8797" s="19" t="n">
        <v>33.75</v>
      </c>
    </row>
    <row r="8798" customFormat="false" ht="15" hidden="false" customHeight="false" outlineLevel="0" collapsed="false">
      <c r="A8798" s="0" t="n">
        <v>8797</v>
      </c>
      <c r="B8798" s="18" t="n">
        <v>511981.740832802</v>
      </c>
      <c r="C8798" s="18" t="n">
        <v>0</v>
      </c>
      <c r="D8798" s="0" t="n">
        <v>0</v>
      </c>
      <c r="E8798" s="19" t="n">
        <v>32.6666666666667</v>
      </c>
    </row>
    <row r="8799" customFormat="false" ht="15" hidden="false" customHeight="false" outlineLevel="0" collapsed="false">
      <c r="A8799" s="0" t="n">
        <v>8798</v>
      </c>
      <c r="B8799" s="18" t="n">
        <v>1406601.88222093</v>
      </c>
      <c r="C8799" s="18" t="n">
        <v>9170188.78438884</v>
      </c>
      <c r="D8799" s="0" t="n">
        <v>1</v>
      </c>
    </row>
    <row r="8800" customFormat="false" ht="15" hidden="false" customHeight="false" outlineLevel="0" collapsed="false">
      <c r="A8800" s="0" t="n">
        <v>8799</v>
      </c>
      <c r="B8800" s="18" t="n">
        <v>1193880.16820591</v>
      </c>
      <c r="C8800" s="18" t="n">
        <v>714699.450239407</v>
      </c>
      <c r="D8800" s="0" t="n">
        <v>1</v>
      </c>
    </row>
    <row r="8801" customFormat="false" ht="15" hidden="false" customHeight="false" outlineLevel="0" collapsed="false">
      <c r="A8801" s="0" t="n">
        <v>8800</v>
      </c>
      <c r="B8801" s="18" t="n">
        <v>705701.682826886</v>
      </c>
      <c r="C8801" s="18" t="n">
        <v>0</v>
      </c>
      <c r="D8801" s="0" t="n">
        <v>0</v>
      </c>
      <c r="E8801" s="19" t="n">
        <v>36.6666666666667</v>
      </c>
    </row>
    <row r="8802" customFormat="false" ht="15" hidden="false" customHeight="false" outlineLevel="0" collapsed="false">
      <c r="A8802" s="0" t="n">
        <v>8801</v>
      </c>
      <c r="B8802" s="18" t="n">
        <v>869448.641810337</v>
      </c>
      <c r="C8802" s="18" t="n">
        <v>2191219.3954234</v>
      </c>
      <c r="D8802" s="0" t="n">
        <v>1</v>
      </c>
    </row>
    <row r="8803" customFormat="false" ht="15" hidden="false" customHeight="false" outlineLevel="0" collapsed="false">
      <c r="A8803" s="0" t="n">
        <v>8802</v>
      </c>
      <c r="B8803" s="18" t="n">
        <v>795536.962869802</v>
      </c>
      <c r="C8803" s="18" t="n">
        <v>0</v>
      </c>
      <c r="D8803" s="0" t="n">
        <v>0</v>
      </c>
      <c r="E8803" s="19" t="n">
        <v>33.5833333333333</v>
      </c>
    </row>
    <row r="8804" customFormat="false" ht="15" hidden="false" customHeight="false" outlineLevel="0" collapsed="false">
      <c r="A8804" s="0" t="n">
        <v>8803</v>
      </c>
      <c r="B8804" s="18" t="n">
        <v>1035968.79183245</v>
      </c>
      <c r="C8804" s="18" t="n">
        <v>929216.229989078</v>
      </c>
      <c r="D8804" s="0" t="n">
        <v>1</v>
      </c>
    </row>
    <row r="8805" customFormat="false" ht="15" hidden="false" customHeight="false" outlineLevel="0" collapsed="false">
      <c r="A8805" s="0" t="n">
        <v>8804</v>
      </c>
      <c r="B8805" s="18" t="n">
        <v>908334.413994005</v>
      </c>
      <c r="C8805" s="18" t="n">
        <v>0</v>
      </c>
      <c r="D8805" s="0" t="n">
        <v>0</v>
      </c>
      <c r="E8805" s="19" t="n">
        <v>38.0833333333333</v>
      </c>
    </row>
    <row r="8806" customFormat="false" ht="15" hidden="false" customHeight="false" outlineLevel="0" collapsed="false">
      <c r="A8806" s="0" t="n">
        <v>8805</v>
      </c>
      <c r="B8806" s="18" t="n">
        <v>595284.910337289</v>
      </c>
      <c r="C8806" s="18" t="n">
        <v>0</v>
      </c>
      <c r="D8806" s="0" t="n">
        <v>0</v>
      </c>
      <c r="E8806" s="19" t="n">
        <v>34.8333333333333</v>
      </c>
    </row>
    <row r="8807" customFormat="false" ht="15" hidden="false" customHeight="false" outlineLevel="0" collapsed="false">
      <c r="A8807" s="0" t="n">
        <v>8806</v>
      </c>
      <c r="B8807" s="18" t="n">
        <v>1365208.03488999</v>
      </c>
      <c r="C8807" s="18" t="n">
        <v>2632922.47909201</v>
      </c>
      <c r="D8807" s="0" t="n">
        <v>1</v>
      </c>
    </row>
    <row r="8808" customFormat="false" ht="15" hidden="false" customHeight="false" outlineLevel="0" collapsed="false">
      <c r="A8808" s="0" t="n">
        <v>8807</v>
      </c>
      <c r="B8808" s="18" t="n">
        <v>1691515.62933952</v>
      </c>
      <c r="C8808" s="18" t="n">
        <v>0</v>
      </c>
      <c r="D8808" s="0" t="n">
        <v>0</v>
      </c>
      <c r="E8808" s="19" t="n">
        <v>42.75</v>
      </c>
    </row>
    <row r="8809" customFormat="false" ht="15" hidden="false" customHeight="false" outlineLevel="0" collapsed="false">
      <c r="A8809" s="0" t="n">
        <v>8808</v>
      </c>
      <c r="B8809" s="18" t="n">
        <v>511504.237727662</v>
      </c>
      <c r="C8809" s="18" t="n">
        <v>0</v>
      </c>
      <c r="D8809" s="0" t="n">
        <v>0</v>
      </c>
      <c r="E8809" s="19" t="n">
        <v>33.1666666666667</v>
      </c>
    </row>
    <row r="8810" customFormat="false" ht="15" hidden="false" customHeight="false" outlineLevel="0" collapsed="false">
      <c r="A8810" s="0" t="n">
        <v>8809</v>
      </c>
      <c r="B8810" s="18" t="n">
        <v>1251094.22380275</v>
      </c>
      <c r="C8810" s="18" t="n">
        <v>1205960.16767943</v>
      </c>
      <c r="D8810" s="0" t="n">
        <v>1</v>
      </c>
    </row>
    <row r="8811" customFormat="false" ht="15" hidden="false" customHeight="false" outlineLevel="0" collapsed="false">
      <c r="A8811" s="0" t="n">
        <v>8810</v>
      </c>
      <c r="B8811" s="18" t="n">
        <v>882029.319084457</v>
      </c>
      <c r="C8811" s="18" t="n">
        <v>0</v>
      </c>
      <c r="D8811" s="0" t="n">
        <v>0</v>
      </c>
      <c r="E8811" s="19" t="n">
        <v>48.25</v>
      </c>
    </row>
    <row r="8812" customFormat="false" ht="15" hidden="false" customHeight="false" outlineLevel="0" collapsed="false">
      <c r="A8812" s="0" t="n">
        <v>8811</v>
      </c>
      <c r="B8812" s="18" t="n">
        <v>1394332.78427173</v>
      </c>
      <c r="C8812" s="18" t="n">
        <v>0</v>
      </c>
      <c r="D8812" s="0" t="n">
        <v>0</v>
      </c>
      <c r="E8812" s="19" t="n">
        <v>45.3333333333333</v>
      </c>
    </row>
    <row r="8813" customFormat="false" ht="15" hidden="false" customHeight="false" outlineLevel="0" collapsed="false">
      <c r="A8813" s="0" t="n">
        <v>8812</v>
      </c>
      <c r="B8813" s="18" t="n">
        <v>1090509.94702033</v>
      </c>
      <c r="C8813" s="18" t="n">
        <v>0</v>
      </c>
      <c r="D8813" s="0" t="n">
        <v>0</v>
      </c>
      <c r="E8813" s="19" t="n">
        <v>39.5</v>
      </c>
    </row>
    <row r="8814" customFormat="false" ht="15" hidden="false" customHeight="false" outlineLevel="0" collapsed="false">
      <c r="A8814" s="0" t="n">
        <v>8813</v>
      </c>
      <c r="B8814" s="18" t="n">
        <v>1240418.66588966</v>
      </c>
      <c r="C8814" s="18" t="n">
        <v>3552269.33017005</v>
      </c>
      <c r="D8814" s="0" t="n">
        <v>1</v>
      </c>
    </row>
    <row r="8815" customFormat="false" ht="15" hidden="false" customHeight="false" outlineLevel="0" collapsed="false">
      <c r="A8815" s="0" t="n">
        <v>8814</v>
      </c>
      <c r="B8815" s="18" t="n">
        <v>1402909.9076051</v>
      </c>
      <c r="C8815" s="18" t="n">
        <v>7789465.15748298</v>
      </c>
      <c r="D8815" s="0" t="n">
        <v>1</v>
      </c>
    </row>
    <row r="8816" customFormat="false" ht="15" hidden="false" customHeight="false" outlineLevel="0" collapsed="false">
      <c r="A8816" s="0" t="n">
        <v>8815</v>
      </c>
      <c r="B8816" s="18" t="n">
        <v>477062.696209275</v>
      </c>
      <c r="C8816" s="18" t="n">
        <v>0</v>
      </c>
      <c r="D8816" s="0" t="n">
        <v>0</v>
      </c>
      <c r="E8816" s="19" t="n">
        <v>32.4166666666667</v>
      </c>
    </row>
    <row r="8817" customFormat="false" ht="15" hidden="false" customHeight="false" outlineLevel="0" collapsed="false">
      <c r="A8817" s="0" t="n">
        <v>8816</v>
      </c>
      <c r="B8817" s="18" t="n">
        <v>1781961.75828076</v>
      </c>
      <c r="C8817" s="18" t="n">
        <v>6097018.3604065</v>
      </c>
      <c r="D8817" s="0" t="n">
        <v>1</v>
      </c>
    </row>
    <row r="8818" customFormat="false" ht="15" hidden="false" customHeight="false" outlineLevel="0" collapsed="false">
      <c r="A8818" s="0" t="n">
        <v>8817</v>
      </c>
      <c r="B8818" s="18" t="n">
        <v>518521.864414241</v>
      </c>
      <c r="C8818" s="18" t="n">
        <v>0</v>
      </c>
      <c r="D8818" s="0" t="n">
        <v>0</v>
      </c>
      <c r="E8818" s="19" t="n">
        <v>32.0833333333333</v>
      </c>
    </row>
    <row r="8819" customFormat="false" ht="15" hidden="false" customHeight="false" outlineLevel="0" collapsed="false">
      <c r="A8819" s="0" t="n">
        <v>8818</v>
      </c>
      <c r="B8819" s="18" t="n">
        <v>1230254.23362232</v>
      </c>
      <c r="C8819" s="18" t="n">
        <v>1030471.21874836</v>
      </c>
      <c r="D8819" s="0" t="n">
        <v>1</v>
      </c>
    </row>
    <row r="8820" customFormat="false" ht="15" hidden="false" customHeight="false" outlineLevel="0" collapsed="false">
      <c r="A8820" s="0" t="n">
        <v>8819</v>
      </c>
      <c r="B8820" s="18" t="n">
        <v>1530314.80696234</v>
      </c>
      <c r="C8820" s="18" t="n">
        <v>16269770.7942305</v>
      </c>
      <c r="D8820" s="0" t="n">
        <v>1</v>
      </c>
    </row>
    <row r="8821" customFormat="false" ht="15" hidden="false" customHeight="false" outlineLevel="0" collapsed="false">
      <c r="A8821" s="0" t="n">
        <v>8820</v>
      </c>
      <c r="B8821" s="18" t="n">
        <v>620999.004904319</v>
      </c>
      <c r="C8821" s="18" t="n">
        <v>0</v>
      </c>
      <c r="D8821" s="0" t="n">
        <v>0</v>
      </c>
      <c r="E8821" s="19" t="n">
        <v>37.6666666666667</v>
      </c>
    </row>
    <row r="8822" customFormat="false" ht="15" hidden="false" customHeight="false" outlineLevel="0" collapsed="false">
      <c r="A8822" s="0" t="n">
        <v>8821</v>
      </c>
      <c r="B8822" s="18" t="n">
        <v>1900195.67136438</v>
      </c>
      <c r="C8822" s="18" t="n">
        <v>5474830.13818193</v>
      </c>
      <c r="D8822" s="0" t="n">
        <v>1</v>
      </c>
    </row>
    <row r="8823" customFormat="false" ht="15" hidden="false" customHeight="false" outlineLevel="0" collapsed="false">
      <c r="A8823" s="0" t="n">
        <v>8822</v>
      </c>
      <c r="B8823" s="18" t="n">
        <v>495840.985862946</v>
      </c>
      <c r="C8823" s="18" t="n">
        <v>0</v>
      </c>
      <c r="D8823" s="0" t="n">
        <v>0</v>
      </c>
      <c r="E8823" s="19" t="n">
        <v>52.6666666666667</v>
      </c>
    </row>
    <row r="8824" customFormat="false" ht="15" hidden="false" customHeight="false" outlineLevel="0" collapsed="false">
      <c r="A8824" s="0" t="n">
        <v>8823</v>
      </c>
      <c r="B8824" s="18" t="n">
        <v>1108583.66958085</v>
      </c>
      <c r="C8824" s="18" t="n">
        <v>0</v>
      </c>
      <c r="D8824" s="0" t="n">
        <v>0</v>
      </c>
      <c r="E8824" s="19" t="n">
        <v>46.3333333333333</v>
      </c>
    </row>
    <row r="8825" customFormat="false" ht="15" hidden="false" customHeight="false" outlineLevel="0" collapsed="false">
      <c r="A8825" s="0" t="n">
        <v>8824</v>
      </c>
      <c r="B8825" s="18" t="n">
        <v>1146060.05704861</v>
      </c>
      <c r="C8825" s="18" t="n">
        <v>1707372.5310296</v>
      </c>
      <c r="D8825" s="0" t="n">
        <v>1</v>
      </c>
    </row>
    <row r="8826" customFormat="false" ht="15" hidden="false" customHeight="false" outlineLevel="0" collapsed="false">
      <c r="A8826" s="0" t="n">
        <v>8825</v>
      </c>
      <c r="B8826" s="18" t="n">
        <v>644495.287292692</v>
      </c>
      <c r="C8826" s="18" t="n">
        <v>0</v>
      </c>
      <c r="D8826" s="0" t="n">
        <v>0</v>
      </c>
      <c r="E8826" s="19" t="n">
        <v>41.5833333333333</v>
      </c>
    </row>
    <row r="8827" customFormat="false" ht="15" hidden="false" customHeight="false" outlineLevel="0" collapsed="false">
      <c r="A8827" s="0" t="n">
        <v>8826</v>
      </c>
      <c r="B8827" s="18" t="n">
        <v>427507.715200033</v>
      </c>
      <c r="C8827" s="18" t="n">
        <v>0</v>
      </c>
      <c r="D8827" s="0" t="n">
        <v>0</v>
      </c>
      <c r="E8827" s="19" t="n">
        <v>31.5833333333333</v>
      </c>
    </row>
    <row r="8828" customFormat="false" ht="15" hidden="false" customHeight="false" outlineLevel="0" collapsed="false">
      <c r="A8828" s="0" t="n">
        <v>8827</v>
      </c>
      <c r="B8828" s="18" t="n">
        <v>1060195.521604</v>
      </c>
      <c r="C8828" s="18" t="n">
        <v>2161910.14636269</v>
      </c>
      <c r="D8828" s="0" t="n">
        <v>1</v>
      </c>
    </row>
    <row r="8829" customFormat="false" ht="15" hidden="false" customHeight="false" outlineLevel="0" collapsed="false">
      <c r="A8829" s="0" t="n">
        <v>8828</v>
      </c>
      <c r="B8829" s="18" t="n">
        <v>592328.533177983</v>
      </c>
      <c r="C8829" s="18" t="n">
        <v>0</v>
      </c>
      <c r="D8829" s="0" t="n">
        <v>0</v>
      </c>
      <c r="E8829" s="19" t="n">
        <v>46.6666666666667</v>
      </c>
    </row>
    <row r="8830" customFormat="false" ht="15" hidden="false" customHeight="false" outlineLevel="0" collapsed="false">
      <c r="A8830" s="0" t="n">
        <v>8829</v>
      </c>
      <c r="B8830" s="18" t="n">
        <v>1870919.94060028</v>
      </c>
      <c r="C8830" s="18" t="n">
        <v>34602520.3693593</v>
      </c>
      <c r="D8830" s="0" t="n">
        <v>1</v>
      </c>
    </row>
    <row r="8831" customFormat="false" ht="15" hidden="false" customHeight="false" outlineLevel="0" collapsed="false">
      <c r="A8831" s="0" t="n">
        <v>8830</v>
      </c>
      <c r="B8831" s="18" t="n">
        <v>570305.342299671</v>
      </c>
      <c r="C8831" s="18" t="n">
        <v>0</v>
      </c>
      <c r="D8831" s="0" t="n">
        <v>0</v>
      </c>
      <c r="E8831" s="19" t="n">
        <v>32.3333333333333</v>
      </c>
    </row>
    <row r="8832" customFormat="false" ht="15" hidden="false" customHeight="false" outlineLevel="0" collapsed="false">
      <c r="A8832" s="0" t="n">
        <v>8831</v>
      </c>
      <c r="B8832" s="18" t="n">
        <v>1377701.17790302</v>
      </c>
      <c r="C8832" s="18" t="n">
        <v>0</v>
      </c>
      <c r="D8832" s="0" t="n">
        <v>0</v>
      </c>
      <c r="E8832" s="19" t="n">
        <v>47.3333333333333</v>
      </c>
    </row>
    <row r="8833" customFormat="false" ht="15" hidden="false" customHeight="false" outlineLevel="0" collapsed="false">
      <c r="A8833" s="0" t="n">
        <v>8832</v>
      </c>
      <c r="B8833" s="18" t="n">
        <v>1101587.10115526</v>
      </c>
      <c r="C8833" s="18" t="n">
        <v>0</v>
      </c>
      <c r="D8833" s="0" t="n">
        <v>0</v>
      </c>
      <c r="E8833" s="19" t="n">
        <v>38.0833333333333</v>
      </c>
    </row>
    <row r="8834" customFormat="false" ht="15" hidden="false" customHeight="false" outlineLevel="0" collapsed="false">
      <c r="A8834" s="0" t="n">
        <v>8833</v>
      </c>
      <c r="B8834" s="18" t="n">
        <v>710359.881565327</v>
      </c>
      <c r="C8834" s="18" t="n">
        <v>0</v>
      </c>
      <c r="D8834" s="0" t="n">
        <v>0</v>
      </c>
      <c r="E8834" s="19" t="n">
        <v>41.5</v>
      </c>
    </row>
    <row r="8835" customFormat="false" ht="15" hidden="false" customHeight="false" outlineLevel="0" collapsed="false">
      <c r="A8835" s="0" t="n">
        <v>8834</v>
      </c>
      <c r="B8835" s="18" t="n">
        <v>810949.156434513</v>
      </c>
      <c r="C8835" s="18" t="n">
        <v>4515844.49599712</v>
      </c>
      <c r="D8835" s="0" t="n">
        <v>1</v>
      </c>
    </row>
    <row r="8836" customFormat="false" ht="15" hidden="false" customHeight="false" outlineLevel="0" collapsed="false">
      <c r="A8836" s="0" t="n">
        <v>8835</v>
      </c>
      <c r="B8836" s="18" t="n">
        <v>2205625.2825298</v>
      </c>
      <c r="C8836" s="18" t="n">
        <v>1146806.99006166</v>
      </c>
      <c r="D8836" s="0" t="n">
        <v>1</v>
      </c>
    </row>
    <row r="8837" customFormat="false" ht="15" hidden="false" customHeight="false" outlineLevel="0" collapsed="false">
      <c r="A8837" s="0" t="n">
        <v>8836</v>
      </c>
      <c r="B8837" s="18" t="n">
        <v>4389481.97448384</v>
      </c>
      <c r="C8837" s="18" t="n">
        <v>59246955.8839134</v>
      </c>
      <c r="D8837" s="0" t="n">
        <v>1</v>
      </c>
    </row>
    <row r="8838" customFormat="false" ht="15" hidden="false" customHeight="false" outlineLevel="0" collapsed="false">
      <c r="A8838" s="0" t="n">
        <v>8837</v>
      </c>
      <c r="B8838" s="18" t="n">
        <v>1060479.60272799</v>
      </c>
      <c r="C8838" s="18" t="n">
        <v>0</v>
      </c>
      <c r="D8838" s="0" t="n">
        <v>0</v>
      </c>
      <c r="E8838" s="19" t="n">
        <v>54.5</v>
      </c>
    </row>
    <row r="8839" customFormat="false" ht="15" hidden="false" customHeight="false" outlineLevel="0" collapsed="false">
      <c r="A8839" s="0" t="n">
        <v>8838</v>
      </c>
      <c r="B8839" s="18" t="n">
        <v>515482.472724717</v>
      </c>
      <c r="C8839" s="18" t="n">
        <v>0</v>
      </c>
      <c r="D8839" s="0" t="n">
        <v>0</v>
      </c>
      <c r="E8839" s="19" t="n">
        <v>44.75</v>
      </c>
    </row>
    <row r="8840" customFormat="false" ht="15" hidden="false" customHeight="false" outlineLevel="0" collapsed="false">
      <c r="A8840" s="0" t="n">
        <v>8839</v>
      </c>
      <c r="B8840" s="18" t="n">
        <v>2246986.14155145</v>
      </c>
      <c r="C8840" s="18" t="n">
        <v>3194696.4957764</v>
      </c>
      <c r="D8840" s="0" t="n">
        <v>1</v>
      </c>
    </row>
    <row r="8841" customFormat="false" ht="15" hidden="false" customHeight="false" outlineLevel="0" collapsed="false">
      <c r="A8841" s="0" t="n">
        <v>8840</v>
      </c>
      <c r="B8841" s="18" t="n">
        <v>1106568.50149031</v>
      </c>
      <c r="C8841" s="18" t="n">
        <v>0</v>
      </c>
      <c r="D8841" s="0" t="n">
        <v>0</v>
      </c>
      <c r="E8841" s="19" t="n">
        <v>42.0833333333333</v>
      </c>
    </row>
    <row r="8842" customFormat="false" ht="15" hidden="false" customHeight="false" outlineLevel="0" collapsed="false">
      <c r="A8842" s="0" t="n">
        <v>8841</v>
      </c>
      <c r="B8842" s="18" t="n">
        <v>424485.337984361</v>
      </c>
      <c r="C8842" s="18" t="n">
        <v>0</v>
      </c>
      <c r="D8842" s="0" t="n">
        <v>0</v>
      </c>
      <c r="E8842" s="19" t="n">
        <v>31.3333333333333</v>
      </c>
    </row>
    <row r="8843" customFormat="false" ht="15" hidden="false" customHeight="false" outlineLevel="0" collapsed="false">
      <c r="A8843" s="0" t="n">
        <v>8842</v>
      </c>
      <c r="B8843" s="18" t="n">
        <v>1333344.73111747</v>
      </c>
      <c r="C8843" s="18" t="n">
        <v>3150969.71240218</v>
      </c>
      <c r="D8843" s="0" t="n">
        <v>1</v>
      </c>
    </row>
    <row r="8844" customFormat="false" ht="15" hidden="false" customHeight="false" outlineLevel="0" collapsed="false">
      <c r="A8844" s="0" t="n">
        <v>8843</v>
      </c>
      <c r="B8844" s="18" t="n">
        <v>514105.17063925</v>
      </c>
      <c r="C8844" s="18" t="n">
        <v>0</v>
      </c>
      <c r="D8844" s="0" t="n">
        <v>0</v>
      </c>
      <c r="E8844" s="19" t="n">
        <v>33.6666666666667</v>
      </c>
    </row>
    <row r="8845" customFormat="false" ht="15" hidden="false" customHeight="false" outlineLevel="0" collapsed="false">
      <c r="A8845" s="0" t="n">
        <v>8844</v>
      </c>
      <c r="B8845" s="18" t="n">
        <v>880462.298581589</v>
      </c>
      <c r="C8845" s="18" t="n">
        <v>813760.797522776</v>
      </c>
      <c r="D8845" s="0" t="n">
        <v>1</v>
      </c>
    </row>
    <row r="8846" customFormat="false" ht="15" hidden="false" customHeight="false" outlineLevel="0" collapsed="false">
      <c r="A8846" s="0" t="n">
        <v>8845</v>
      </c>
      <c r="B8846" s="18" t="n">
        <v>572421.884149146</v>
      </c>
      <c r="C8846" s="18" t="n">
        <v>0</v>
      </c>
      <c r="D8846" s="0" t="n">
        <v>0</v>
      </c>
      <c r="E8846" s="19" t="n">
        <v>37.0833333333333</v>
      </c>
    </row>
    <row r="8847" customFormat="false" ht="15" hidden="false" customHeight="false" outlineLevel="0" collapsed="false">
      <c r="A8847" s="0" t="n">
        <v>8846</v>
      </c>
      <c r="B8847" s="18" t="n">
        <v>754796.084044461</v>
      </c>
      <c r="C8847" s="18" t="n">
        <v>0</v>
      </c>
      <c r="D8847" s="0" t="n">
        <v>0</v>
      </c>
      <c r="E8847" s="19" t="n">
        <v>42.3333333333333</v>
      </c>
    </row>
    <row r="8848" customFormat="false" ht="15" hidden="false" customHeight="false" outlineLevel="0" collapsed="false">
      <c r="A8848" s="0" t="n">
        <v>8847</v>
      </c>
      <c r="B8848" s="18" t="n">
        <v>303748.701749</v>
      </c>
      <c r="C8848" s="18" t="n">
        <v>0</v>
      </c>
      <c r="D8848" s="0" t="n">
        <v>0</v>
      </c>
      <c r="E8848" s="19" t="n">
        <v>31.5833333333333</v>
      </c>
    </row>
    <row r="8849" customFormat="false" ht="15" hidden="false" customHeight="false" outlineLevel="0" collapsed="false">
      <c r="A8849" s="0" t="n">
        <v>8848</v>
      </c>
      <c r="B8849" s="18" t="n">
        <v>1139180.90410078</v>
      </c>
      <c r="C8849" s="18" t="n">
        <v>5495014.82098784</v>
      </c>
      <c r="D8849" s="0" t="n">
        <v>1</v>
      </c>
    </row>
    <row r="8850" customFormat="false" ht="15" hidden="false" customHeight="false" outlineLevel="0" collapsed="false">
      <c r="A8850" s="0" t="n">
        <v>8849</v>
      </c>
      <c r="B8850" s="18" t="n">
        <v>1256264.8768405</v>
      </c>
      <c r="C8850" s="18" t="n">
        <v>1532383.84191498</v>
      </c>
      <c r="D8850" s="0" t="n">
        <v>1</v>
      </c>
    </row>
    <row r="8851" customFormat="false" ht="15" hidden="false" customHeight="false" outlineLevel="0" collapsed="false">
      <c r="A8851" s="0" t="n">
        <v>8850</v>
      </c>
      <c r="B8851" s="18" t="n">
        <v>945521.014621147</v>
      </c>
      <c r="C8851" s="18" t="n">
        <v>0</v>
      </c>
      <c r="D8851" s="0" t="n">
        <v>0</v>
      </c>
      <c r="E8851" s="19" t="n">
        <v>43.0833333333333</v>
      </c>
    </row>
    <row r="8852" customFormat="false" ht="15" hidden="false" customHeight="false" outlineLevel="0" collapsed="false">
      <c r="A8852" s="0" t="n">
        <v>8851</v>
      </c>
      <c r="B8852" s="18" t="n">
        <v>1341164.3894003</v>
      </c>
      <c r="C8852" s="18" t="n">
        <v>0</v>
      </c>
      <c r="D8852" s="0" t="n">
        <v>0</v>
      </c>
      <c r="E8852" s="19" t="n">
        <v>51.1666666666667</v>
      </c>
    </row>
    <row r="8853" customFormat="false" ht="15" hidden="false" customHeight="false" outlineLevel="0" collapsed="false">
      <c r="A8853" s="0" t="n">
        <v>8852</v>
      </c>
      <c r="B8853" s="18" t="n">
        <v>1128945.1755317</v>
      </c>
      <c r="C8853" s="18" t="n">
        <v>3513823.33388039</v>
      </c>
      <c r="D8853" s="0" t="n">
        <v>1</v>
      </c>
    </row>
    <row r="8854" customFormat="false" ht="15" hidden="false" customHeight="false" outlineLevel="0" collapsed="false">
      <c r="A8854" s="0" t="n">
        <v>8853</v>
      </c>
      <c r="B8854" s="18" t="n">
        <v>981217.485579535</v>
      </c>
      <c r="C8854" s="18" t="n">
        <v>167972.143133629</v>
      </c>
      <c r="D8854" s="0" t="n">
        <v>1</v>
      </c>
    </row>
    <row r="8855" customFormat="false" ht="15" hidden="false" customHeight="false" outlineLevel="0" collapsed="false">
      <c r="A8855" s="0" t="n">
        <v>8854</v>
      </c>
      <c r="B8855" s="18" t="n">
        <v>1068880.38788214</v>
      </c>
      <c r="C8855" s="18" t="n">
        <v>0</v>
      </c>
      <c r="D8855" s="0" t="n">
        <v>0</v>
      </c>
      <c r="E8855" s="19" t="n">
        <v>38.5</v>
      </c>
    </row>
    <row r="8856" customFormat="false" ht="15" hidden="false" customHeight="false" outlineLevel="0" collapsed="false">
      <c r="A8856" s="0" t="n">
        <v>8855</v>
      </c>
      <c r="B8856" s="18" t="n">
        <v>2946434.47590978</v>
      </c>
      <c r="C8856" s="18" t="n">
        <v>21393819.7813441</v>
      </c>
      <c r="D8856" s="0" t="n">
        <v>1</v>
      </c>
    </row>
    <row r="8857" customFormat="false" ht="15" hidden="false" customHeight="false" outlineLevel="0" collapsed="false">
      <c r="A8857" s="0" t="n">
        <v>8856</v>
      </c>
      <c r="B8857" s="18" t="n">
        <v>724927.501808542</v>
      </c>
      <c r="C8857" s="18" t="n">
        <v>0</v>
      </c>
      <c r="D8857" s="0" t="n">
        <v>0</v>
      </c>
      <c r="E8857" s="19" t="n">
        <v>35.6666666666667</v>
      </c>
    </row>
    <row r="8858" customFormat="false" ht="15" hidden="false" customHeight="false" outlineLevel="0" collapsed="false">
      <c r="A8858" s="0" t="n">
        <v>8857</v>
      </c>
      <c r="B8858" s="18" t="n">
        <v>563407.746441278</v>
      </c>
      <c r="C8858" s="18" t="n">
        <v>0</v>
      </c>
      <c r="D8858" s="0" t="n">
        <v>0</v>
      </c>
      <c r="E8858" s="19" t="n">
        <v>32.4166666666667</v>
      </c>
    </row>
    <row r="8859" customFormat="false" ht="15" hidden="false" customHeight="false" outlineLevel="0" collapsed="false">
      <c r="A8859" s="0" t="n">
        <v>8858</v>
      </c>
      <c r="B8859" s="18" t="n">
        <v>1000255.34118764</v>
      </c>
      <c r="C8859" s="18" t="n">
        <v>0</v>
      </c>
      <c r="D8859" s="0" t="n">
        <v>0</v>
      </c>
      <c r="E8859" s="19" t="n">
        <v>48.0833333333333</v>
      </c>
    </row>
    <row r="8860" customFormat="false" ht="15" hidden="false" customHeight="false" outlineLevel="0" collapsed="false">
      <c r="A8860" s="0" t="n">
        <v>8859</v>
      </c>
      <c r="B8860" s="18" t="n">
        <v>1544479.00573245</v>
      </c>
      <c r="C8860" s="18" t="n">
        <v>3094719.68378453</v>
      </c>
      <c r="D8860" s="0" t="n">
        <v>1</v>
      </c>
    </row>
    <row r="8861" customFormat="false" ht="15" hidden="false" customHeight="false" outlineLevel="0" collapsed="false">
      <c r="A8861" s="0" t="n">
        <v>8860</v>
      </c>
      <c r="B8861" s="18" t="n">
        <v>1122324.21007034</v>
      </c>
      <c r="C8861" s="18" t="n">
        <v>0</v>
      </c>
      <c r="D8861" s="0" t="n">
        <v>0</v>
      </c>
      <c r="E8861" s="19" t="n">
        <v>41.5</v>
      </c>
    </row>
    <row r="8862" customFormat="false" ht="15" hidden="false" customHeight="false" outlineLevel="0" collapsed="false">
      <c r="A8862" s="0" t="n">
        <v>8861</v>
      </c>
      <c r="B8862" s="18" t="n">
        <v>995309.827642006</v>
      </c>
      <c r="C8862" s="18" t="n">
        <v>3162644.00470693</v>
      </c>
      <c r="D8862" s="0" t="n">
        <v>1</v>
      </c>
    </row>
    <row r="8863" customFormat="false" ht="15" hidden="false" customHeight="false" outlineLevel="0" collapsed="false">
      <c r="A8863" s="0" t="n">
        <v>8862</v>
      </c>
      <c r="B8863" s="18" t="n">
        <v>1002989.93943995</v>
      </c>
      <c r="C8863" s="18" t="n">
        <v>0</v>
      </c>
      <c r="D8863" s="0" t="n">
        <v>0</v>
      </c>
      <c r="E8863" s="19" t="n">
        <v>45.75</v>
      </c>
    </row>
    <row r="8864" customFormat="false" ht="15" hidden="false" customHeight="false" outlineLevel="0" collapsed="false">
      <c r="A8864" s="0" t="n">
        <v>8863</v>
      </c>
      <c r="B8864" s="18" t="n">
        <v>624401.932199113</v>
      </c>
      <c r="C8864" s="18" t="n">
        <v>0</v>
      </c>
      <c r="D8864" s="0" t="n">
        <v>0</v>
      </c>
      <c r="E8864" s="19" t="n">
        <v>35.0833333333333</v>
      </c>
    </row>
    <row r="8865" customFormat="false" ht="15" hidden="false" customHeight="false" outlineLevel="0" collapsed="false">
      <c r="A8865" s="0" t="n">
        <v>8864</v>
      </c>
      <c r="B8865" s="18" t="n">
        <v>725796.144416697</v>
      </c>
      <c r="C8865" s="18" t="n">
        <v>0</v>
      </c>
      <c r="D8865" s="0" t="n">
        <v>0</v>
      </c>
      <c r="E8865" s="19" t="n">
        <v>42.4166666666667</v>
      </c>
    </row>
    <row r="8866" customFormat="false" ht="15" hidden="false" customHeight="false" outlineLevel="0" collapsed="false">
      <c r="A8866" s="0" t="n">
        <v>8865</v>
      </c>
      <c r="B8866" s="18" t="n">
        <v>1079130.1864237</v>
      </c>
      <c r="C8866" s="18" t="n">
        <v>0</v>
      </c>
      <c r="D8866" s="0" t="n">
        <v>0</v>
      </c>
      <c r="E8866" s="19" t="n">
        <v>38.4166666666667</v>
      </c>
    </row>
    <row r="8867" customFormat="false" ht="15" hidden="false" customHeight="false" outlineLevel="0" collapsed="false">
      <c r="A8867" s="0" t="n">
        <v>8866</v>
      </c>
      <c r="B8867" s="18" t="n">
        <v>620581.452248076</v>
      </c>
      <c r="C8867" s="18" t="n">
        <v>0</v>
      </c>
      <c r="D8867" s="0" t="n">
        <v>0</v>
      </c>
      <c r="E8867" s="19" t="n">
        <v>51.9166666666667</v>
      </c>
    </row>
    <row r="8868" customFormat="false" ht="15" hidden="false" customHeight="false" outlineLevel="0" collapsed="false">
      <c r="A8868" s="0" t="n">
        <v>8867</v>
      </c>
      <c r="B8868" s="18" t="n">
        <v>408954.446794099</v>
      </c>
      <c r="C8868" s="18" t="n">
        <v>0</v>
      </c>
      <c r="D8868" s="0" t="n">
        <v>0</v>
      </c>
      <c r="E8868" s="19" t="n">
        <v>30.25</v>
      </c>
    </row>
    <row r="8869" customFormat="false" ht="15" hidden="false" customHeight="false" outlineLevel="0" collapsed="false">
      <c r="A8869" s="0" t="n">
        <v>8868</v>
      </c>
      <c r="B8869" s="18" t="n">
        <v>1536488.7864302</v>
      </c>
      <c r="C8869" s="18" t="n">
        <v>0</v>
      </c>
      <c r="D8869" s="0" t="n">
        <v>0</v>
      </c>
      <c r="E8869" s="19" t="n">
        <v>52.6666666666667</v>
      </c>
    </row>
    <row r="8870" customFormat="false" ht="15" hidden="false" customHeight="false" outlineLevel="0" collapsed="false">
      <c r="A8870" s="0" t="n">
        <v>8869</v>
      </c>
      <c r="B8870" s="18" t="n">
        <v>524683.520724173</v>
      </c>
      <c r="C8870" s="18" t="n">
        <v>0</v>
      </c>
      <c r="D8870" s="0" t="n">
        <v>0</v>
      </c>
      <c r="E8870" s="19" t="n">
        <v>35.6666666666667</v>
      </c>
    </row>
    <row r="8871" customFormat="false" ht="15" hidden="false" customHeight="false" outlineLevel="0" collapsed="false">
      <c r="A8871" s="0" t="n">
        <v>8870</v>
      </c>
      <c r="B8871" s="18" t="n">
        <v>1091851.70458225</v>
      </c>
      <c r="C8871" s="18" t="n">
        <v>0</v>
      </c>
      <c r="D8871" s="0" t="n">
        <v>0</v>
      </c>
      <c r="E8871" s="19" t="n">
        <v>36.6666666666667</v>
      </c>
    </row>
    <row r="8872" customFormat="false" ht="15" hidden="false" customHeight="false" outlineLevel="0" collapsed="false">
      <c r="A8872" s="0" t="n">
        <v>8871</v>
      </c>
      <c r="B8872" s="18" t="n">
        <v>464471.934242777</v>
      </c>
      <c r="C8872" s="18" t="n">
        <v>0</v>
      </c>
      <c r="D8872" s="0" t="n">
        <v>0</v>
      </c>
      <c r="E8872" s="19" t="n">
        <v>34.6666666666667</v>
      </c>
    </row>
    <row r="8873" customFormat="false" ht="15" hidden="false" customHeight="false" outlineLevel="0" collapsed="false">
      <c r="A8873" s="0" t="n">
        <v>8872</v>
      </c>
      <c r="B8873" s="18" t="n">
        <v>570809.281880919</v>
      </c>
      <c r="C8873" s="18" t="n">
        <v>0</v>
      </c>
      <c r="D8873" s="0" t="n">
        <v>0</v>
      </c>
      <c r="E8873" s="19" t="n">
        <v>35.3333333333333</v>
      </c>
    </row>
    <row r="8874" customFormat="false" ht="15" hidden="false" customHeight="false" outlineLevel="0" collapsed="false">
      <c r="A8874" s="0" t="n">
        <v>8873</v>
      </c>
      <c r="B8874" s="18" t="n">
        <v>1147148.51892755</v>
      </c>
      <c r="C8874" s="18" t="n">
        <v>0</v>
      </c>
      <c r="D8874" s="0" t="n">
        <v>0</v>
      </c>
      <c r="E8874" s="19" t="n">
        <v>51.5</v>
      </c>
    </row>
    <row r="8875" customFormat="false" ht="15" hidden="false" customHeight="false" outlineLevel="0" collapsed="false">
      <c r="A8875" s="0" t="n">
        <v>8874</v>
      </c>
      <c r="B8875" s="18" t="n">
        <v>968546.848533018</v>
      </c>
      <c r="C8875" s="18" t="n">
        <v>0</v>
      </c>
      <c r="D8875" s="0" t="n">
        <v>0</v>
      </c>
      <c r="E8875" s="19" t="n">
        <v>53.5833333333333</v>
      </c>
    </row>
    <row r="8876" customFormat="false" ht="15" hidden="false" customHeight="false" outlineLevel="0" collapsed="false">
      <c r="A8876" s="0" t="n">
        <v>8875</v>
      </c>
      <c r="B8876" s="18" t="n">
        <v>1189075.00519753</v>
      </c>
      <c r="C8876" s="18" t="n">
        <v>0</v>
      </c>
      <c r="D8876" s="0" t="n">
        <v>0</v>
      </c>
      <c r="E8876" s="19" t="n">
        <v>41.3333333333333</v>
      </c>
    </row>
    <row r="8877" customFormat="false" ht="15" hidden="false" customHeight="false" outlineLevel="0" collapsed="false">
      <c r="A8877" s="0" t="n">
        <v>8876</v>
      </c>
      <c r="B8877" s="18" t="n">
        <v>702833.746683907</v>
      </c>
      <c r="C8877" s="18" t="n">
        <v>0</v>
      </c>
      <c r="D8877" s="0" t="n">
        <v>0</v>
      </c>
      <c r="E8877" s="19" t="n">
        <v>33.0833333333333</v>
      </c>
    </row>
    <row r="8878" customFormat="false" ht="15" hidden="false" customHeight="false" outlineLevel="0" collapsed="false">
      <c r="A8878" s="0" t="n">
        <v>8877</v>
      </c>
      <c r="B8878" s="18" t="n">
        <v>1641973.3809548</v>
      </c>
      <c r="C8878" s="18" t="n">
        <v>10120615.0933216</v>
      </c>
      <c r="D8878" s="0" t="n">
        <v>1</v>
      </c>
    </row>
    <row r="8879" customFormat="false" ht="15" hidden="false" customHeight="false" outlineLevel="0" collapsed="false">
      <c r="A8879" s="0" t="n">
        <v>8878</v>
      </c>
      <c r="B8879" s="18" t="n">
        <v>1095479.17952052</v>
      </c>
      <c r="C8879" s="18" t="n">
        <v>1193440.80581845</v>
      </c>
      <c r="D8879" s="0" t="n">
        <v>1</v>
      </c>
    </row>
    <row r="8880" customFormat="false" ht="15" hidden="false" customHeight="false" outlineLevel="0" collapsed="false">
      <c r="A8880" s="0" t="n">
        <v>8879</v>
      </c>
      <c r="B8880" s="18" t="n">
        <v>1130388.86695546</v>
      </c>
      <c r="C8880" s="18" t="n">
        <v>0</v>
      </c>
      <c r="D8880" s="0" t="n">
        <v>0</v>
      </c>
      <c r="E8880" s="19" t="n">
        <v>48.9166666666667</v>
      </c>
    </row>
    <row r="8881" customFormat="false" ht="15" hidden="false" customHeight="false" outlineLevel="0" collapsed="false">
      <c r="A8881" s="0" t="n">
        <v>8880</v>
      </c>
      <c r="B8881" s="18" t="n">
        <v>834879.830342842</v>
      </c>
      <c r="C8881" s="18" t="n">
        <v>0</v>
      </c>
      <c r="D8881" s="0" t="n">
        <v>0</v>
      </c>
      <c r="E8881" s="19" t="n">
        <v>46.6666666666667</v>
      </c>
    </row>
    <row r="8882" customFormat="false" ht="15" hidden="false" customHeight="false" outlineLevel="0" collapsed="false">
      <c r="A8882" s="0" t="n">
        <v>8881</v>
      </c>
      <c r="B8882" s="18" t="n">
        <v>652844.412070349</v>
      </c>
      <c r="C8882" s="18" t="n">
        <v>0</v>
      </c>
      <c r="D8882" s="0" t="n">
        <v>0</v>
      </c>
      <c r="E8882" s="19" t="n">
        <v>42.0833333333333</v>
      </c>
    </row>
    <row r="8883" customFormat="false" ht="15" hidden="false" customHeight="false" outlineLevel="0" collapsed="false">
      <c r="A8883" s="0" t="n">
        <v>8882</v>
      </c>
      <c r="B8883" s="18" t="n">
        <v>1078861.66513858</v>
      </c>
      <c r="C8883" s="18" t="n">
        <v>0</v>
      </c>
      <c r="D8883" s="0" t="n">
        <v>0</v>
      </c>
      <c r="E8883" s="19" t="n">
        <v>50.1666666666667</v>
      </c>
    </row>
    <row r="8884" customFormat="false" ht="15" hidden="false" customHeight="false" outlineLevel="0" collapsed="false">
      <c r="A8884" s="0" t="n">
        <v>8883</v>
      </c>
      <c r="B8884" s="18" t="n">
        <v>959794.664343724</v>
      </c>
      <c r="C8884" s="18" t="n">
        <v>0</v>
      </c>
      <c r="D8884" s="0" t="n">
        <v>0</v>
      </c>
      <c r="E8884" s="19" t="n">
        <v>39.6666666666667</v>
      </c>
    </row>
    <row r="8885" customFormat="false" ht="15" hidden="false" customHeight="false" outlineLevel="0" collapsed="false">
      <c r="A8885" s="0" t="n">
        <v>8884</v>
      </c>
      <c r="B8885" s="18" t="n">
        <v>746656.256831394</v>
      </c>
      <c r="C8885" s="18" t="n">
        <v>0</v>
      </c>
      <c r="D8885" s="0" t="n">
        <v>0</v>
      </c>
      <c r="E8885" s="19" t="n">
        <v>44.1666666666667</v>
      </c>
    </row>
    <row r="8886" customFormat="false" ht="15" hidden="false" customHeight="false" outlineLevel="0" collapsed="false">
      <c r="A8886" s="0" t="n">
        <v>8885</v>
      </c>
      <c r="B8886" s="18" t="n">
        <v>1262008.12667983</v>
      </c>
      <c r="C8886" s="18" t="n">
        <v>1942738.16860062</v>
      </c>
      <c r="D8886" s="0" t="n">
        <v>1</v>
      </c>
    </row>
    <row r="8887" customFormat="false" ht="15" hidden="false" customHeight="false" outlineLevel="0" collapsed="false">
      <c r="A8887" s="0" t="n">
        <v>8886</v>
      </c>
      <c r="B8887" s="18" t="n">
        <v>1376325.12625058</v>
      </c>
      <c r="C8887" s="18" t="n">
        <v>0</v>
      </c>
      <c r="D8887" s="0" t="n">
        <v>0</v>
      </c>
      <c r="E8887" s="19" t="n">
        <v>47.9166666666667</v>
      </c>
    </row>
    <row r="8888" customFormat="false" ht="15" hidden="false" customHeight="false" outlineLevel="0" collapsed="false">
      <c r="A8888" s="0" t="n">
        <v>8887</v>
      </c>
      <c r="B8888" s="18" t="n">
        <v>729509.523147326</v>
      </c>
      <c r="C8888" s="18" t="n">
        <v>0</v>
      </c>
      <c r="D8888" s="0" t="n">
        <v>0</v>
      </c>
      <c r="E8888" s="19" t="n">
        <v>37.0833333333333</v>
      </c>
    </row>
    <row r="8889" customFormat="false" ht="15" hidden="false" customHeight="false" outlineLevel="0" collapsed="false">
      <c r="A8889" s="0" t="n">
        <v>8888</v>
      </c>
      <c r="B8889" s="18" t="n">
        <v>2038789.61247223</v>
      </c>
      <c r="C8889" s="18" t="n">
        <v>20961733.5050353</v>
      </c>
      <c r="D8889" s="0" t="n">
        <v>1</v>
      </c>
    </row>
    <row r="8890" customFormat="false" ht="15" hidden="false" customHeight="false" outlineLevel="0" collapsed="false">
      <c r="A8890" s="0" t="n">
        <v>8889</v>
      </c>
      <c r="B8890" s="18" t="n">
        <v>613785.252818603</v>
      </c>
      <c r="C8890" s="18" t="n">
        <v>0</v>
      </c>
      <c r="D8890" s="0" t="n">
        <v>0</v>
      </c>
      <c r="E8890" s="19" t="n">
        <v>37.25</v>
      </c>
    </row>
    <row r="8891" customFormat="false" ht="15" hidden="false" customHeight="false" outlineLevel="0" collapsed="false">
      <c r="A8891" s="0" t="n">
        <v>8890</v>
      </c>
      <c r="B8891" s="18" t="n">
        <v>1803204.3867613</v>
      </c>
      <c r="C8891" s="18" t="n">
        <v>9941105.51321226</v>
      </c>
      <c r="D8891" s="0" t="n">
        <v>1</v>
      </c>
    </row>
    <row r="8892" customFormat="false" ht="15" hidden="false" customHeight="false" outlineLevel="0" collapsed="false">
      <c r="A8892" s="0" t="n">
        <v>8891</v>
      </c>
      <c r="B8892" s="18" t="n">
        <v>492517.989046376</v>
      </c>
      <c r="C8892" s="18" t="n">
        <v>0</v>
      </c>
      <c r="D8892" s="0" t="n">
        <v>0</v>
      </c>
      <c r="E8892" s="19" t="n">
        <v>37</v>
      </c>
    </row>
    <row r="8893" customFormat="false" ht="15" hidden="false" customHeight="false" outlineLevel="0" collapsed="false">
      <c r="A8893" s="0" t="n">
        <v>8892</v>
      </c>
      <c r="B8893" s="18" t="n">
        <v>988378.704927472</v>
      </c>
      <c r="C8893" s="18" t="n">
        <v>0</v>
      </c>
      <c r="D8893" s="0" t="n">
        <v>0</v>
      </c>
      <c r="E8893" s="19" t="n">
        <v>46.3333333333333</v>
      </c>
    </row>
    <row r="8894" customFormat="false" ht="15" hidden="false" customHeight="false" outlineLevel="0" collapsed="false">
      <c r="A8894" s="0" t="n">
        <v>8893</v>
      </c>
      <c r="B8894" s="18" t="n">
        <v>777133.486736932</v>
      </c>
      <c r="C8894" s="18" t="n">
        <v>4856632.21268138</v>
      </c>
      <c r="D8894" s="0" t="n">
        <v>1</v>
      </c>
    </row>
    <row r="8895" customFormat="false" ht="15" hidden="false" customHeight="false" outlineLevel="0" collapsed="false">
      <c r="A8895" s="0" t="n">
        <v>8894</v>
      </c>
      <c r="B8895" s="18" t="n">
        <v>772393.341099969</v>
      </c>
      <c r="C8895" s="18" t="n">
        <v>0</v>
      </c>
      <c r="D8895" s="0" t="n">
        <v>0</v>
      </c>
      <c r="E8895" s="19" t="n">
        <v>45.4166666666667</v>
      </c>
    </row>
    <row r="8896" customFormat="false" ht="15" hidden="false" customHeight="false" outlineLevel="0" collapsed="false">
      <c r="A8896" s="0" t="n">
        <v>8895</v>
      </c>
      <c r="B8896" s="18" t="n">
        <v>3581374.80756902</v>
      </c>
      <c r="C8896" s="18" t="n">
        <v>79048821.7186827</v>
      </c>
      <c r="D8896" s="0" t="n">
        <v>1</v>
      </c>
    </row>
    <row r="8897" customFormat="false" ht="15" hidden="false" customHeight="false" outlineLevel="0" collapsed="false">
      <c r="A8897" s="0" t="n">
        <v>8896</v>
      </c>
      <c r="B8897" s="18" t="n">
        <v>782950.360414424</v>
      </c>
      <c r="C8897" s="18" t="n">
        <v>0</v>
      </c>
      <c r="D8897" s="0" t="n">
        <v>0</v>
      </c>
      <c r="E8897" s="19" t="n">
        <v>46.5833333333333</v>
      </c>
    </row>
    <row r="8898" customFormat="false" ht="15" hidden="false" customHeight="false" outlineLevel="0" collapsed="false">
      <c r="A8898" s="0" t="n">
        <v>8897</v>
      </c>
      <c r="B8898" s="18" t="n">
        <v>965466.44194399</v>
      </c>
      <c r="C8898" s="18" t="n">
        <v>0</v>
      </c>
      <c r="D8898" s="0" t="n">
        <v>0</v>
      </c>
      <c r="E8898" s="19" t="n">
        <v>45.4166666666667</v>
      </c>
    </row>
    <row r="8899" customFormat="false" ht="15" hidden="false" customHeight="false" outlineLevel="0" collapsed="false">
      <c r="A8899" s="0" t="n">
        <v>8898</v>
      </c>
      <c r="B8899" s="18" t="n">
        <v>782152.986039094</v>
      </c>
      <c r="C8899" s="18" t="n">
        <v>0</v>
      </c>
      <c r="D8899" s="0" t="n">
        <v>0</v>
      </c>
      <c r="E8899" s="19" t="n">
        <v>40.1666666666667</v>
      </c>
    </row>
    <row r="8900" customFormat="false" ht="15" hidden="false" customHeight="false" outlineLevel="0" collapsed="false">
      <c r="A8900" s="0" t="n">
        <v>8899</v>
      </c>
      <c r="B8900" s="18" t="n">
        <v>1943565.36256974</v>
      </c>
      <c r="C8900" s="18" t="n">
        <v>5771449.72834307</v>
      </c>
      <c r="D8900" s="0" t="n">
        <v>1</v>
      </c>
    </row>
    <row r="8901" customFormat="false" ht="15" hidden="false" customHeight="false" outlineLevel="0" collapsed="false">
      <c r="A8901" s="0" t="n">
        <v>8900</v>
      </c>
      <c r="B8901" s="18" t="n">
        <v>959998.556927508</v>
      </c>
      <c r="C8901" s="18" t="n">
        <v>0</v>
      </c>
      <c r="D8901" s="0" t="n">
        <v>0</v>
      </c>
      <c r="E8901" s="19" t="n">
        <v>53.6666666666667</v>
      </c>
    </row>
    <row r="8902" customFormat="false" ht="15" hidden="false" customHeight="false" outlineLevel="0" collapsed="false">
      <c r="A8902" s="0" t="n">
        <v>8901</v>
      </c>
      <c r="B8902" s="18" t="n">
        <v>730336.978444175</v>
      </c>
      <c r="C8902" s="18" t="n">
        <v>0</v>
      </c>
      <c r="D8902" s="0" t="n">
        <v>0</v>
      </c>
      <c r="E8902" s="19" t="n">
        <v>37.8333333333333</v>
      </c>
    </row>
    <row r="8903" customFormat="false" ht="15" hidden="false" customHeight="false" outlineLevel="0" collapsed="false">
      <c r="A8903" s="0" t="n">
        <v>8902</v>
      </c>
      <c r="B8903" s="18" t="n">
        <v>962633.304150835</v>
      </c>
      <c r="C8903" s="18" t="n">
        <v>437321.181012003</v>
      </c>
      <c r="D8903" s="0" t="n">
        <v>1</v>
      </c>
    </row>
    <row r="8904" customFormat="false" ht="15" hidden="false" customHeight="false" outlineLevel="0" collapsed="false">
      <c r="A8904" s="0" t="n">
        <v>8903</v>
      </c>
      <c r="B8904" s="18" t="n">
        <v>626298.15789247</v>
      </c>
      <c r="C8904" s="18" t="n">
        <v>0</v>
      </c>
      <c r="D8904" s="0" t="n">
        <v>0</v>
      </c>
      <c r="E8904" s="19" t="n">
        <v>34</v>
      </c>
    </row>
    <row r="8905" customFormat="false" ht="15" hidden="false" customHeight="false" outlineLevel="0" collapsed="false">
      <c r="A8905" s="0" t="n">
        <v>8904</v>
      </c>
      <c r="B8905" s="18" t="n">
        <v>1397934.29827087</v>
      </c>
      <c r="C8905" s="18" t="n">
        <v>0</v>
      </c>
      <c r="D8905" s="0" t="n">
        <v>0</v>
      </c>
      <c r="E8905" s="19" t="n">
        <v>54.5833333333333</v>
      </c>
    </row>
    <row r="8906" customFormat="false" ht="15" hidden="false" customHeight="false" outlineLevel="0" collapsed="false">
      <c r="A8906" s="0" t="n">
        <v>8905</v>
      </c>
      <c r="B8906" s="18" t="n">
        <v>2068084.03537422</v>
      </c>
      <c r="C8906" s="18" t="n">
        <v>75810512.7850645</v>
      </c>
      <c r="D8906" s="0" t="n">
        <v>1</v>
      </c>
    </row>
    <row r="8907" customFormat="false" ht="15" hidden="false" customHeight="false" outlineLevel="0" collapsed="false">
      <c r="A8907" s="0" t="n">
        <v>8906</v>
      </c>
      <c r="B8907" s="18" t="n">
        <v>599914.113150507</v>
      </c>
      <c r="C8907" s="18" t="n">
        <v>0</v>
      </c>
      <c r="D8907" s="0" t="n">
        <v>0</v>
      </c>
      <c r="E8907" s="19" t="n">
        <v>40.3333333333333</v>
      </c>
    </row>
    <row r="8908" customFormat="false" ht="15" hidden="false" customHeight="false" outlineLevel="0" collapsed="false">
      <c r="A8908" s="0" t="n">
        <v>8907</v>
      </c>
      <c r="B8908" s="18" t="n">
        <v>518368.191077293</v>
      </c>
      <c r="C8908" s="18" t="n">
        <v>0</v>
      </c>
      <c r="D8908" s="0" t="n">
        <v>0</v>
      </c>
      <c r="E8908" s="19" t="n">
        <v>33.0833333333333</v>
      </c>
    </row>
    <row r="8909" customFormat="false" ht="15" hidden="false" customHeight="false" outlineLevel="0" collapsed="false">
      <c r="A8909" s="0" t="n">
        <v>8908</v>
      </c>
      <c r="B8909" s="18" t="n">
        <v>433316.79619824</v>
      </c>
      <c r="C8909" s="18" t="n">
        <v>0</v>
      </c>
      <c r="D8909" s="0" t="n">
        <v>0</v>
      </c>
      <c r="E8909" s="19" t="n">
        <v>36.3333333333333</v>
      </c>
    </row>
    <row r="8910" customFormat="false" ht="15" hidden="false" customHeight="false" outlineLevel="0" collapsed="false">
      <c r="A8910" s="0" t="n">
        <v>8909</v>
      </c>
      <c r="B8910" s="18" t="n">
        <v>1072398.53653366</v>
      </c>
      <c r="C8910" s="18" t="n">
        <v>0</v>
      </c>
      <c r="D8910" s="0" t="n">
        <v>0</v>
      </c>
      <c r="E8910" s="19" t="n">
        <v>36.9166666666667</v>
      </c>
    </row>
    <row r="8911" customFormat="false" ht="15" hidden="false" customHeight="false" outlineLevel="0" collapsed="false">
      <c r="A8911" s="0" t="n">
        <v>8910</v>
      </c>
      <c r="B8911" s="18" t="n">
        <v>535624.551274473</v>
      </c>
      <c r="C8911" s="18" t="n">
        <v>0</v>
      </c>
      <c r="D8911" s="0" t="n">
        <v>0</v>
      </c>
      <c r="E8911" s="19" t="n">
        <v>35.1666666666667</v>
      </c>
    </row>
    <row r="8912" customFormat="false" ht="15" hidden="false" customHeight="false" outlineLevel="0" collapsed="false">
      <c r="A8912" s="0" t="n">
        <v>8911</v>
      </c>
      <c r="B8912" s="18" t="n">
        <v>805174.160302596</v>
      </c>
      <c r="C8912" s="18" t="n">
        <v>0</v>
      </c>
      <c r="D8912" s="0" t="n">
        <v>0</v>
      </c>
      <c r="E8912" s="19" t="n">
        <v>36.5</v>
      </c>
    </row>
    <row r="8913" customFormat="false" ht="15" hidden="false" customHeight="false" outlineLevel="0" collapsed="false">
      <c r="A8913" s="0" t="n">
        <v>8912</v>
      </c>
      <c r="B8913" s="18" t="n">
        <v>913855.6079924</v>
      </c>
      <c r="C8913" s="18" t="n">
        <v>0</v>
      </c>
      <c r="D8913" s="0" t="n">
        <v>0</v>
      </c>
      <c r="E8913" s="19" t="n">
        <v>36.5</v>
      </c>
    </row>
    <row r="8914" customFormat="false" ht="15" hidden="false" customHeight="false" outlineLevel="0" collapsed="false">
      <c r="A8914" s="0" t="n">
        <v>8913</v>
      </c>
      <c r="B8914" s="18" t="n">
        <v>416616.549574219</v>
      </c>
      <c r="C8914" s="18" t="n">
        <v>0</v>
      </c>
      <c r="D8914" s="0" t="n">
        <v>0</v>
      </c>
      <c r="E8914" s="19" t="n">
        <v>33.6666666666667</v>
      </c>
    </row>
    <row r="8915" customFormat="false" ht="15" hidden="false" customHeight="false" outlineLevel="0" collapsed="false">
      <c r="A8915" s="0" t="n">
        <v>8914</v>
      </c>
      <c r="B8915" s="18" t="n">
        <v>1000086.67595763</v>
      </c>
      <c r="C8915" s="18" t="n">
        <v>6354191.09940847</v>
      </c>
      <c r="D8915" s="0" t="n">
        <v>1</v>
      </c>
    </row>
    <row r="8916" customFormat="false" ht="15" hidden="false" customHeight="false" outlineLevel="0" collapsed="false">
      <c r="A8916" s="0" t="n">
        <v>8915</v>
      </c>
      <c r="B8916" s="18" t="n">
        <v>1341016.47308096</v>
      </c>
      <c r="C8916" s="18" t="n">
        <v>1981806.6234027</v>
      </c>
      <c r="D8916" s="0" t="n">
        <v>1</v>
      </c>
    </row>
    <row r="8917" customFormat="false" ht="15" hidden="false" customHeight="false" outlineLevel="0" collapsed="false">
      <c r="A8917" s="0" t="n">
        <v>8916</v>
      </c>
      <c r="B8917" s="18" t="n">
        <v>1077630.05397102</v>
      </c>
      <c r="C8917" s="18" t="n">
        <v>850757.203989501</v>
      </c>
      <c r="D8917" s="0" t="n">
        <v>1</v>
      </c>
    </row>
    <row r="8918" customFormat="false" ht="15" hidden="false" customHeight="false" outlineLevel="0" collapsed="false">
      <c r="A8918" s="0" t="n">
        <v>8917</v>
      </c>
      <c r="B8918" s="18" t="n">
        <v>980053.026265873</v>
      </c>
      <c r="C8918" s="18" t="n">
        <v>0</v>
      </c>
      <c r="D8918" s="0" t="n">
        <v>0</v>
      </c>
      <c r="E8918" s="19" t="n">
        <v>36.5</v>
      </c>
    </row>
    <row r="8919" customFormat="false" ht="15" hidden="false" customHeight="false" outlineLevel="0" collapsed="false">
      <c r="A8919" s="0" t="n">
        <v>8918</v>
      </c>
      <c r="B8919" s="18" t="n">
        <v>780543.334263394</v>
      </c>
      <c r="C8919" s="18" t="n">
        <v>0</v>
      </c>
      <c r="D8919" s="0" t="n">
        <v>0</v>
      </c>
      <c r="E8919" s="19" t="n">
        <v>54.8333333333333</v>
      </c>
    </row>
    <row r="8920" customFormat="false" ht="15" hidden="false" customHeight="false" outlineLevel="0" collapsed="false">
      <c r="A8920" s="0" t="n">
        <v>8919</v>
      </c>
      <c r="B8920" s="18" t="n">
        <v>1176789.96092981</v>
      </c>
      <c r="C8920" s="18" t="n">
        <v>7826242.81719385</v>
      </c>
      <c r="D8920" s="0" t="n">
        <v>1</v>
      </c>
    </row>
    <row r="8921" customFormat="false" ht="15" hidden="false" customHeight="false" outlineLevel="0" collapsed="false">
      <c r="A8921" s="0" t="n">
        <v>8920</v>
      </c>
      <c r="B8921" s="18" t="n">
        <v>936461.154324543</v>
      </c>
      <c r="C8921" s="18" t="n">
        <v>0</v>
      </c>
      <c r="D8921" s="0" t="n">
        <v>0</v>
      </c>
      <c r="E8921" s="19" t="n">
        <v>42.5833333333333</v>
      </c>
    </row>
    <row r="8922" customFormat="false" ht="15" hidden="false" customHeight="false" outlineLevel="0" collapsed="false">
      <c r="A8922" s="0" t="n">
        <v>8921</v>
      </c>
      <c r="B8922" s="18" t="n">
        <v>804486.629381563</v>
      </c>
      <c r="C8922" s="18" t="n">
        <v>0</v>
      </c>
      <c r="D8922" s="0" t="n">
        <v>0</v>
      </c>
      <c r="E8922" s="19" t="n">
        <v>37</v>
      </c>
    </row>
    <row r="8923" customFormat="false" ht="15" hidden="false" customHeight="false" outlineLevel="0" collapsed="false">
      <c r="A8923" s="0" t="n">
        <v>8922</v>
      </c>
      <c r="B8923" s="18" t="n">
        <v>408395.938435166</v>
      </c>
      <c r="C8923" s="18" t="n">
        <v>0</v>
      </c>
      <c r="D8923" s="0" t="n">
        <v>0</v>
      </c>
      <c r="E8923" s="19" t="n">
        <v>32.8333333333333</v>
      </c>
    </row>
    <row r="8924" customFormat="false" ht="15" hidden="false" customHeight="false" outlineLevel="0" collapsed="false">
      <c r="A8924" s="0" t="n">
        <v>8923</v>
      </c>
      <c r="B8924" s="18" t="n">
        <v>726573.433454623</v>
      </c>
      <c r="C8924" s="18" t="n">
        <v>0</v>
      </c>
      <c r="D8924" s="0" t="n">
        <v>0</v>
      </c>
      <c r="E8924" s="19" t="n">
        <v>39.6666666666667</v>
      </c>
    </row>
    <row r="8925" customFormat="false" ht="15" hidden="false" customHeight="false" outlineLevel="0" collapsed="false">
      <c r="A8925" s="0" t="n">
        <v>8924</v>
      </c>
      <c r="B8925" s="18" t="n">
        <v>1484008.19488815</v>
      </c>
      <c r="C8925" s="18" t="n">
        <v>0</v>
      </c>
      <c r="D8925" s="0" t="n">
        <v>0</v>
      </c>
      <c r="E8925" s="19" t="n">
        <v>46</v>
      </c>
    </row>
    <row r="8926" customFormat="false" ht="15" hidden="false" customHeight="false" outlineLevel="0" collapsed="false">
      <c r="A8926" s="0" t="n">
        <v>8925</v>
      </c>
      <c r="B8926" s="18" t="n">
        <v>1061359.22074781</v>
      </c>
      <c r="C8926" s="18" t="n">
        <v>0</v>
      </c>
      <c r="D8926" s="0" t="n">
        <v>0</v>
      </c>
      <c r="E8926" s="19" t="n">
        <v>41.0833333333333</v>
      </c>
    </row>
    <row r="8927" customFormat="false" ht="15" hidden="false" customHeight="false" outlineLevel="0" collapsed="false">
      <c r="A8927" s="0" t="n">
        <v>8926</v>
      </c>
      <c r="B8927" s="18" t="n">
        <v>1184788.74180384</v>
      </c>
      <c r="C8927" s="18" t="n">
        <v>1244142.32881545</v>
      </c>
      <c r="D8927" s="0" t="n">
        <v>1</v>
      </c>
    </row>
    <row r="8928" customFormat="false" ht="15" hidden="false" customHeight="false" outlineLevel="0" collapsed="false">
      <c r="A8928" s="0" t="n">
        <v>8927</v>
      </c>
      <c r="B8928" s="18" t="n">
        <v>430641.677433483</v>
      </c>
      <c r="C8928" s="18" t="n">
        <v>0</v>
      </c>
      <c r="D8928" s="0" t="n">
        <v>0</v>
      </c>
      <c r="E8928" s="19" t="n">
        <v>31.1666666666667</v>
      </c>
    </row>
    <row r="8929" customFormat="false" ht="15" hidden="false" customHeight="false" outlineLevel="0" collapsed="false">
      <c r="A8929" s="0" t="n">
        <v>8928</v>
      </c>
      <c r="B8929" s="18" t="n">
        <v>1458680.51130569</v>
      </c>
      <c r="C8929" s="18" t="n">
        <v>4431407.3942917</v>
      </c>
      <c r="D8929" s="0" t="n">
        <v>1</v>
      </c>
    </row>
    <row r="8930" customFormat="false" ht="15" hidden="false" customHeight="false" outlineLevel="0" collapsed="false">
      <c r="A8930" s="0" t="n">
        <v>8929</v>
      </c>
      <c r="B8930" s="18" t="n">
        <v>581947.247885162</v>
      </c>
      <c r="C8930" s="18" t="n">
        <v>0</v>
      </c>
      <c r="D8930" s="0" t="n">
        <v>0</v>
      </c>
      <c r="E8930" s="19" t="n">
        <v>32.9166666666667</v>
      </c>
    </row>
    <row r="8931" customFormat="false" ht="15" hidden="false" customHeight="false" outlineLevel="0" collapsed="false">
      <c r="A8931" s="0" t="n">
        <v>8930</v>
      </c>
      <c r="B8931" s="18" t="n">
        <v>814383.040880709</v>
      </c>
      <c r="C8931" s="18" t="n">
        <v>0</v>
      </c>
      <c r="D8931" s="0" t="n">
        <v>0</v>
      </c>
      <c r="E8931" s="19" t="n">
        <v>42.1666666666667</v>
      </c>
    </row>
    <row r="8932" customFormat="false" ht="15" hidden="false" customHeight="false" outlineLevel="0" collapsed="false">
      <c r="A8932" s="0" t="n">
        <v>8931</v>
      </c>
      <c r="B8932" s="18" t="n">
        <v>711394.728567081</v>
      </c>
      <c r="C8932" s="18" t="n">
        <v>0</v>
      </c>
      <c r="D8932" s="0" t="n">
        <v>0</v>
      </c>
      <c r="E8932" s="19" t="n">
        <v>36.0833333333333</v>
      </c>
    </row>
    <row r="8933" customFormat="false" ht="15" hidden="false" customHeight="false" outlineLevel="0" collapsed="false">
      <c r="A8933" s="0" t="n">
        <v>8932</v>
      </c>
      <c r="B8933" s="18" t="n">
        <v>1001902.98801173</v>
      </c>
      <c r="C8933" s="18" t="n">
        <v>11026716.0471059</v>
      </c>
      <c r="D8933" s="0" t="n">
        <v>1</v>
      </c>
    </row>
    <row r="8934" customFormat="false" ht="15" hidden="false" customHeight="false" outlineLevel="0" collapsed="false">
      <c r="A8934" s="0" t="n">
        <v>8933</v>
      </c>
      <c r="B8934" s="18" t="n">
        <v>725515.604327611</v>
      </c>
      <c r="C8934" s="18" t="n">
        <v>0</v>
      </c>
      <c r="D8934" s="0" t="n">
        <v>0</v>
      </c>
      <c r="E8934" s="19" t="n">
        <v>35.3333333333333</v>
      </c>
    </row>
    <row r="8935" customFormat="false" ht="15" hidden="false" customHeight="false" outlineLevel="0" collapsed="false">
      <c r="A8935" s="0" t="n">
        <v>8934</v>
      </c>
      <c r="B8935" s="18" t="n">
        <v>2250239.77825263</v>
      </c>
      <c r="C8935" s="18" t="n">
        <v>4111930.15421634</v>
      </c>
      <c r="D8935" s="0" t="n">
        <v>1</v>
      </c>
    </row>
    <row r="8936" customFormat="false" ht="15" hidden="false" customHeight="false" outlineLevel="0" collapsed="false">
      <c r="A8936" s="0" t="n">
        <v>8935</v>
      </c>
      <c r="B8936" s="18" t="n">
        <v>856355.405369875</v>
      </c>
      <c r="C8936" s="18" t="n">
        <v>0</v>
      </c>
      <c r="D8936" s="0" t="n">
        <v>0</v>
      </c>
      <c r="E8936" s="19" t="n">
        <v>46.4166666666667</v>
      </c>
    </row>
    <row r="8937" customFormat="false" ht="15" hidden="false" customHeight="false" outlineLevel="0" collapsed="false">
      <c r="A8937" s="0" t="n">
        <v>8936</v>
      </c>
      <c r="B8937" s="18" t="n">
        <v>460680.347684759</v>
      </c>
      <c r="C8937" s="18" t="n">
        <v>0</v>
      </c>
      <c r="D8937" s="0" t="n">
        <v>0</v>
      </c>
      <c r="E8937" s="19" t="n">
        <v>34.1666666666667</v>
      </c>
    </row>
    <row r="8938" customFormat="false" ht="15" hidden="false" customHeight="false" outlineLevel="0" collapsed="false">
      <c r="A8938" s="0" t="n">
        <v>8937</v>
      </c>
      <c r="B8938" s="18" t="n">
        <v>937509.32865431</v>
      </c>
      <c r="C8938" s="18" t="n">
        <v>279111.167751456</v>
      </c>
      <c r="D8938" s="0" t="n">
        <v>1</v>
      </c>
    </row>
    <row r="8939" customFormat="false" ht="15" hidden="false" customHeight="false" outlineLevel="0" collapsed="false">
      <c r="A8939" s="0" t="n">
        <v>8938</v>
      </c>
      <c r="B8939" s="18" t="n">
        <v>1697077.34356929</v>
      </c>
      <c r="C8939" s="18" t="n">
        <v>739638.722987259</v>
      </c>
      <c r="D8939" s="0" t="n">
        <v>1</v>
      </c>
    </row>
    <row r="8940" customFormat="false" ht="15" hidden="false" customHeight="false" outlineLevel="0" collapsed="false">
      <c r="A8940" s="0" t="n">
        <v>8939</v>
      </c>
      <c r="B8940" s="18" t="n">
        <v>358652.375990204</v>
      </c>
      <c r="C8940" s="18" t="n">
        <v>0</v>
      </c>
      <c r="D8940" s="0" t="n">
        <v>0</v>
      </c>
      <c r="E8940" s="19" t="n">
        <v>31.5833333333333</v>
      </c>
    </row>
    <row r="8941" customFormat="false" ht="15" hidden="false" customHeight="false" outlineLevel="0" collapsed="false">
      <c r="A8941" s="0" t="n">
        <v>8940</v>
      </c>
      <c r="B8941" s="18" t="n">
        <v>626656.72539901</v>
      </c>
      <c r="C8941" s="18" t="n">
        <v>0</v>
      </c>
      <c r="D8941" s="0" t="n">
        <v>0</v>
      </c>
      <c r="E8941" s="19" t="n">
        <v>36.9166666666667</v>
      </c>
    </row>
    <row r="8942" customFormat="false" ht="15" hidden="false" customHeight="false" outlineLevel="0" collapsed="false">
      <c r="A8942" s="0" t="n">
        <v>8941</v>
      </c>
      <c r="B8942" s="18" t="n">
        <v>1199528.83127699</v>
      </c>
      <c r="C8942" s="18" t="n">
        <v>0</v>
      </c>
      <c r="D8942" s="0" t="n">
        <v>0</v>
      </c>
      <c r="E8942" s="19" t="n">
        <v>41.1666666666667</v>
      </c>
    </row>
    <row r="8943" customFormat="false" ht="15" hidden="false" customHeight="false" outlineLevel="0" collapsed="false">
      <c r="A8943" s="0" t="n">
        <v>8942</v>
      </c>
      <c r="B8943" s="18" t="n">
        <v>735900.821974213</v>
      </c>
      <c r="C8943" s="18" t="n">
        <v>0</v>
      </c>
      <c r="D8943" s="0" t="n">
        <v>0</v>
      </c>
      <c r="E8943" s="19" t="n">
        <v>39.9166666666667</v>
      </c>
    </row>
    <row r="8944" customFormat="false" ht="15" hidden="false" customHeight="false" outlineLevel="0" collapsed="false">
      <c r="A8944" s="0" t="n">
        <v>8943</v>
      </c>
      <c r="B8944" s="18" t="n">
        <v>2019833.11256509</v>
      </c>
      <c r="C8944" s="18" t="n">
        <v>1201117.04011071</v>
      </c>
      <c r="D8944" s="0" t="n">
        <v>1</v>
      </c>
    </row>
    <row r="8945" customFormat="false" ht="15" hidden="false" customHeight="false" outlineLevel="0" collapsed="false">
      <c r="A8945" s="0" t="n">
        <v>8944</v>
      </c>
      <c r="B8945" s="18" t="n">
        <v>1139773.24139782</v>
      </c>
      <c r="C8945" s="18" t="n">
        <v>0</v>
      </c>
      <c r="D8945" s="0" t="n">
        <v>0</v>
      </c>
      <c r="E8945" s="19" t="n">
        <v>41.9166666666667</v>
      </c>
    </row>
    <row r="8946" customFormat="false" ht="15" hidden="false" customHeight="false" outlineLevel="0" collapsed="false">
      <c r="A8946" s="0" t="n">
        <v>8945</v>
      </c>
      <c r="B8946" s="18" t="n">
        <v>1741006.81086113</v>
      </c>
      <c r="C8946" s="18" t="n">
        <v>0</v>
      </c>
      <c r="D8946" s="0" t="n">
        <v>0</v>
      </c>
      <c r="E8946" s="19" t="n">
        <v>50.5</v>
      </c>
    </row>
    <row r="8947" customFormat="false" ht="15" hidden="false" customHeight="false" outlineLevel="0" collapsed="false">
      <c r="A8947" s="0" t="n">
        <v>8946</v>
      </c>
      <c r="B8947" s="18" t="n">
        <v>708263.340323339</v>
      </c>
      <c r="C8947" s="18" t="n">
        <v>1681989.10870311</v>
      </c>
      <c r="D8947" s="0" t="n">
        <v>1</v>
      </c>
    </row>
    <row r="8948" customFormat="false" ht="15" hidden="false" customHeight="false" outlineLevel="0" collapsed="false">
      <c r="A8948" s="0" t="n">
        <v>8947</v>
      </c>
      <c r="B8948" s="18" t="n">
        <v>689609.174376199</v>
      </c>
      <c r="C8948" s="18" t="n">
        <v>0</v>
      </c>
      <c r="D8948" s="0" t="n">
        <v>0</v>
      </c>
      <c r="E8948" s="19" t="n">
        <v>37.5</v>
      </c>
    </row>
    <row r="8949" customFormat="false" ht="15" hidden="false" customHeight="false" outlineLevel="0" collapsed="false">
      <c r="A8949" s="0" t="n">
        <v>8948</v>
      </c>
      <c r="B8949" s="18" t="n">
        <v>1709786.25013219</v>
      </c>
      <c r="C8949" s="18" t="n">
        <v>2482082.98481036</v>
      </c>
      <c r="D8949" s="0" t="n">
        <v>1</v>
      </c>
    </row>
    <row r="8950" customFormat="false" ht="15" hidden="false" customHeight="false" outlineLevel="0" collapsed="false">
      <c r="A8950" s="0" t="n">
        <v>8949</v>
      </c>
      <c r="B8950" s="18" t="n">
        <v>352078.607182599</v>
      </c>
      <c r="C8950" s="18" t="n">
        <v>0</v>
      </c>
      <c r="D8950" s="0" t="n">
        <v>0</v>
      </c>
      <c r="E8950" s="19" t="n">
        <v>31.9166666666667</v>
      </c>
    </row>
    <row r="8951" customFormat="false" ht="15" hidden="false" customHeight="false" outlineLevel="0" collapsed="false">
      <c r="A8951" s="0" t="n">
        <v>8950</v>
      </c>
      <c r="B8951" s="18" t="n">
        <v>747761.423457297</v>
      </c>
      <c r="C8951" s="18" t="n">
        <v>0</v>
      </c>
      <c r="D8951" s="0" t="n">
        <v>0</v>
      </c>
      <c r="E8951" s="19" t="n">
        <v>46.5</v>
      </c>
    </row>
    <row r="8952" customFormat="false" ht="15" hidden="false" customHeight="false" outlineLevel="0" collapsed="false">
      <c r="A8952" s="0" t="n">
        <v>8951</v>
      </c>
      <c r="B8952" s="18" t="n">
        <v>317800.455904165</v>
      </c>
      <c r="C8952" s="18" t="n">
        <v>0</v>
      </c>
      <c r="D8952" s="0" t="n">
        <v>0</v>
      </c>
      <c r="E8952" s="19" t="n">
        <v>30.6666666666667</v>
      </c>
    </row>
    <row r="8953" customFormat="false" ht="15" hidden="false" customHeight="false" outlineLevel="0" collapsed="false">
      <c r="A8953" s="0" t="n">
        <v>8952</v>
      </c>
      <c r="B8953" s="18" t="n">
        <v>956062.893182781</v>
      </c>
      <c r="C8953" s="18" t="n">
        <v>0</v>
      </c>
      <c r="D8953" s="0" t="n">
        <v>0</v>
      </c>
      <c r="E8953" s="19" t="n">
        <v>38.3333333333333</v>
      </c>
    </row>
    <row r="8954" customFormat="false" ht="15" hidden="false" customHeight="false" outlineLevel="0" collapsed="false">
      <c r="A8954" s="0" t="n">
        <v>8953</v>
      </c>
      <c r="B8954" s="18" t="n">
        <v>1274553.37058515</v>
      </c>
      <c r="C8954" s="18" t="n">
        <v>0</v>
      </c>
      <c r="D8954" s="0" t="n">
        <v>0</v>
      </c>
      <c r="E8954" s="19" t="n">
        <v>53.6666666666667</v>
      </c>
    </row>
    <row r="8955" customFormat="false" ht="15" hidden="false" customHeight="false" outlineLevel="0" collapsed="false">
      <c r="A8955" s="0" t="n">
        <v>8954</v>
      </c>
      <c r="B8955" s="18" t="n">
        <v>370198.178745417</v>
      </c>
      <c r="C8955" s="18" t="n">
        <v>0</v>
      </c>
      <c r="D8955" s="0" t="n">
        <v>0</v>
      </c>
      <c r="E8955" s="19" t="n">
        <v>29.75</v>
      </c>
    </row>
    <row r="8956" customFormat="false" ht="15" hidden="false" customHeight="false" outlineLevel="0" collapsed="false">
      <c r="A8956" s="0" t="n">
        <v>8955</v>
      </c>
      <c r="B8956" s="18" t="n">
        <v>1247234.11075579</v>
      </c>
      <c r="C8956" s="18" t="n">
        <v>0</v>
      </c>
      <c r="D8956" s="0" t="n">
        <v>0</v>
      </c>
      <c r="E8956" s="19" t="n">
        <v>50</v>
      </c>
    </row>
    <row r="8957" customFormat="false" ht="15" hidden="false" customHeight="false" outlineLevel="0" collapsed="false">
      <c r="A8957" s="0" t="n">
        <v>8956</v>
      </c>
      <c r="B8957" s="18" t="n">
        <v>1103279.76411207</v>
      </c>
      <c r="C8957" s="18" t="n">
        <v>1455314.00409795</v>
      </c>
      <c r="D8957" s="0" t="n">
        <v>1</v>
      </c>
    </row>
    <row r="8958" customFormat="false" ht="15" hidden="false" customHeight="false" outlineLevel="0" collapsed="false">
      <c r="A8958" s="0" t="n">
        <v>8957</v>
      </c>
      <c r="B8958" s="18" t="n">
        <v>1399735.96739992</v>
      </c>
      <c r="C8958" s="18" t="n">
        <v>408680.371775678</v>
      </c>
      <c r="D8958" s="0" t="n">
        <v>1</v>
      </c>
    </row>
    <row r="8959" customFormat="false" ht="15" hidden="false" customHeight="false" outlineLevel="0" collapsed="false">
      <c r="A8959" s="0" t="n">
        <v>8958</v>
      </c>
      <c r="B8959" s="18" t="n">
        <v>1598328.6714043</v>
      </c>
      <c r="C8959" s="18" t="n">
        <v>2256216.38285474</v>
      </c>
      <c r="D8959" s="0" t="n">
        <v>1</v>
      </c>
    </row>
    <row r="8960" customFormat="false" ht="15" hidden="false" customHeight="false" outlineLevel="0" collapsed="false">
      <c r="A8960" s="0" t="n">
        <v>8959</v>
      </c>
      <c r="B8960" s="18" t="n">
        <v>1014627.04244237</v>
      </c>
      <c r="C8960" s="18" t="n">
        <v>0</v>
      </c>
      <c r="D8960" s="0" t="n">
        <v>0</v>
      </c>
      <c r="E8960" s="19" t="n">
        <v>48</v>
      </c>
    </row>
    <row r="8961" customFormat="false" ht="15" hidden="false" customHeight="false" outlineLevel="0" collapsed="false">
      <c r="A8961" s="0" t="n">
        <v>8960</v>
      </c>
      <c r="B8961" s="18" t="n">
        <v>2192472.24943127</v>
      </c>
      <c r="C8961" s="18" t="n">
        <v>22067459.8818576</v>
      </c>
      <c r="D8961" s="0" t="n">
        <v>1</v>
      </c>
    </row>
    <row r="8962" customFormat="false" ht="15" hidden="false" customHeight="false" outlineLevel="0" collapsed="false">
      <c r="A8962" s="0" t="n">
        <v>8961</v>
      </c>
      <c r="B8962" s="18" t="n">
        <v>1173629.7544004</v>
      </c>
      <c r="C8962" s="18" t="n">
        <v>1096532.80974974</v>
      </c>
      <c r="D8962" s="0" t="n">
        <v>1</v>
      </c>
    </row>
    <row r="8963" customFormat="false" ht="15" hidden="false" customHeight="false" outlineLevel="0" collapsed="false">
      <c r="A8963" s="0" t="n">
        <v>8962</v>
      </c>
      <c r="B8963" s="18" t="n">
        <v>887739.846782266</v>
      </c>
      <c r="C8963" s="18" t="n">
        <v>0</v>
      </c>
      <c r="D8963" s="0" t="n">
        <v>0</v>
      </c>
      <c r="E8963" s="19" t="n">
        <v>39.8333333333333</v>
      </c>
    </row>
    <row r="8964" customFormat="false" ht="15" hidden="false" customHeight="false" outlineLevel="0" collapsed="false">
      <c r="A8964" s="0" t="n">
        <v>8963</v>
      </c>
      <c r="B8964" s="18" t="n">
        <v>449801.960444807</v>
      </c>
      <c r="C8964" s="18" t="n">
        <v>0</v>
      </c>
      <c r="D8964" s="0" t="n">
        <v>0</v>
      </c>
      <c r="E8964" s="19" t="n">
        <v>34.5</v>
      </c>
    </row>
    <row r="8965" customFormat="false" ht="15" hidden="false" customHeight="false" outlineLevel="0" collapsed="false">
      <c r="A8965" s="0" t="n">
        <v>8964</v>
      </c>
      <c r="B8965" s="18" t="n">
        <v>1506502.3201426</v>
      </c>
      <c r="C8965" s="18" t="n">
        <v>0</v>
      </c>
      <c r="D8965" s="0" t="n">
        <v>0</v>
      </c>
      <c r="E8965" s="19" t="n">
        <v>51.3333333333333</v>
      </c>
    </row>
    <row r="8966" customFormat="false" ht="15" hidden="false" customHeight="false" outlineLevel="0" collapsed="false">
      <c r="A8966" s="0" t="n">
        <v>8965</v>
      </c>
      <c r="B8966" s="18" t="n">
        <v>439578.092150262</v>
      </c>
      <c r="C8966" s="18" t="n">
        <v>0</v>
      </c>
      <c r="D8966" s="0" t="n">
        <v>0</v>
      </c>
      <c r="E8966" s="19" t="n">
        <v>30.8333333333333</v>
      </c>
    </row>
    <row r="8967" customFormat="false" ht="15" hidden="false" customHeight="false" outlineLevel="0" collapsed="false">
      <c r="A8967" s="0" t="n">
        <v>8966</v>
      </c>
      <c r="B8967" s="18" t="n">
        <v>619069.139439158</v>
      </c>
      <c r="C8967" s="18" t="n">
        <v>0</v>
      </c>
      <c r="D8967" s="0" t="n">
        <v>0</v>
      </c>
      <c r="E8967" s="19" t="n">
        <v>37.25</v>
      </c>
    </row>
    <row r="8968" customFormat="false" ht="15" hidden="false" customHeight="false" outlineLevel="0" collapsed="false">
      <c r="A8968" s="0" t="n">
        <v>8967</v>
      </c>
      <c r="B8968" s="18" t="n">
        <v>579801.40597896</v>
      </c>
      <c r="C8968" s="18" t="n">
        <v>0</v>
      </c>
      <c r="D8968" s="0" t="n">
        <v>0</v>
      </c>
      <c r="E8968" s="19" t="n">
        <v>37.4166666666667</v>
      </c>
    </row>
    <row r="8969" customFormat="false" ht="15" hidden="false" customHeight="false" outlineLevel="0" collapsed="false">
      <c r="A8969" s="0" t="n">
        <v>8968</v>
      </c>
      <c r="B8969" s="18" t="n">
        <v>1012954.8693074</v>
      </c>
      <c r="C8969" s="18" t="n">
        <v>1723306.41470161</v>
      </c>
      <c r="D8969" s="0" t="n">
        <v>1</v>
      </c>
    </row>
    <row r="8970" customFormat="false" ht="15" hidden="false" customHeight="false" outlineLevel="0" collapsed="false">
      <c r="A8970" s="0" t="n">
        <v>8969</v>
      </c>
      <c r="B8970" s="18" t="n">
        <v>3469746.86679809</v>
      </c>
      <c r="C8970" s="18" t="n">
        <v>19323527.5355955</v>
      </c>
      <c r="D8970" s="0" t="n">
        <v>1</v>
      </c>
    </row>
    <row r="8971" customFormat="false" ht="15" hidden="false" customHeight="false" outlineLevel="0" collapsed="false">
      <c r="A8971" s="0" t="n">
        <v>8970</v>
      </c>
      <c r="B8971" s="18" t="n">
        <v>1944700.10215867</v>
      </c>
      <c r="C8971" s="18" t="n">
        <v>682452.773597122</v>
      </c>
      <c r="D8971" s="0" t="n">
        <v>1</v>
      </c>
    </row>
    <row r="8972" customFormat="false" ht="15" hidden="false" customHeight="false" outlineLevel="0" collapsed="false">
      <c r="A8972" s="0" t="n">
        <v>8971</v>
      </c>
      <c r="B8972" s="18" t="n">
        <v>1800136.80052511</v>
      </c>
      <c r="C8972" s="18" t="n">
        <v>2062519.92348606</v>
      </c>
      <c r="D8972" s="0" t="n">
        <v>1</v>
      </c>
    </row>
    <row r="8973" customFormat="false" ht="15" hidden="false" customHeight="false" outlineLevel="0" collapsed="false">
      <c r="A8973" s="0" t="n">
        <v>8972</v>
      </c>
      <c r="B8973" s="18" t="n">
        <v>879563.265932246</v>
      </c>
      <c r="C8973" s="18" t="n">
        <v>0</v>
      </c>
      <c r="D8973" s="0" t="n">
        <v>0</v>
      </c>
      <c r="E8973" s="19" t="n">
        <v>38.6666666666667</v>
      </c>
    </row>
    <row r="8974" customFormat="false" ht="15" hidden="false" customHeight="false" outlineLevel="0" collapsed="false">
      <c r="A8974" s="0" t="n">
        <v>8973</v>
      </c>
      <c r="B8974" s="18" t="n">
        <v>1362937.85264869</v>
      </c>
      <c r="C8974" s="18" t="n">
        <v>0</v>
      </c>
      <c r="D8974" s="0" t="n">
        <v>0</v>
      </c>
      <c r="E8974" s="19" t="n">
        <v>48.5</v>
      </c>
    </row>
    <row r="8975" customFormat="false" ht="15" hidden="false" customHeight="false" outlineLevel="0" collapsed="false">
      <c r="A8975" s="0" t="n">
        <v>8974</v>
      </c>
      <c r="B8975" s="18" t="n">
        <v>917716.482996842</v>
      </c>
      <c r="C8975" s="18" t="n">
        <v>0</v>
      </c>
      <c r="D8975" s="0" t="n">
        <v>0</v>
      </c>
      <c r="E8975" s="19" t="n">
        <v>40.5833333333333</v>
      </c>
    </row>
    <row r="8976" customFormat="false" ht="15" hidden="false" customHeight="false" outlineLevel="0" collapsed="false">
      <c r="A8976" s="0" t="n">
        <v>8975</v>
      </c>
      <c r="B8976" s="18" t="n">
        <v>3056590.9004294</v>
      </c>
      <c r="C8976" s="18" t="n">
        <v>15074647.8657921</v>
      </c>
      <c r="D8976" s="0" t="n">
        <v>1</v>
      </c>
    </row>
    <row r="8977" customFormat="false" ht="15" hidden="false" customHeight="false" outlineLevel="0" collapsed="false">
      <c r="A8977" s="0" t="n">
        <v>8976</v>
      </c>
      <c r="B8977" s="18" t="n">
        <v>601092.213931741</v>
      </c>
      <c r="C8977" s="18" t="n">
        <v>0</v>
      </c>
      <c r="D8977" s="0" t="n">
        <v>0</v>
      </c>
      <c r="E8977" s="19" t="n">
        <v>43.3333333333333</v>
      </c>
    </row>
    <row r="8978" customFormat="false" ht="15" hidden="false" customHeight="false" outlineLevel="0" collapsed="false">
      <c r="A8978" s="0" t="n">
        <v>8977</v>
      </c>
      <c r="B8978" s="18" t="n">
        <v>511566.66251685</v>
      </c>
      <c r="C8978" s="18" t="n">
        <v>0</v>
      </c>
      <c r="D8978" s="0" t="n">
        <v>0</v>
      </c>
      <c r="E8978" s="19" t="n">
        <v>37</v>
      </c>
    </row>
    <row r="8979" customFormat="false" ht="15" hidden="false" customHeight="false" outlineLevel="0" collapsed="false">
      <c r="A8979" s="0" t="n">
        <v>8978</v>
      </c>
      <c r="B8979" s="18" t="n">
        <v>547927.641024857</v>
      </c>
      <c r="C8979" s="18" t="n">
        <v>0</v>
      </c>
      <c r="D8979" s="0" t="n">
        <v>0</v>
      </c>
      <c r="E8979" s="19" t="n">
        <v>33.5833333333333</v>
      </c>
    </row>
    <row r="8980" customFormat="false" ht="15" hidden="false" customHeight="false" outlineLevel="0" collapsed="false">
      <c r="A8980" s="0" t="n">
        <v>8979</v>
      </c>
      <c r="B8980" s="18" t="n">
        <v>381281.486236777</v>
      </c>
      <c r="C8980" s="18" t="n">
        <v>0</v>
      </c>
      <c r="D8980" s="0" t="n">
        <v>0</v>
      </c>
      <c r="E8980" s="19" t="n">
        <v>31.5833333333333</v>
      </c>
    </row>
    <row r="8981" customFormat="false" ht="15" hidden="false" customHeight="false" outlineLevel="0" collapsed="false">
      <c r="A8981" s="0" t="n">
        <v>8980</v>
      </c>
      <c r="B8981" s="18" t="n">
        <v>594287.689293046</v>
      </c>
      <c r="C8981" s="18" t="n">
        <v>0</v>
      </c>
      <c r="D8981" s="0" t="n">
        <v>0</v>
      </c>
      <c r="E8981" s="19" t="n">
        <v>54.4166666666667</v>
      </c>
    </row>
    <row r="8982" customFormat="false" ht="15" hidden="false" customHeight="false" outlineLevel="0" collapsed="false">
      <c r="A8982" s="0" t="n">
        <v>8981</v>
      </c>
      <c r="B8982" s="18" t="n">
        <v>623345.56308895</v>
      </c>
      <c r="C8982" s="18" t="n">
        <v>0</v>
      </c>
      <c r="D8982" s="0" t="n">
        <v>0</v>
      </c>
      <c r="E8982" s="19" t="n">
        <v>42.4166666666667</v>
      </c>
    </row>
    <row r="8983" customFormat="false" ht="15" hidden="false" customHeight="false" outlineLevel="0" collapsed="false">
      <c r="A8983" s="0" t="n">
        <v>8982</v>
      </c>
      <c r="B8983" s="18" t="n">
        <v>806595.292016256</v>
      </c>
      <c r="C8983" s="18" t="n">
        <v>0</v>
      </c>
      <c r="D8983" s="0" t="n">
        <v>0</v>
      </c>
      <c r="E8983" s="19" t="n">
        <v>53.5</v>
      </c>
    </row>
    <row r="8984" customFormat="false" ht="15" hidden="false" customHeight="false" outlineLevel="0" collapsed="false">
      <c r="A8984" s="0" t="n">
        <v>8983</v>
      </c>
      <c r="B8984" s="18" t="n">
        <v>742450.65755328</v>
      </c>
      <c r="C8984" s="18" t="n">
        <v>0</v>
      </c>
      <c r="D8984" s="0" t="n">
        <v>0</v>
      </c>
      <c r="E8984" s="19" t="n">
        <v>43.6666666666667</v>
      </c>
    </row>
    <row r="8985" customFormat="false" ht="15" hidden="false" customHeight="false" outlineLevel="0" collapsed="false">
      <c r="A8985" s="0" t="n">
        <v>8984</v>
      </c>
      <c r="B8985" s="18" t="n">
        <v>2415730.78839293</v>
      </c>
      <c r="C8985" s="18" t="n">
        <v>1365037.94691439</v>
      </c>
      <c r="D8985" s="0" t="n">
        <v>1</v>
      </c>
    </row>
    <row r="8986" customFormat="false" ht="15" hidden="false" customHeight="false" outlineLevel="0" collapsed="false">
      <c r="A8986" s="0" t="n">
        <v>8985</v>
      </c>
      <c r="B8986" s="18" t="n">
        <v>292981.503901334</v>
      </c>
      <c r="C8986" s="18" t="n">
        <v>0</v>
      </c>
      <c r="D8986" s="0" t="n">
        <v>0</v>
      </c>
      <c r="E8986" s="19" t="n">
        <v>32.75</v>
      </c>
    </row>
    <row r="8987" customFormat="false" ht="15" hidden="false" customHeight="false" outlineLevel="0" collapsed="false">
      <c r="A8987" s="0" t="n">
        <v>8986</v>
      </c>
      <c r="B8987" s="18" t="n">
        <v>366161.336467828</v>
      </c>
      <c r="C8987" s="18" t="n">
        <v>0</v>
      </c>
      <c r="D8987" s="0" t="n">
        <v>0</v>
      </c>
      <c r="E8987" s="19" t="n">
        <v>32.1666666666667</v>
      </c>
    </row>
    <row r="8988" customFormat="false" ht="15" hidden="false" customHeight="false" outlineLevel="0" collapsed="false">
      <c r="A8988" s="0" t="n">
        <v>8987</v>
      </c>
      <c r="B8988" s="18" t="n">
        <v>492147.999582398</v>
      </c>
      <c r="C8988" s="18" t="n">
        <v>0</v>
      </c>
      <c r="D8988" s="0" t="n">
        <v>0</v>
      </c>
      <c r="E8988" s="19" t="n">
        <v>38.0833333333333</v>
      </c>
    </row>
    <row r="8989" customFormat="false" ht="15" hidden="false" customHeight="false" outlineLevel="0" collapsed="false">
      <c r="A8989" s="0" t="n">
        <v>8988</v>
      </c>
      <c r="B8989" s="18" t="n">
        <v>355756.479611731</v>
      </c>
      <c r="C8989" s="18" t="n">
        <v>0</v>
      </c>
      <c r="D8989" s="0" t="n">
        <v>0</v>
      </c>
      <c r="E8989" s="19" t="n">
        <v>29.5</v>
      </c>
    </row>
    <row r="8990" customFormat="false" ht="15" hidden="false" customHeight="false" outlineLevel="0" collapsed="false">
      <c r="A8990" s="0" t="n">
        <v>8989</v>
      </c>
      <c r="B8990" s="18" t="n">
        <v>608466.385113195</v>
      </c>
      <c r="C8990" s="18" t="n">
        <v>0</v>
      </c>
      <c r="D8990" s="0" t="n">
        <v>0</v>
      </c>
      <c r="E8990" s="19" t="n">
        <v>37.8333333333333</v>
      </c>
    </row>
    <row r="8991" customFormat="false" ht="15" hidden="false" customHeight="false" outlineLevel="0" collapsed="false">
      <c r="A8991" s="0" t="n">
        <v>8990</v>
      </c>
      <c r="B8991" s="18" t="n">
        <v>927302.327033653</v>
      </c>
      <c r="C8991" s="18" t="n">
        <v>0</v>
      </c>
      <c r="D8991" s="0" t="n">
        <v>0</v>
      </c>
      <c r="E8991" s="19" t="n">
        <v>47.5833333333333</v>
      </c>
    </row>
    <row r="8992" customFormat="false" ht="15" hidden="false" customHeight="false" outlineLevel="0" collapsed="false">
      <c r="A8992" s="0" t="n">
        <v>8991</v>
      </c>
      <c r="B8992" s="18" t="n">
        <v>484224.428655807</v>
      </c>
      <c r="C8992" s="18" t="n">
        <v>0</v>
      </c>
      <c r="D8992" s="0" t="n">
        <v>0</v>
      </c>
      <c r="E8992" s="19" t="n">
        <v>33.25</v>
      </c>
    </row>
    <row r="8993" customFormat="false" ht="15" hidden="false" customHeight="false" outlineLevel="0" collapsed="false">
      <c r="A8993" s="0" t="n">
        <v>8992</v>
      </c>
      <c r="B8993" s="18" t="n">
        <v>1983267.78167628</v>
      </c>
      <c r="C8993" s="18" t="n">
        <v>3127703.58982116</v>
      </c>
      <c r="D8993" s="0" t="n">
        <v>1</v>
      </c>
    </row>
    <row r="8994" customFormat="false" ht="15" hidden="false" customHeight="false" outlineLevel="0" collapsed="false">
      <c r="A8994" s="0" t="n">
        <v>8993</v>
      </c>
      <c r="B8994" s="18" t="n">
        <v>567796.003213359</v>
      </c>
      <c r="C8994" s="18" t="n">
        <v>0</v>
      </c>
      <c r="D8994" s="0" t="n">
        <v>0</v>
      </c>
      <c r="E8994" s="19" t="n">
        <v>34.4166666666667</v>
      </c>
    </row>
    <row r="8995" customFormat="false" ht="15" hidden="false" customHeight="false" outlineLevel="0" collapsed="false">
      <c r="A8995" s="0" t="n">
        <v>8994</v>
      </c>
      <c r="B8995" s="18" t="n">
        <v>390642.678833368</v>
      </c>
      <c r="C8995" s="18" t="n">
        <v>0</v>
      </c>
      <c r="D8995" s="0" t="n">
        <v>0</v>
      </c>
      <c r="E8995" s="19" t="n">
        <v>32.9166666666667</v>
      </c>
    </row>
    <row r="8996" customFormat="false" ht="15" hidden="false" customHeight="false" outlineLevel="0" collapsed="false">
      <c r="A8996" s="0" t="n">
        <v>8995</v>
      </c>
      <c r="B8996" s="18" t="n">
        <v>746589.19048589</v>
      </c>
      <c r="C8996" s="18" t="n">
        <v>0</v>
      </c>
      <c r="D8996" s="0" t="n">
        <v>0</v>
      </c>
      <c r="E8996" s="19" t="n">
        <v>42.9166666666667</v>
      </c>
    </row>
    <row r="8997" customFormat="false" ht="15" hidden="false" customHeight="false" outlineLevel="0" collapsed="false">
      <c r="A8997" s="0" t="n">
        <v>8996</v>
      </c>
      <c r="B8997" s="18" t="n">
        <v>386503.816547293</v>
      </c>
      <c r="C8997" s="18" t="n">
        <v>0</v>
      </c>
      <c r="D8997" s="0" t="n">
        <v>0</v>
      </c>
      <c r="E8997" s="19" t="n">
        <v>32.75</v>
      </c>
    </row>
    <row r="8998" customFormat="false" ht="15" hidden="false" customHeight="false" outlineLevel="0" collapsed="false">
      <c r="A8998" s="0" t="n">
        <v>8997</v>
      </c>
      <c r="B8998" s="18" t="n">
        <v>4078116.23304662</v>
      </c>
      <c r="C8998" s="18" t="n">
        <v>0</v>
      </c>
      <c r="D8998" s="0" t="n">
        <v>0</v>
      </c>
      <c r="E8998" s="19" t="n">
        <v>53.9166666666667</v>
      </c>
    </row>
    <row r="8999" customFormat="false" ht="15" hidden="false" customHeight="false" outlineLevel="0" collapsed="false">
      <c r="A8999" s="0" t="n">
        <v>8998</v>
      </c>
      <c r="B8999" s="18" t="n">
        <v>380285.587868626</v>
      </c>
      <c r="C8999" s="18" t="n">
        <v>0</v>
      </c>
      <c r="D8999" s="0" t="n">
        <v>0</v>
      </c>
      <c r="E8999" s="19" t="n">
        <v>31.5</v>
      </c>
    </row>
    <row r="9000" customFormat="false" ht="15" hidden="false" customHeight="false" outlineLevel="0" collapsed="false">
      <c r="A9000" s="0" t="n">
        <v>8999</v>
      </c>
      <c r="B9000" s="18" t="n">
        <v>464607.794971064</v>
      </c>
      <c r="C9000" s="18" t="n">
        <v>0</v>
      </c>
      <c r="D9000" s="0" t="n">
        <v>0</v>
      </c>
      <c r="E9000" s="19" t="n">
        <v>32.5</v>
      </c>
    </row>
    <row r="9001" customFormat="false" ht="15" hidden="false" customHeight="false" outlineLevel="0" collapsed="false">
      <c r="A9001" s="0" t="n">
        <v>9000</v>
      </c>
      <c r="B9001" s="18" t="n">
        <v>728797.108722374</v>
      </c>
      <c r="C9001" s="18" t="n">
        <v>0</v>
      </c>
      <c r="D9001" s="0" t="n">
        <v>0</v>
      </c>
      <c r="E9001" s="19" t="n">
        <v>34.6666666666667</v>
      </c>
    </row>
    <row r="9002" customFormat="false" ht="15" hidden="false" customHeight="false" outlineLevel="0" collapsed="false">
      <c r="A9002" s="0" t="n">
        <v>9001</v>
      </c>
      <c r="B9002" s="18" t="n">
        <v>629418.026430997</v>
      </c>
      <c r="C9002" s="18" t="n">
        <v>0</v>
      </c>
      <c r="D9002" s="0" t="n">
        <v>0</v>
      </c>
      <c r="E9002" s="19" t="n">
        <v>32.4166666666667</v>
      </c>
    </row>
    <row r="9003" customFormat="false" ht="15" hidden="false" customHeight="false" outlineLevel="0" collapsed="false">
      <c r="A9003" s="0" t="n">
        <v>9002</v>
      </c>
      <c r="B9003" s="18" t="n">
        <v>1298847.2071103</v>
      </c>
      <c r="C9003" s="18" t="n">
        <v>834044.642594973</v>
      </c>
      <c r="D9003" s="0" t="n">
        <v>1</v>
      </c>
    </row>
    <row r="9004" customFormat="false" ht="15" hidden="false" customHeight="false" outlineLevel="0" collapsed="false">
      <c r="A9004" s="0" t="n">
        <v>9003</v>
      </c>
      <c r="B9004" s="18" t="n">
        <v>1315115.50729431</v>
      </c>
      <c r="C9004" s="18" t="n">
        <v>1078394.09873476</v>
      </c>
      <c r="D9004" s="0" t="n">
        <v>1</v>
      </c>
    </row>
    <row r="9005" customFormat="false" ht="15" hidden="false" customHeight="false" outlineLevel="0" collapsed="false">
      <c r="A9005" s="0" t="n">
        <v>9004</v>
      </c>
      <c r="B9005" s="18" t="n">
        <v>707164.812456294</v>
      </c>
      <c r="C9005" s="18" t="n">
        <v>0</v>
      </c>
      <c r="D9005" s="0" t="n">
        <v>0</v>
      </c>
      <c r="E9005" s="19" t="n">
        <v>36.0833333333333</v>
      </c>
    </row>
    <row r="9006" customFormat="false" ht="15" hidden="false" customHeight="false" outlineLevel="0" collapsed="false">
      <c r="A9006" s="0" t="n">
        <v>9005</v>
      </c>
      <c r="B9006" s="18" t="n">
        <v>1151557.83933553</v>
      </c>
      <c r="C9006" s="18" t="n">
        <v>0</v>
      </c>
      <c r="D9006" s="0" t="n">
        <v>0</v>
      </c>
      <c r="E9006" s="19" t="n">
        <v>41.8333333333333</v>
      </c>
    </row>
    <row r="9007" customFormat="false" ht="15" hidden="false" customHeight="false" outlineLevel="0" collapsed="false">
      <c r="A9007" s="0" t="n">
        <v>9006</v>
      </c>
      <c r="B9007" s="18" t="n">
        <v>554664.23505238</v>
      </c>
      <c r="C9007" s="18" t="n">
        <v>0</v>
      </c>
      <c r="D9007" s="0" t="n">
        <v>0</v>
      </c>
      <c r="E9007" s="19" t="n">
        <v>42.9166666666667</v>
      </c>
    </row>
    <row r="9008" customFormat="false" ht="15" hidden="false" customHeight="false" outlineLevel="0" collapsed="false">
      <c r="A9008" s="0" t="n">
        <v>9007</v>
      </c>
      <c r="B9008" s="18" t="n">
        <v>1687112.18152306</v>
      </c>
      <c r="C9008" s="18" t="n">
        <v>0</v>
      </c>
      <c r="D9008" s="0" t="n">
        <v>0</v>
      </c>
      <c r="E9008" s="19" t="n">
        <v>51.0833333333333</v>
      </c>
    </row>
    <row r="9009" customFormat="false" ht="15" hidden="false" customHeight="false" outlineLevel="0" collapsed="false">
      <c r="A9009" s="0" t="n">
        <v>9008</v>
      </c>
      <c r="B9009" s="18" t="n">
        <v>1218647.27637798</v>
      </c>
      <c r="C9009" s="18" t="n">
        <v>402974.931656469</v>
      </c>
      <c r="D9009" s="0" t="n">
        <v>1</v>
      </c>
    </row>
    <row r="9010" customFormat="false" ht="15" hidden="false" customHeight="false" outlineLevel="0" collapsed="false">
      <c r="A9010" s="0" t="n">
        <v>9009</v>
      </c>
      <c r="B9010" s="18" t="n">
        <v>1555572.78004453</v>
      </c>
      <c r="C9010" s="18" t="n">
        <v>0</v>
      </c>
      <c r="D9010" s="0" t="n">
        <v>0</v>
      </c>
      <c r="E9010" s="19" t="n">
        <v>49.0833333333333</v>
      </c>
    </row>
    <row r="9011" customFormat="false" ht="15" hidden="false" customHeight="false" outlineLevel="0" collapsed="false">
      <c r="A9011" s="0" t="n">
        <v>9010</v>
      </c>
      <c r="B9011" s="18" t="n">
        <v>638573.362987074</v>
      </c>
      <c r="C9011" s="18" t="n">
        <v>0</v>
      </c>
      <c r="D9011" s="0" t="n">
        <v>0</v>
      </c>
      <c r="E9011" s="19" t="n">
        <v>39.3333333333333</v>
      </c>
    </row>
    <row r="9012" customFormat="false" ht="15" hidden="false" customHeight="false" outlineLevel="0" collapsed="false">
      <c r="A9012" s="0" t="n">
        <v>9011</v>
      </c>
      <c r="B9012" s="18" t="n">
        <v>2131904.45302647</v>
      </c>
      <c r="C9012" s="18" t="n">
        <v>31847954.6523953</v>
      </c>
      <c r="D9012" s="0" t="n">
        <v>1</v>
      </c>
    </row>
    <row r="9013" customFormat="false" ht="15" hidden="false" customHeight="false" outlineLevel="0" collapsed="false">
      <c r="A9013" s="0" t="n">
        <v>9012</v>
      </c>
      <c r="B9013" s="18" t="n">
        <v>562012.001715066</v>
      </c>
      <c r="C9013" s="18" t="n">
        <v>0</v>
      </c>
      <c r="D9013" s="0" t="n">
        <v>0</v>
      </c>
      <c r="E9013" s="19" t="n">
        <v>46.5</v>
      </c>
    </row>
    <row r="9014" customFormat="false" ht="15" hidden="false" customHeight="false" outlineLevel="0" collapsed="false">
      <c r="A9014" s="0" t="n">
        <v>9013</v>
      </c>
      <c r="B9014" s="18" t="n">
        <v>617091.429878661</v>
      </c>
      <c r="C9014" s="18" t="n">
        <v>0</v>
      </c>
      <c r="D9014" s="0" t="n">
        <v>0</v>
      </c>
      <c r="E9014" s="19" t="n">
        <v>32.9166666666667</v>
      </c>
    </row>
    <row r="9015" customFormat="false" ht="15" hidden="false" customHeight="false" outlineLevel="0" collapsed="false">
      <c r="A9015" s="0" t="n">
        <v>9014</v>
      </c>
      <c r="B9015" s="18" t="n">
        <v>550666.51328249</v>
      </c>
      <c r="C9015" s="18" t="n">
        <v>0</v>
      </c>
      <c r="D9015" s="0" t="n">
        <v>0</v>
      </c>
      <c r="E9015" s="19" t="n">
        <v>33.6666666666667</v>
      </c>
    </row>
    <row r="9016" customFormat="false" ht="15" hidden="false" customHeight="false" outlineLevel="0" collapsed="false">
      <c r="A9016" s="0" t="n">
        <v>9015</v>
      </c>
      <c r="B9016" s="18" t="n">
        <v>819849.501281304</v>
      </c>
      <c r="C9016" s="18" t="n">
        <v>0</v>
      </c>
      <c r="D9016" s="0" t="n">
        <v>0</v>
      </c>
      <c r="E9016" s="19" t="n">
        <v>44.8333333333333</v>
      </c>
    </row>
    <row r="9017" customFormat="false" ht="15" hidden="false" customHeight="false" outlineLevel="0" collapsed="false">
      <c r="A9017" s="0" t="n">
        <v>9016</v>
      </c>
      <c r="B9017" s="18" t="n">
        <v>1202524.84871769</v>
      </c>
      <c r="C9017" s="18" t="n">
        <v>42495.6253373245</v>
      </c>
      <c r="D9017" s="0" t="n">
        <v>1</v>
      </c>
    </row>
    <row r="9018" customFormat="false" ht="15" hidden="false" customHeight="false" outlineLevel="0" collapsed="false">
      <c r="A9018" s="0" t="n">
        <v>9017</v>
      </c>
      <c r="B9018" s="18" t="n">
        <v>1755964.65719376</v>
      </c>
      <c r="C9018" s="18" t="n">
        <v>23762581.5250983</v>
      </c>
      <c r="D9018" s="0" t="n">
        <v>1</v>
      </c>
    </row>
    <row r="9019" customFormat="false" ht="15" hidden="false" customHeight="false" outlineLevel="0" collapsed="false">
      <c r="A9019" s="0" t="n">
        <v>9018</v>
      </c>
      <c r="B9019" s="18" t="n">
        <v>478956.505038723</v>
      </c>
      <c r="C9019" s="18" t="n">
        <v>0</v>
      </c>
      <c r="D9019" s="0" t="n">
        <v>0</v>
      </c>
      <c r="E9019" s="19" t="n">
        <v>33.25</v>
      </c>
    </row>
    <row r="9020" customFormat="false" ht="15" hidden="false" customHeight="false" outlineLevel="0" collapsed="false">
      <c r="A9020" s="0" t="n">
        <v>9019</v>
      </c>
      <c r="B9020" s="18" t="n">
        <v>1037024.95824466</v>
      </c>
      <c r="C9020" s="18" t="n">
        <v>0</v>
      </c>
      <c r="D9020" s="0" t="n">
        <v>0</v>
      </c>
      <c r="E9020" s="19" t="n">
        <v>46.5</v>
      </c>
    </row>
    <row r="9021" customFormat="false" ht="15" hidden="false" customHeight="false" outlineLevel="0" collapsed="false">
      <c r="A9021" s="0" t="n">
        <v>9020</v>
      </c>
      <c r="B9021" s="18" t="n">
        <v>1401520.92751837</v>
      </c>
      <c r="C9021" s="18" t="n">
        <v>7056136.18232852</v>
      </c>
      <c r="D9021" s="0" t="n">
        <v>1</v>
      </c>
    </row>
    <row r="9022" customFormat="false" ht="15" hidden="false" customHeight="false" outlineLevel="0" collapsed="false">
      <c r="A9022" s="0" t="n">
        <v>9021</v>
      </c>
      <c r="B9022" s="18" t="n">
        <v>1581026.53180854</v>
      </c>
      <c r="C9022" s="18" t="n">
        <v>7875087.90036029</v>
      </c>
      <c r="D9022" s="0" t="n">
        <v>1</v>
      </c>
    </row>
    <row r="9023" customFormat="false" ht="15" hidden="false" customHeight="false" outlineLevel="0" collapsed="false">
      <c r="A9023" s="0" t="n">
        <v>9022</v>
      </c>
      <c r="B9023" s="18" t="n">
        <v>562472.185860636</v>
      </c>
      <c r="C9023" s="18" t="n">
        <v>0</v>
      </c>
      <c r="D9023" s="0" t="n">
        <v>0</v>
      </c>
      <c r="E9023" s="19" t="n">
        <v>31.75</v>
      </c>
    </row>
    <row r="9024" customFormat="false" ht="15" hidden="false" customHeight="false" outlineLevel="0" collapsed="false">
      <c r="A9024" s="0" t="n">
        <v>9023</v>
      </c>
      <c r="B9024" s="18" t="n">
        <v>839012.508374384</v>
      </c>
      <c r="C9024" s="18" t="n">
        <v>0</v>
      </c>
      <c r="D9024" s="0" t="n">
        <v>0</v>
      </c>
      <c r="E9024" s="19" t="n">
        <v>48.0833333333333</v>
      </c>
    </row>
    <row r="9025" customFormat="false" ht="15" hidden="false" customHeight="false" outlineLevel="0" collapsed="false">
      <c r="A9025" s="0" t="n">
        <v>9024</v>
      </c>
      <c r="B9025" s="18" t="n">
        <v>293261.965855781</v>
      </c>
      <c r="C9025" s="18" t="n">
        <v>0</v>
      </c>
      <c r="D9025" s="0" t="n">
        <v>0</v>
      </c>
      <c r="E9025" s="19" t="n">
        <v>31.0833333333333</v>
      </c>
    </row>
    <row r="9026" customFormat="false" ht="15" hidden="false" customHeight="false" outlineLevel="0" collapsed="false">
      <c r="A9026" s="0" t="n">
        <v>9025</v>
      </c>
      <c r="B9026" s="18" t="n">
        <v>734626.281862062</v>
      </c>
      <c r="C9026" s="18" t="n">
        <v>117268.837189058</v>
      </c>
      <c r="D9026" s="0" t="n">
        <v>1</v>
      </c>
    </row>
    <row r="9027" customFormat="false" ht="15" hidden="false" customHeight="false" outlineLevel="0" collapsed="false">
      <c r="A9027" s="0" t="n">
        <v>9026</v>
      </c>
      <c r="B9027" s="18" t="n">
        <v>1404650.01351477</v>
      </c>
      <c r="C9027" s="18" t="n">
        <v>1287713.24069337</v>
      </c>
      <c r="D9027" s="0" t="n">
        <v>1</v>
      </c>
    </row>
    <row r="9028" customFormat="false" ht="15" hidden="false" customHeight="false" outlineLevel="0" collapsed="false">
      <c r="A9028" s="0" t="n">
        <v>9027</v>
      </c>
      <c r="B9028" s="18" t="n">
        <v>849117.110982567</v>
      </c>
      <c r="C9028" s="18" t="n">
        <v>0</v>
      </c>
      <c r="D9028" s="0" t="n">
        <v>0</v>
      </c>
      <c r="E9028" s="19" t="n">
        <v>37.1666666666667</v>
      </c>
    </row>
    <row r="9029" customFormat="false" ht="15" hidden="false" customHeight="false" outlineLevel="0" collapsed="false">
      <c r="A9029" s="0" t="n">
        <v>9028</v>
      </c>
      <c r="B9029" s="18" t="n">
        <v>563967.457819237</v>
      </c>
      <c r="C9029" s="18" t="n">
        <v>0</v>
      </c>
      <c r="D9029" s="0" t="n">
        <v>0</v>
      </c>
      <c r="E9029" s="19" t="n">
        <v>53.5833333333333</v>
      </c>
    </row>
    <row r="9030" customFormat="false" ht="15" hidden="false" customHeight="false" outlineLevel="0" collapsed="false">
      <c r="A9030" s="0" t="n">
        <v>9029</v>
      </c>
      <c r="B9030" s="18" t="n">
        <v>638228.101661556</v>
      </c>
      <c r="C9030" s="18" t="n">
        <v>0</v>
      </c>
      <c r="D9030" s="0" t="n">
        <v>0</v>
      </c>
      <c r="E9030" s="19" t="n">
        <v>35.9166666666667</v>
      </c>
    </row>
    <row r="9031" customFormat="false" ht="15" hidden="false" customHeight="false" outlineLevel="0" collapsed="false">
      <c r="A9031" s="0" t="n">
        <v>9030</v>
      </c>
      <c r="B9031" s="18" t="n">
        <v>1130822.88976341</v>
      </c>
      <c r="C9031" s="18" t="n">
        <v>0</v>
      </c>
      <c r="D9031" s="0" t="n">
        <v>0</v>
      </c>
      <c r="E9031" s="19" t="n">
        <v>42</v>
      </c>
    </row>
    <row r="9032" customFormat="false" ht="15" hidden="false" customHeight="false" outlineLevel="0" collapsed="false">
      <c r="A9032" s="0" t="n">
        <v>9031</v>
      </c>
      <c r="B9032" s="18" t="n">
        <v>1429819.14296663</v>
      </c>
      <c r="C9032" s="18" t="n">
        <v>9520860.45741359</v>
      </c>
      <c r="D9032" s="0" t="n">
        <v>1</v>
      </c>
    </row>
    <row r="9033" customFormat="false" ht="15" hidden="false" customHeight="false" outlineLevel="0" collapsed="false">
      <c r="A9033" s="0" t="n">
        <v>9032</v>
      </c>
      <c r="B9033" s="18" t="n">
        <v>1195510.67533935</v>
      </c>
      <c r="C9033" s="18" t="n">
        <v>0</v>
      </c>
      <c r="D9033" s="0" t="n">
        <v>0</v>
      </c>
      <c r="E9033" s="19" t="n">
        <v>42.25</v>
      </c>
    </row>
    <row r="9034" customFormat="false" ht="15" hidden="false" customHeight="false" outlineLevel="0" collapsed="false">
      <c r="A9034" s="0" t="n">
        <v>9033</v>
      </c>
      <c r="B9034" s="18" t="n">
        <v>1046590.01067828</v>
      </c>
      <c r="C9034" s="18" t="n">
        <v>943116.085302153</v>
      </c>
      <c r="D9034" s="0" t="n">
        <v>1</v>
      </c>
    </row>
    <row r="9035" customFormat="false" ht="15" hidden="false" customHeight="false" outlineLevel="0" collapsed="false">
      <c r="A9035" s="0" t="n">
        <v>9034</v>
      </c>
      <c r="B9035" s="18" t="n">
        <v>571346.008292107</v>
      </c>
      <c r="C9035" s="18" t="n">
        <v>0</v>
      </c>
      <c r="D9035" s="0" t="n">
        <v>0</v>
      </c>
      <c r="E9035" s="19" t="n">
        <v>39</v>
      </c>
    </row>
    <row r="9036" customFormat="false" ht="15" hidden="false" customHeight="false" outlineLevel="0" collapsed="false">
      <c r="A9036" s="0" t="n">
        <v>9035</v>
      </c>
      <c r="B9036" s="18" t="n">
        <v>1332213.40800908</v>
      </c>
      <c r="C9036" s="18" t="n">
        <v>707306.607486402</v>
      </c>
      <c r="D9036" s="0" t="n">
        <v>1</v>
      </c>
    </row>
    <row r="9037" customFormat="false" ht="15" hidden="false" customHeight="false" outlineLevel="0" collapsed="false">
      <c r="A9037" s="0" t="n">
        <v>9036</v>
      </c>
      <c r="B9037" s="18" t="n">
        <v>775099.830561155</v>
      </c>
      <c r="C9037" s="18" t="n">
        <v>0</v>
      </c>
      <c r="D9037" s="0" t="n">
        <v>0</v>
      </c>
      <c r="E9037" s="19" t="n">
        <v>45.6666666666667</v>
      </c>
    </row>
    <row r="9038" customFormat="false" ht="15" hidden="false" customHeight="false" outlineLevel="0" collapsed="false">
      <c r="A9038" s="0" t="n">
        <v>9037</v>
      </c>
      <c r="B9038" s="18" t="n">
        <v>563606.919038315</v>
      </c>
      <c r="C9038" s="18" t="n">
        <v>0</v>
      </c>
      <c r="D9038" s="0" t="n">
        <v>0</v>
      </c>
      <c r="E9038" s="19" t="n">
        <v>38.5</v>
      </c>
    </row>
    <row r="9039" customFormat="false" ht="15" hidden="false" customHeight="false" outlineLevel="0" collapsed="false">
      <c r="A9039" s="0" t="n">
        <v>9038</v>
      </c>
      <c r="B9039" s="18" t="n">
        <v>477808.133084426</v>
      </c>
      <c r="C9039" s="18" t="n">
        <v>0</v>
      </c>
      <c r="D9039" s="0" t="n">
        <v>0</v>
      </c>
      <c r="E9039" s="19" t="n">
        <v>35</v>
      </c>
    </row>
    <row r="9040" customFormat="false" ht="15" hidden="false" customHeight="false" outlineLevel="0" collapsed="false">
      <c r="A9040" s="0" t="n">
        <v>9039</v>
      </c>
      <c r="B9040" s="18" t="n">
        <v>501358.030420324</v>
      </c>
      <c r="C9040" s="18" t="n">
        <v>0</v>
      </c>
      <c r="D9040" s="0" t="n">
        <v>0</v>
      </c>
      <c r="E9040" s="19" t="n">
        <v>33</v>
      </c>
    </row>
    <row r="9041" customFormat="false" ht="15" hidden="false" customHeight="false" outlineLevel="0" collapsed="false">
      <c r="A9041" s="0" t="n">
        <v>9040</v>
      </c>
      <c r="B9041" s="18" t="n">
        <v>2587098.64616648</v>
      </c>
      <c r="C9041" s="18" t="n">
        <v>0</v>
      </c>
      <c r="D9041" s="0" t="n">
        <v>0</v>
      </c>
      <c r="E9041" s="19" t="n">
        <v>51.9166666666667</v>
      </c>
    </row>
    <row r="9042" customFormat="false" ht="15" hidden="false" customHeight="false" outlineLevel="0" collapsed="false">
      <c r="A9042" s="0" t="n">
        <v>9041</v>
      </c>
      <c r="B9042" s="18" t="n">
        <v>549578.984926346</v>
      </c>
      <c r="C9042" s="18" t="n">
        <v>0</v>
      </c>
      <c r="D9042" s="0" t="n">
        <v>0</v>
      </c>
      <c r="E9042" s="19" t="n">
        <v>38.5833333333333</v>
      </c>
    </row>
    <row r="9043" customFormat="false" ht="15" hidden="false" customHeight="false" outlineLevel="0" collapsed="false">
      <c r="A9043" s="0" t="n">
        <v>9042</v>
      </c>
      <c r="B9043" s="18" t="n">
        <v>619098.953522614</v>
      </c>
      <c r="C9043" s="18" t="n">
        <v>0</v>
      </c>
      <c r="D9043" s="0" t="n">
        <v>0</v>
      </c>
      <c r="E9043" s="19" t="n">
        <v>37.9166666666667</v>
      </c>
    </row>
    <row r="9044" customFormat="false" ht="15" hidden="false" customHeight="false" outlineLevel="0" collapsed="false">
      <c r="A9044" s="0" t="n">
        <v>9043</v>
      </c>
      <c r="B9044" s="18" t="n">
        <v>760961.634123351</v>
      </c>
      <c r="C9044" s="18" t="n">
        <v>0</v>
      </c>
      <c r="D9044" s="0" t="n">
        <v>0</v>
      </c>
      <c r="E9044" s="19" t="n">
        <v>36.8333333333333</v>
      </c>
    </row>
    <row r="9045" customFormat="false" ht="15" hidden="false" customHeight="false" outlineLevel="0" collapsed="false">
      <c r="A9045" s="0" t="n">
        <v>9044</v>
      </c>
      <c r="B9045" s="18" t="n">
        <v>398452.146609332</v>
      </c>
      <c r="C9045" s="18" t="n">
        <v>0</v>
      </c>
      <c r="D9045" s="0" t="n">
        <v>0</v>
      </c>
      <c r="E9045" s="19" t="n">
        <v>29.3333333333333</v>
      </c>
    </row>
    <row r="9046" customFormat="false" ht="15" hidden="false" customHeight="false" outlineLevel="0" collapsed="false">
      <c r="A9046" s="0" t="n">
        <v>9045</v>
      </c>
      <c r="B9046" s="18" t="n">
        <v>1316243.78033745</v>
      </c>
      <c r="C9046" s="18" t="n">
        <v>993473.677284163</v>
      </c>
      <c r="D9046" s="0" t="n">
        <v>1</v>
      </c>
    </row>
    <row r="9047" customFormat="false" ht="15" hidden="false" customHeight="false" outlineLevel="0" collapsed="false">
      <c r="A9047" s="0" t="n">
        <v>9046</v>
      </c>
      <c r="B9047" s="18" t="n">
        <v>778578.546937578</v>
      </c>
      <c r="C9047" s="18" t="n">
        <v>188242.064327462</v>
      </c>
      <c r="D9047" s="0" t="n">
        <v>1</v>
      </c>
    </row>
    <row r="9048" customFormat="false" ht="15" hidden="false" customHeight="false" outlineLevel="0" collapsed="false">
      <c r="A9048" s="0" t="n">
        <v>9047</v>
      </c>
      <c r="B9048" s="18" t="n">
        <v>484520.2843759</v>
      </c>
      <c r="C9048" s="18" t="n">
        <v>0</v>
      </c>
      <c r="D9048" s="0" t="n">
        <v>0</v>
      </c>
      <c r="E9048" s="19" t="n">
        <v>45.3333333333333</v>
      </c>
    </row>
    <row r="9049" customFormat="false" ht="15" hidden="false" customHeight="false" outlineLevel="0" collapsed="false">
      <c r="A9049" s="0" t="n">
        <v>9048</v>
      </c>
      <c r="B9049" s="18" t="n">
        <v>539155.627780884</v>
      </c>
      <c r="C9049" s="18" t="n">
        <v>0</v>
      </c>
      <c r="D9049" s="0" t="n">
        <v>0</v>
      </c>
      <c r="E9049" s="19" t="n">
        <v>35.3333333333333</v>
      </c>
    </row>
    <row r="9050" customFormat="false" ht="15" hidden="false" customHeight="false" outlineLevel="0" collapsed="false">
      <c r="A9050" s="0" t="n">
        <v>9049</v>
      </c>
      <c r="B9050" s="18" t="n">
        <v>795527.671801655</v>
      </c>
      <c r="C9050" s="18" t="n">
        <v>0</v>
      </c>
      <c r="D9050" s="0" t="n">
        <v>0</v>
      </c>
      <c r="E9050" s="19" t="n">
        <v>36.0833333333333</v>
      </c>
    </row>
    <row r="9051" customFormat="false" ht="15" hidden="false" customHeight="false" outlineLevel="0" collapsed="false">
      <c r="A9051" s="0" t="n">
        <v>9050</v>
      </c>
      <c r="B9051" s="18" t="n">
        <v>1293072.75144369</v>
      </c>
      <c r="C9051" s="18" t="n">
        <v>0</v>
      </c>
      <c r="D9051" s="0" t="n">
        <v>0</v>
      </c>
      <c r="E9051" s="19" t="n">
        <v>44.4166666666667</v>
      </c>
    </row>
    <row r="9052" customFormat="false" ht="15" hidden="false" customHeight="false" outlineLevel="0" collapsed="false">
      <c r="A9052" s="0" t="n">
        <v>9051</v>
      </c>
      <c r="B9052" s="18" t="n">
        <v>3625995.37743071</v>
      </c>
      <c r="C9052" s="18" t="n">
        <v>6944086.49592974</v>
      </c>
      <c r="D9052" s="0" t="n">
        <v>1</v>
      </c>
    </row>
    <row r="9053" customFormat="false" ht="15" hidden="false" customHeight="false" outlineLevel="0" collapsed="false">
      <c r="A9053" s="0" t="n">
        <v>9052</v>
      </c>
      <c r="B9053" s="18" t="n">
        <v>1596146.85352116</v>
      </c>
      <c r="C9053" s="18" t="n">
        <v>8245690.37029105</v>
      </c>
      <c r="D9053" s="0" t="n">
        <v>1</v>
      </c>
    </row>
    <row r="9054" customFormat="false" ht="15" hidden="false" customHeight="false" outlineLevel="0" collapsed="false">
      <c r="A9054" s="0" t="n">
        <v>9053</v>
      </c>
      <c r="B9054" s="18" t="n">
        <v>965947.138751537</v>
      </c>
      <c r="C9054" s="18" t="n">
        <v>0</v>
      </c>
      <c r="D9054" s="0" t="n">
        <v>0</v>
      </c>
      <c r="E9054" s="19" t="n">
        <v>48.4166666666667</v>
      </c>
    </row>
    <row r="9055" customFormat="false" ht="15" hidden="false" customHeight="false" outlineLevel="0" collapsed="false">
      <c r="A9055" s="0" t="n">
        <v>9054</v>
      </c>
      <c r="B9055" s="18" t="n">
        <v>324131.164463324</v>
      </c>
      <c r="C9055" s="18" t="n">
        <v>0</v>
      </c>
      <c r="D9055" s="0" t="n">
        <v>0</v>
      </c>
      <c r="E9055" s="19" t="n">
        <v>29.25</v>
      </c>
    </row>
    <row r="9056" customFormat="false" ht="15" hidden="false" customHeight="false" outlineLevel="0" collapsed="false">
      <c r="A9056" s="0" t="n">
        <v>9055</v>
      </c>
      <c r="B9056" s="18" t="n">
        <v>509675.130241624</v>
      </c>
      <c r="C9056" s="18" t="n">
        <v>0</v>
      </c>
      <c r="D9056" s="0" t="n">
        <v>0</v>
      </c>
      <c r="E9056" s="19" t="n">
        <v>31.0833333333333</v>
      </c>
    </row>
    <row r="9057" customFormat="false" ht="15" hidden="false" customHeight="false" outlineLevel="0" collapsed="false">
      <c r="A9057" s="0" t="n">
        <v>9056</v>
      </c>
      <c r="B9057" s="18" t="n">
        <v>1450103.1173537</v>
      </c>
      <c r="C9057" s="18" t="n">
        <v>62228.8405586163</v>
      </c>
      <c r="D9057" s="0" t="n">
        <v>1</v>
      </c>
    </row>
    <row r="9058" customFormat="false" ht="15" hidden="false" customHeight="false" outlineLevel="0" collapsed="false">
      <c r="A9058" s="0" t="n">
        <v>9057</v>
      </c>
      <c r="B9058" s="18" t="n">
        <v>1025675.9933657</v>
      </c>
      <c r="C9058" s="18" t="n">
        <v>0</v>
      </c>
      <c r="D9058" s="0" t="n">
        <v>0</v>
      </c>
      <c r="E9058" s="19" t="n">
        <v>44.4166666666667</v>
      </c>
    </row>
    <row r="9059" customFormat="false" ht="15" hidden="false" customHeight="false" outlineLevel="0" collapsed="false">
      <c r="A9059" s="0" t="n">
        <v>9058</v>
      </c>
      <c r="B9059" s="18" t="n">
        <v>1250998.25934615</v>
      </c>
      <c r="C9059" s="18" t="n">
        <v>0</v>
      </c>
      <c r="D9059" s="0" t="n">
        <v>0</v>
      </c>
      <c r="E9059" s="19" t="n">
        <v>49.0833333333333</v>
      </c>
    </row>
    <row r="9060" customFormat="false" ht="15" hidden="false" customHeight="false" outlineLevel="0" collapsed="false">
      <c r="A9060" s="0" t="n">
        <v>9059</v>
      </c>
      <c r="B9060" s="18" t="n">
        <v>1141574.92378499</v>
      </c>
      <c r="C9060" s="18" t="n">
        <v>1496309.98525422</v>
      </c>
      <c r="D9060" s="0" t="n">
        <v>1</v>
      </c>
    </row>
    <row r="9061" customFormat="false" ht="15" hidden="false" customHeight="false" outlineLevel="0" collapsed="false">
      <c r="A9061" s="0" t="n">
        <v>9060</v>
      </c>
      <c r="B9061" s="18" t="n">
        <v>1569307.54882362</v>
      </c>
      <c r="C9061" s="18" t="n">
        <v>0</v>
      </c>
      <c r="D9061" s="0" t="n">
        <v>0</v>
      </c>
      <c r="E9061" s="19" t="n">
        <v>50.1666666666667</v>
      </c>
    </row>
    <row r="9062" customFormat="false" ht="15" hidden="false" customHeight="false" outlineLevel="0" collapsed="false">
      <c r="A9062" s="0" t="n">
        <v>9061</v>
      </c>
      <c r="B9062" s="18" t="n">
        <v>1459445.75061937</v>
      </c>
      <c r="C9062" s="18" t="n">
        <v>0</v>
      </c>
      <c r="D9062" s="0" t="n">
        <v>0</v>
      </c>
      <c r="E9062" s="19" t="n">
        <v>49.75</v>
      </c>
    </row>
    <row r="9063" customFormat="false" ht="15" hidden="false" customHeight="false" outlineLevel="0" collapsed="false">
      <c r="A9063" s="0" t="n">
        <v>9062</v>
      </c>
      <c r="B9063" s="18" t="n">
        <v>692748.274207801</v>
      </c>
      <c r="C9063" s="18" t="n">
        <v>0</v>
      </c>
      <c r="D9063" s="0" t="n">
        <v>0</v>
      </c>
      <c r="E9063" s="19" t="n">
        <v>37.8333333333333</v>
      </c>
    </row>
    <row r="9064" customFormat="false" ht="15" hidden="false" customHeight="false" outlineLevel="0" collapsed="false">
      <c r="A9064" s="0" t="n">
        <v>9063</v>
      </c>
      <c r="B9064" s="18" t="n">
        <v>725174.767119091</v>
      </c>
      <c r="C9064" s="18" t="n">
        <v>0</v>
      </c>
      <c r="D9064" s="0" t="n">
        <v>0</v>
      </c>
      <c r="E9064" s="19" t="n">
        <v>40.6666666666667</v>
      </c>
    </row>
    <row r="9065" customFormat="false" ht="15" hidden="false" customHeight="false" outlineLevel="0" collapsed="false">
      <c r="A9065" s="0" t="n">
        <v>9064</v>
      </c>
      <c r="B9065" s="18" t="n">
        <v>502575.643912048</v>
      </c>
      <c r="C9065" s="18" t="n">
        <v>0</v>
      </c>
      <c r="D9065" s="0" t="n">
        <v>0</v>
      </c>
      <c r="E9065" s="19" t="n">
        <v>42.1666666666667</v>
      </c>
    </row>
    <row r="9066" customFormat="false" ht="15" hidden="false" customHeight="false" outlineLevel="0" collapsed="false">
      <c r="A9066" s="0" t="n">
        <v>9065</v>
      </c>
      <c r="B9066" s="18" t="n">
        <v>1211973.90684313</v>
      </c>
      <c r="C9066" s="18" t="n">
        <v>0</v>
      </c>
      <c r="D9066" s="0" t="n">
        <v>0</v>
      </c>
      <c r="E9066" s="19" t="n">
        <v>43.8333333333333</v>
      </c>
    </row>
    <row r="9067" customFormat="false" ht="15" hidden="false" customHeight="false" outlineLevel="0" collapsed="false">
      <c r="A9067" s="0" t="n">
        <v>9066</v>
      </c>
      <c r="B9067" s="18" t="n">
        <v>1250998.89389539</v>
      </c>
      <c r="C9067" s="18" t="n">
        <v>9813951.60294866</v>
      </c>
      <c r="D9067" s="0" t="n">
        <v>1</v>
      </c>
    </row>
    <row r="9068" customFormat="false" ht="15" hidden="false" customHeight="false" outlineLevel="0" collapsed="false">
      <c r="A9068" s="0" t="n">
        <v>9067</v>
      </c>
      <c r="B9068" s="18" t="n">
        <v>366937.419873151</v>
      </c>
      <c r="C9068" s="18" t="n">
        <v>0</v>
      </c>
      <c r="D9068" s="0" t="n">
        <v>0</v>
      </c>
      <c r="E9068" s="19" t="n">
        <v>31.6666666666667</v>
      </c>
    </row>
    <row r="9069" customFormat="false" ht="15" hidden="false" customHeight="false" outlineLevel="0" collapsed="false">
      <c r="A9069" s="0" t="n">
        <v>9068</v>
      </c>
      <c r="B9069" s="18" t="n">
        <v>1314571.37283324</v>
      </c>
      <c r="C9069" s="18" t="n">
        <v>6132563.81025481</v>
      </c>
      <c r="D9069" s="0" t="n">
        <v>1</v>
      </c>
    </row>
    <row r="9070" customFormat="false" ht="15" hidden="false" customHeight="false" outlineLevel="0" collapsed="false">
      <c r="A9070" s="0" t="n">
        <v>9069</v>
      </c>
      <c r="B9070" s="18" t="n">
        <v>827795.456386932</v>
      </c>
      <c r="C9070" s="18" t="n">
        <v>0</v>
      </c>
      <c r="D9070" s="0" t="n">
        <v>0</v>
      </c>
      <c r="E9070" s="19" t="n">
        <v>43</v>
      </c>
    </row>
    <row r="9071" customFormat="false" ht="15" hidden="false" customHeight="false" outlineLevel="0" collapsed="false">
      <c r="A9071" s="0" t="n">
        <v>9070</v>
      </c>
      <c r="B9071" s="18" t="n">
        <v>923371.824115331</v>
      </c>
      <c r="C9071" s="18" t="n">
        <v>0</v>
      </c>
      <c r="D9071" s="0" t="n">
        <v>0</v>
      </c>
      <c r="E9071" s="19" t="n">
        <v>40.9166666666667</v>
      </c>
    </row>
    <row r="9072" customFormat="false" ht="15" hidden="false" customHeight="false" outlineLevel="0" collapsed="false">
      <c r="A9072" s="0" t="n">
        <v>9071</v>
      </c>
      <c r="B9072" s="18" t="n">
        <v>311085.566161915</v>
      </c>
      <c r="C9072" s="18" t="n">
        <v>0</v>
      </c>
      <c r="D9072" s="0" t="n">
        <v>0</v>
      </c>
      <c r="E9072" s="19" t="n">
        <v>31.25</v>
      </c>
    </row>
    <row r="9073" customFormat="false" ht="15" hidden="false" customHeight="false" outlineLevel="0" collapsed="false">
      <c r="A9073" s="0" t="n">
        <v>9072</v>
      </c>
      <c r="B9073" s="18" t="n">
        <v>639208.010654239</v>
      </c>
      <c r="C9073" s="18" t="n">
        <v>0</v>
      </c>
      <c r="D9073" s="0" t="n">
        <v>0</v>
      </c>
      <c r="E9073" s="19" t="n">
        <v>34.5833333333333</v>
      </c>
    </row>
    <row r="9074" customFormat="false" ht="15" hidden="false" customHeight="false" outlineLevel="0" collapsed="false">
      <c r="A9074" s="0" t="n">
        <v>9073</v>
      </c>
      <c r="B9074" s="18" t="n">
        <v>906598.644949707</v>
      </c>
      <c r="C9074" s="18" t="n">
        <v>0</v>
      </c>
      <c r="D9074" s="0" t="n">
        <v>0</v>
      </c>
      <c r="E9074" s="19" t="n">
        <v>39.5833333333333</v>
      </c>
    </row>
    <row r="9075" customFormat="false" ht="15" hidden="false" customHeight="false" outlineLevel="0" collapsed="false">
      <c r="A9075" s="0" t="n">
        <v>9074</v>
      </c>
      <c r="B9075" s="18" t="n">
        <v>1639795.5246123</v>
      </c>
      <c r="C9075" s="18" t="n">
        <v>3009481.26354262</v>
      </c>
      <c r="D9075" s="0" t="n">
        <v>1</v>
      </c>
    </row>
    <row r="9076" customFormat="false" ht="15" hidden="false" customHeight="false" outlineLevel="0" collapsed="false">
      <c r="A9076" s="0" t="n">
        <v>9075</v>
      </c>
      <c r="B9076" s="18" t="n">
        <v>1517440.5632802</v>
      </c>
      <c r="C9076" s="18" t="n">
        <v>5977047.33798905</v>
      </c>
      <c r="D9076" s="0" t="n">
        <v>1</v>
      </c>
    </row>
    <row r="9077" customFormat="false" ht="15" hidden="false" customHeight="false" outlineLevel="0" collapsed="false">
      <c r="A9077" s="0" t="n">
        <v>9076</v>
      </c>
      <c r="B9077" s="18" t="n">
        <v>964542.331021926</v>
      </c>
      <c r="C9077" s="18" t="n">
        <v>0</v>
      </c>
      <c r="D9077" s="0" t="n">
        <v>0</v>
      </c>
      <c r="E9077" s="19" t="n">
        <v>37.25</v>
      </c>
    </row>
    <row r="9078" customFormat="false" ht="15" hidden="false" customHeight="false" outlineLevel="0" collapsed="false">
      <c r="A9078" s="0" t="n">
        <v>9077</v>
      </c>
      <c r="B9078" s="18" t="n">
        <v>563198.391018672</v>
      </c>
      <c r="C9078" s="18" t="n">
        <v>0</v>
      </c>
      <c r="D9078" s="0" t="n">
        <v>0</v>
      </c>
      <c r="E9078" s="19" t="n">
        <v>37.0833333333333</v>
      </c>
    </row>
    <row r="9079" customFormat="false" ht="15" hidden="false" customHeight="false" outlineLevel="0" collapsed="false">
      <c r="A9079" s="0" t="n">
        <v>9078</v>
      </c>
      <c r="B9079" s="18" t="n">
        <v>522451.400728153</v>
      </c>
      <c r="C9079" s="18" t="n">
        <v>0</v>
      </c>
      <c r="D9079" s="0" t="n">
        <v>0</v>
      </c>
      <c r="E9079" s="19" t="n">
        <v>34.5833333333333</v>
      </c>
    </row>
    <row r="9080" customFormat="false" ht="15" hidden="false" customHeight="false" outlineLevel="0" collapsed="false">
      <c r="A9080" s="0" t="n">
        <v>9079</v>
      </c>
      <c r="B9080" s="18" t="n">
        <v>834150.408144278</v>
      </c>
      <c r="C9080" s="18" t="n">
        <v>0</v>
      </c>
      <c r="D9080" s="0" t="n">
        <v>0</v>
      </c>
      <c r="E9080" s="19" t="n">
        <v>38.3333333333333</v>
      </c>
    </row>
    <row r="9081" customFormat="false" ht="15" hidden="false" customHeight="false" outlineLevel="0" collapsed="false">
      <c r="A9081" s="0" t="n">
        <v>9080</v>
      </c>
      <c r="B9081" s="18" t="n">
        <v>313005.866989557</v>
      </c>
      <c r="C9081" s="18" t="n">
        <v>0</v>
      </c>
      <c r="D9081" s="0" t="n">
        <v>0</v>
      </c>
      <c r="E9081" s="19" t="n">
        <v>29.6666666666667</v>
      </c>
    </row>
    <row r="9082" customFormat="false" ht="15" hidden="false" customHeight="false" outlineLevel="0" collapsed="false">
      <c r="A9082" s="0" t="n">
        <v>9081</v>
      </c>
      <c r="B9082" s="18" t="n">
        <v>824113.472349799</v>
      </c>
      <c r="C9082" s="18" t="n">
        <v>0</v>
      </c>
      <c r="D9082" s="0" t="n">
        <v>0</v>
      </c>
      <c r="E9082" s="19" t="n">
        <v>44.0833333333333</v>
      </c>
    </row>
    <row r="9083" customFormat="false" ht="15" hidden="false" customHeight="false" outlineLevel="0" collapsed="false">
      <c r="A9083" s="0" t="n">
        <v>9082</v>
      </c>
      <c r="B9083" s="18" t="n">
        <v>1646707.79784248</v>
      </c>
      <c r="C9083" s="18" t="n">
        <v>15697129.8058225</v>
      </c>
      <c r="D9083" s="0" t="n">
        <v>1</v>
      </c>
    </row>
    <row r="9084" customFormat="false" ht="15" hidden="false" customHeight="false" outlineLevel="0" collapsed="false">
      <c r="A9084" s="0" t="n">
        <v>9083</v>
      </c>
      <c r="B9084" s="18" t="n">
        <v>2441088.74765064</v>
      </c>
      <c r="C9084" s="18" t="n">
        <v>4253499.06116784</v>
      </c>
      <c r="D9084" s="0" t="n">
        <v>1</v>
      </c>
    </row>
    <row r="9085" customFormat="false" ht="15" hidden="false" customHeight="false" outlineLevel="0" collapsed="false">
      <c r="A9085" s="0" t="n">
        <v>9084</v>
      </c>
      <c r="B9085" s="18" t="n">
        <v>996664.961648852</v>
      </c>
      <c r="C9085" s="18" t="n">
        <v>1469986.70044729</v>
      </c>
      <c r="D9085" s="0" t="n">
        <v>1</v>
      </c>
    </row>
    <row r="9086" customFormat="false" ht="15" hidden="false" customHeight="false" outlineLevel="0" collapsed="false">
      <c r="A9086" s="0" t="n">
        <v>9085</v>
      </c>
      <c r="B9086" s="18" t="n">
        <v>646838.131961693</v>
      </c>
      <c r="C9086" s="18" t="n">
        <v>0</v>
      </c>
      <c r="D9086" s="0" t="n">
        <v>0</v>
      </c>
      <c r="E9086" s="19" t="n">
        <v>38.6666666666667</v>
      </c>
    </row>
    <row r="9087" customFormat="false" ht="15" hidden="false" customHeight="false" outlineLevel="0" collapsed="false">
      <c r="A9087" s="0" t="n">
        <v>9086</v>
      </c>
      <c r="B9087" s="18" t="n">
        <v>563000.876098018</v>
      </c>
      <c r="C9087" s="18" t="n">
        <v>0</v>
      </c>
      <c r="D9087" s="0" t="n">
        <v>0</v>
      </c>
      <c r="E9087" s="19" t="n">
        <v>39.5833333333333</v>
      </c>
    </row>
    <row r="9088" customFormat="false" ht="15" hidden="false" customHeight="false" outlineLevel="0" collapsed="false">
      <c r="A9088" s="0" t="n">
        <v>9087</v>
      </c>
      <c r="B9088" s="18" t="n">
        <v>684730.667244461</v>
      </c>
      <c r="C9088" s="18" t="n">
        <v>0</v>
      </c>
      <c r="D9088" s="0" t="n">
        <v>0</v>
      </c>
      <c r="E9088" s="19" t="n">
        <v>41.1666666666667</v>
      </c>
    </row>
    <row r="9089" customFormat="false" ht="15" hidden="false" customHeight="false" outlineLevel="0" collapsed="false">
      <c r="A9089" s="0" t="n">
        <v>9088</v>
      </c>
      <c r="B9089" s="18" t="n">
        <v>1209604.30220965</v>
      </c>
      <c r="C9089" s="18" t="n">
        <v>0</v>
      </c>
      <c r="D9089" s="0" t="n">
        <v>0</v>
      </c>
      <c r="E9089" s="19" t="n">
        <v>36</v>
      </c>
    </row>
    <row r="9090" customFormat="false" ht="15" hidden="false" customHeight="false" outlineLevel="0" collapsed="false">
      <c r="A9090" s="0" t="n">
        <v>9089</v>
      </c>
      <c r="B9090" s="18" t="n">
        <v>821102.145028086</v>
      </c>
      <c r="C9090" s="18" t="n">
        <v>702721.0422454</v>
      </c>
      <c r="D9090" s="0" t="n">
        <v>1</v>
      </c>
    </row>
    <row r="9091" customFormat="false" ht="15" hidden="false" customHeight="false" outlineLevel="0" collapsed="false">
      <c r="A9091" s="0" t="n">
        <v>9090</v>
      </c>
      <c r="B9091" s="18" t="n">
        <v>996837.988069098</v>
      </c>
      <c r="C9091" s="18" t="n">
        <v>0</v>
      </c>
      <c r="D9091" s="0" t="n">
        <v>0</v>
      </c>
      <c r="E9091" s="19" t="n">
        <v>44.6666666666667</v>
      </c>
    </row>
    <row r="9092" customFormat="false" ht="15" hidden="false" customHeight="false" outlineLevel="0" collapsed="false">
      <c r="A9092" s="0" t="n">
        <v>9091</v>
      </c>
      <c r="B9092" s="18" t="n">
        <v>595324.564817005</v>
      </c>
      <c r="C9092" s="18" t="n">
        <v>0</v>
      </c>
      <c r="D9092" s="0" t="n">
        <v>0</v>
      </c>
      <c r="E9092" s="19" t="n">
        <v>41.8333333333333</v>
      </c>
    </row>
    <row r="9093" customFormat="false" ht="15" hidden="false" customHeight="false" outlineLevel="0" collapsed="false">
      <c r="A9093" s="0" t="n">
        <v>9092</v>
      </c>
      <c r="B9093" s="18" t="n">
        <v>424032.537509662</v>
      </c>
      <c r="C9093" s="18" t="n">
        <v>0</v>
      </c>
      <c r="D9093" s="0" t="n">
        <v>0</v>
      </c>
      <c r="E9093" s="19" t="n">
        <v>35.4166666666667</v>
      </c>
    </row>
    <row r="9094" customFormat="false" ht="15" hidden="false" customHeight="false" outlineLevel="0" collapsed="false">
      <c r="A9094" s="0" t="n">
        <v>9093</v>
      </c>
      <c r="B9094" s="18" t="n">
        <v>580472.022109456</v>
      </c>
      <c r="C9094" s="18" t="n">
        <v>0</v>
      </c>
      <c r="D9094" s="0" t="n">
        <v>0</v>
      </c>
      <c r="E9094" s="19" t="n">
        <v>35</v>
      </c>
    </row>
    <row r="9095" customFormat="false" ht="15" hidden="false" customHeight="false" outlineLevel="0" collapsed="false">
      <c r="A9095" s="0" t="n">
        <v>9094</v>
      </c>
      <c r="B9095" s="18" t="n">
        <v>514036.617542815</v>
      </c>
      <c r="C9095" s="18" t="n">
        <v>0</v>
      </c>
      <c r="D9095" s="0" t="n">
        <v>0</v>
      </c>
      <c r="E9095" s="19" t="n">
        <v>36.6666666666667</v>
      </c>
    </row>
    <row r="9096" customFormat="false" ht="15" hidden="false" customHeight="false" outlineLevel="0" collapsed="false">
      <c r="A9096" s="0" t="n">
        <v>9095</v>
      </c>
      <c r="B9096" s="18" t="n">
        <v>2023086.34697242</v>
      </c>
      <c r="C9096" s="18" t="n">
        <v>1292493.74402288</v>
      </c>
      <c r="D9096" s="0" t="n">
        <v>1</v>
      </c>
    </row>
    <row r="9097" customFormat="false" ht="15" hidden="false" customHeight="false" outlineLevel="0" collapsed="false">
      <c r="A9097" s="0" t="n">
        <v>9096</v>
      </c>
      <c r="B9097" s="18" t="n">
        <v>992691.294683166</v>
      </c>
      <c r="C9097" s="18" t="n">
        <v>734961.435757088</v>
      </c>
      <c r="D9097" s="0" t="n">
        <v>1</v>
      </c>
    </row>
    <row r="9098" customFormat="false" ht="15" hidden="false" customHeight="false" outlineLevel="0" collapsed="false">
      <c r="A9098" s="0" t="n">
        <v>9097</v>
      </c>
      <c r="B9098" s="18" t="n">
        <v>2351810.73239692</v>
      </c>
      <c r="C9098" s="18" t="n">
        <v>651293.940128375</v>
      </c>
      <c r="D9098" s="0" t="n">
        <v>1</v>
      </c>
    </row>
    <row r="9099" customFormat="false" ht="15" hidden="false" customHeight="false" outlineLevel="0" collapsed="false">
      <c r="A9099" s="0" t="n">
        <v>9098</v>
      </c>
      <c r="B9099" s="18" t="n">
        <v>1300978.57598547</v>
      </c>
      <c r="C9099" s="18" t="n">
        <v>419826.900600255</v>
      </c>
      <c r="D9099" s="0" t="n">
        <v>1</v>
      </c>
    </row>
    <row r="9100" customFormat="false" ht="15" hidden="false" customHeight="false" outlineLevel="0" collapsed="false">
      <c r="A9100" s="0" t="n">
        <v>9099</v>
      </c>
      <c r="B9100" s="18" t="n">
        <v>558384.7207496</v>
      </c>
      <c r="C9100" s="18" t="n">
        <v>0</v>
      </c>
      <c r="D9100" s="0" t="n">
        <v>0</v>
      </c>
      <c r="E9100" s="19" t="n">
        <v>45.8333333333333</v>
      </c>
    </row>
    <row r="9101" customFormat="false" ht="15" hidden="false" customHeight="false" outlineLevel="0" collapsed="false">
      <c r="A9101" s="0" t="n">
        <v>9100</v>
      </c>
      <c r="B9101" s="18" t="n">
        <v>1020003.9237141</v>
      </c>
      <c r="C9101" s="18" t="n">
        <v>0</v>
      </c>
      <c r="D9101" s="0" t="n">
        <v>0</v>
      </c>
      <c r="E9101" s="19" t="n">
        <v>38.25</v>
      </c>
    </row>
    <row r="9102" customFormat="false" ht="15" hidden="false" customHeight="false" outlineLevel="0" collapsed="false">
      <c r="A9102" s="0" t="n">
        <v>9101</v>
      </c>
      <c r="B9102" s="18" t="n">
        <v>317332.783084227</v>
      </c>
      <c r="C9102" s="18" t="n">
        <v>0</v>
      </c>
      <c r="D9102" s="0" t="n">
        <v>0</v>
      </c>
      <c r="E9102" s="19" t="n">
        <v>31.0833333333333</v>
      </c>
    </row>
    <row r="9103" customFormat="false" ht="15" hidden="false" customHeight="false" outlineLevel="0" collapsed="false">
      <c r="A9103" s="0" t="n">
        <v>9102</v>
      </c>
      <c r="B9103" s="18" t="n">
        <v>1058277.62612836</v>
      </c>
      <c r="C9103" s="18" t="n">
        <v>0</v>
      </c>
      <c r="D9103" s="0" t="n">
        <v>0</v>
      </c>
      <c r="E9103" s="19" t="n">
        <v>43</v>
      </c>
    </row>
    <row r="9104" customFormat="false" ht="15" hidden="false" customHeight="false" outlineLevel="0" collapsed="false">
      <c r="A9104" s="0" t="n">
        <v>9103</v>
      </c>
      <c r="B9104" s="18" t="n">
        <v>923080.989476738</v>
      </c>
      <c r="C9104" s="18" t="n">
        <v>0</v>
      </c>
      <c r="D9104" s="0" t="n">
        <v>0</v>
      </c>
      <c r="E9104" s="19" t="n">
        <v>37.1666666666667</v>
      </c>
    </row>
    <row r="9105" customFormat="false" ht="15" hidden="false" customHeight="false" outlineLevel="0" collapsed="false">
      <c r="A9105" s="0" t="n">
        <v>9104</v>
      </c>
      <c r="B9105" s="18" t="n">
        <v>383159.713800009</v>
      </c>
      <c r="C9105" s="18" t="n">
        <v>0</v>
      </c>
      <c r="D9105" s="0" t="n">
        <v>0</v>
      </c>
      <c r="E9105" s="19" t="n">
        <v>34.6666666666667</v>
      </c>
    </row>
    <row r="9106" customFormat="false" ht="15" hidden="false" customHeight="false" outlineLevel="0" collapsed="false">
      <c r="A9106" s="0" t="n">
        <v>9105</v>
      </c>
      <c r="B9106" s="18" t="n">
        <v>1692627.25333653</v>
      </c>
      <c r="C9106" s="18" t="n">
        <v>5359589.28506064</v>
      </c>
      <c r="D9106" s="0" t="n">
        <v>1</v>
      </c>
    </row>
    <row r="9107" customFormat="false" ht="15" hidden="false" customHeight="false" outlineLevel="0" collapsed="false">
      <c r="A9107" s="0" t="n">
        <v>9106</v>
      </c>
      <c r="B9107" s="18" t="n">
        <v>836894.435130738</v>
      </c>
      <c r="C9107" s="18" t="n">
        <v>0</v>
      </c>
      <c r="D9107" s="0" t="n">
        <v>0</v>
      </c>
      <c r="E9107" s="19" t="n">
        <v>41.3333333333333</v>
      </c>
    </row>
    <row r="9108" customFormat="false" ht="15" hidden="false" customHeight="false" outlineLevel="0" collapsed="false">
      <c r="A9108" s="0" t="n">
        <v>9107</v>
      </c>
      <c r="B9108" s="18" t="n">
        <v>1095087.56610548</v>
      </c>
      <c r="C9108" s="18" t="n">
        <v>1783150.98588645</v>
      </c>
      <c r="D9108" s="0" t="n">
        <v>1</v>
      </c>
    </row>
    <row r="9109" customFormat="false" ht="15" hidden="false" customHeight="false" outlineLevel="0" collapsed="false">
      <c r="A9109" s="0" t="n">
        <v>9108</v>
      </c>
      <c r="B9109" s="18" t="n">
        <v>908881.230539434</v>
      </c>
      <c r="C9109" s="18" t="n">
        <v>0</v>
      </c>
      <c r="D9109" s="0" t="n">
        <v>0</v>
      </c>
      <c r="E9109" s="19" t="n">
        <v>43.9166666666667</v>
      </c>
    </row>
    <row r="9110" customFormat="false" ht="15" hidden="false" customHeight="false" outlineLevel="0" collapsed="false">
      <c r="A9110" s="0" t="n">
        <v>9109</v>
      </c>
      <c r="B9110" s="18" t="n">
        <v>1333623.4923484</v>
      </c>
      <c r="C9110" s="18" t="n">
        <v>2298437.03614431</v>
      </c>
      <c r="D9110" s="0" t="n">
        <v>1</v>
      </c>
    </row>
    <row r="9111" customFormat="false" ht="15" hidden="false" customHeight="false" outlineLevel="0" collapsed="false">
      <c r="A9111" s="0" t="n">
        <v>9110</v>
      </c>
      <c r="B9111" s="18" t="n">
        <v>3013113.63634439</v>
      </c>
      <c r="C9111" s="18" t="n">
        <v>2063557.19888399</v>
      </c>
      <c r="D9111" s="0" t="n">
        <v>1</v>
      </c>
    </row>
    <row r="9112" customFormat="false" ht="15" hidden="false" customHeight="false" outlineLevel="0" collapsed="false">
      <c r="A9112" s="0" t="n">
        <v>9111</v>
      </c>
      <c r="B9112" s="18" t="n">
        <v>783145.66394091</v>
      </c>
      <c r="C9112" s="18" t="n">
        <v>0</v>
      </c>
      <c r="D9112" s="0" t="n">
        <v>0</v>
      </c>
      <c r="E9112" s="19" t="n">
        <v>40.25</v>
      </c>
    </row>
    <row r="9113" customFormat="false" ht="15" hidden="false" customHeight="false" outlineLevel="0" collapsed="false">
      <c r="A9113" s="0" t="n">
        <v>9112</v>
      </c>
      <c r="B9113" s="18" t="n">
        <v>1147806.749298</v>
      </c>
      <c r="C9113" s="18" t="n">
        <v>0</v>
      </c>
      <c r="D9113" s="0" t="n">
        <v>0</v>
      </c>
      <c r="E9113" s="19" t="n">
        <v>44.9166666666667</v>
      </c>
    </row>
    <row r="9114" customFormat="false" ht="15" hidden="false" customHeight="false" outlineLevel="0" collapsed="false">
      <c r="A9114" s="0" t="n">
        <v>9113</v>
      </c>
      <c r="B9114" s="18" t="n">
        <v>615570.496299494</v>
      </c>
      <c r="C9114" s="18" t="n">
        <v>0</v>
      </c>
      <c r="D9114" s="0" t="n">
        <v>0</v>
      </c>
      <c r="E9114" s="19" t="n">
        <v>34.75</v>
      </c>
    </row>
    <row r="9115" customFormat="false" ht="15" hidden="false" customHeight="false" outlineLevel="0" collapsed="false">
      <c r="A9115" s="0" t="n">
        <v>9114</v>
      </c>
      <c r="B9115" s="18" t="n">
        <v>1001723.85263429</v>
      </c>
      <c r="C9115" s="18" t="n">
        <v>0</v>
      </c>
      <c r="D9115" s="0" t="n">
        <v>0</v>
      </c>
      <c r="E9115" s="19" t="n">
        <v>39.1666666666667</v>
      </c>
    </row>
    <row r="9116" customFormat="false" ht="15" hidden="false" customHeight="false" outlineLevel="0" collapsed="false">
      <c r="A9116" s="0" t="n">
        <v>9115</v>
      </c>
      <c r="B9116" s="18" t="n">
        <v>2634687.12323533</v>
      </c>
      <c r="C9116" s="18" t="n">
        <v>12884490.2428016</v>
      </c>
      <c r="D9116" s="0" t="n">
        <v>1</v>
      </c>
    </row>
    <row r="9117" customFormat="false" ht="15" hidden="false" customHeight="false" outlineLevel="0" collapsed="false">
      <c r="A9117" s="0" t="n">
        <v>9116</v>
      </c>
      <c r="B9117" s="18" t="n">
        <v>2056529.40135879</v>
      </c>
      <c r="C9117" s="18" t="n">
        <v>685072.108998419</v>
      </c>
      <c r="D9117" s="0" t="n">
        <v>1</v>
      </c>
    </row>
    <row r="9118" customFormat="false" ht="15" hidden="false" customHeight="false" outlineLevel="0" collapsed="false">
      <c r="A9118" s="0" t="n">
        <v>9117</v>
      </c>
      <c r="B9118" s="18" t="n">
        <v>469887.618170846</v>
      </c>
      <c r="C9118" s="18" t="n">
        <v>0</v>
      </c>
      <c r="D9118" s="0" t="n">
        <v>0</v>
      </c>
      <c r="E9118" s="19" t="n">
        <v>32.9166666666667</v>
      </c>
    </row>
    <row r="9119" customFormat="false" ht="15" hidden="false" customHeight="false" outlineLevel="0" collapsed="false">
      <c r="A9119" s="0" t="n">
        <v>9118</v>
      </c>
      <c r="B9119" s="18" t="n">
        <v>658748.773680679</v>
      </c>
      <c r="C9119" s="18" t="n">
        <v>154326.684327611</v>
      </c>
      <c r="D9119" s="0" t="n">
        <v>1</v>
      </c>
    </row>
    <row r="9120" customFormat="false" ht="15" hidden="false" customHeight="false" outlineLevel="0" collapsed="false">
      <c r="A9120" s="0" t="n">
        <v>9119</v>
      </c>
      <c r="B9120" s="18" t="n">
        <v>3833834.35957142</v>
      </c>
      <c r="C9120" s="18" t="n">
        <v>12304270.7094526</v>
      </c>
      <c r="D9120" s="0" t="n">
        <v>1</v>
      </c>
    </row>
    <row r="9121" customFormat="false" ht="15" hidden="false" customHeight="false" outlineLevel="0" collapsed="false">
      <c r="A9121" s="0" t="n">
        <v>9120</v>
      </c>
      <c r="B9121" s="18" t="n">
        <v>909705.673073077</v>
      </c>
      <c r="C9121" s="18" t="n">
        <v>0</v>
      </c>
      <c r="D9121" s="0" t="n">
        <v>0</v>
      </c>
      <c r="E9121" s="19" t="n">
        <v>37.75</v>
      </c>
    </row>
    <row r="9122" customFormat="false" ht="15" hidden="false" customHeight="false" outlineLevel="0" collapsed="false">
      <c r="A9122" s="0" t="n">
        <v>9121</v>
      </c>
      <c r="B9122" s="18" t="n">
        <v>847496.047600679</v>
      </c>
      <c r="C9122" s="18" t="n">
        <v>0</v>
      </c>
      <c r="D9122" s="0" t="n">
        <v>0</v>
      </c>
      <c r="E9122" s="19" t="n">
        <v>35.5833333333333</v>
      </c>
    </row>
    <row r="9123" customFormat="false" ht="15" hidden="false" customHeight="false" outlineLevel="0" collapsed="false">
      <c r="A9123" s="0" t="n">
        <v>9122</v>
      </c>
      <c r="B9123" s="18" t="n">
        <v>2164455.5694418</v>
      </c>
      <c r="C9123" s="18" t="n">
        <v>4323510.67801092</v>
      </c>
      <c r="D9123" s="0" t="n">
        <v>1</v>
      </c>
    </row>
    <row r="9124" customFormat="false" ht="15" hidden="false" customHeight="false" outlineLevel="0" collapsed="false">
      <c r="A9124" s="0" t="n">
        <v>9123</v>
      </c>
      <c r="B9124" s="18" t="n">
        <v>1158026.67653172</v>
      </c>
      <c r="C9124" s="18" t="n">
        <v>712183.013294875</v>
      </c>
      <c r="D9124" s="0" t="n">
        <v>1</v>
      </c>
    </row>
    <row r="9125" customFormat="false" ht="15" hidden="false" customHeight="false" outlineLevel="0" collapsed="false">
      <c r="A9125" s="0" t="n">
        <v>9124</v>
      </c>
      <c r="B9125" s="18" t="n">
        <v>1039531.9809749</v>
      </c>
      <c r="C9125" s="18" t="n">
        <v>0</v>
      </c>
      <c r="D9125" s="0" t="n">
        <v>0</v>
      </c>
      <c r="E9125" s="19" t="n">
        <v>45.9166666666667</v>
      </c>
    </row>
    <row r="9126" customFormat="false" ht="15" hidden="false" customHeight="false" outlineLevel="0" collapsed="false">
      <c r="A9126" s="0" t="n">
        <v>9125</v>
      </c>
      <c r="B9126" s="18" t="n">
        <v>1123359.18662581</v>
      </c>
      <c r="C9126" s="18" t="n">
        <v>99542.9888339923</v>
      </c>
      <c r="D9126" s="0" t="n">
        <v>1</v>
      </c>
    </row>
    <row r="9127" customFormat="false" ht="15" hidden="false" customHeight="false" outlineLevel="0" collapsed="false">
      <c r="A9127" s="0" t="n">
        <v>9126</v>
      </c>
      <c r="B9127" s="18" t="n">
        <v>711091.803440596</v>
      </c>
      <c r="C9127" s="18" t="n">
        <v>0</v>
      </c>
      <c r="D9127" s="0" t="n">
        <v>0</v>
      </c>
      <c r="E9127" s="19" t="n">
        <v>52.75</v>
      </c>
    </row>
    <row r="9128" customFormat="false" ht="15" hidden="false" customHeight="false" outlineLevel="0" collapsed="false">
      <c r="A9128" s="0" t="n">
        <v>9127</v>
      </c>
      <c r="B9128" s="18" t="n">
        <v>1625287.40001714</v>
      </c>
      <c r="C9128" s="18" t="n">
        <v>2452773.31707564</v>
      </c>
      <c r="D9128" s="0" t="n">
        <v>1</v>
      </c>
    </row>
    <row r="9129" customFormat="false" ht="15" hidden="false" customHeight="false" outlineLevel="0" collapsed="false">
      <c r="A9129" s="0" t="n">
        <v>9128</v>
      </c>
      <c r="B9129" s="18" t="n">
        <v>1088752.90513061</v>
      </c>
      <c r="C9129" s="18" t="n">
        <v>0</v>
      </c>
      <c r="D9129" s="0" t="n">
        <v>0</v>
      </c>
      <c r="E9129" s="19" t="n">
        <v>41.6666666666667</v>
      </c>
    </row>
    <row r="9130" customFormat="false" ht="15" hidden="false" customHeight="false" outlineLevel="0" collapsed="false">
      <c r="A9130" s="0" t="n">
        <v>9129</v>
      </c>
      <c r="B9130" s="18" t="n">
        <v>943900.145924631</v>
      </c>
      <c r="C9130" s="18" t="n">
        <v>0</v>
      </c>
      <c r="D9130" s="0" t="n">
        <v>0</v>
      </c>
      <c r="E9130" s="19" t="n">
        <v>43.9166666666667</v>
      </c>
    </row>
    <row r="9131" customFormat="false" ht="15" hidden="false" customHeight="false" outlineLevel="0" collapsed="false">
      <c r="A9131" s="0" t="n">
        <v>9130</v>
      </c>
      <c r="B9131" s="18" t="n">
        <v>1811462.03651609</v>
      </c>
      <c r="C9131" s="18" t="n">
        <v>2560011.77008144</v>
      </c>
      <c r="D9131" s="0" t="n">
        <v>1</v>
      </c>
    </row>
    <row r="9132" customFormat="false" ht="15" hidden="false" customHeight="false" outlineLevel="0" collapsed="false">
      <c r="A9132" s="0" t="n">
        <v>9131</v>
      </c>
      <c r="B9132" s="18" t="n">
        <v>626520.734138583</v>
      </c>
      <c r="C9132" s="18" t="n">
        <v>0</v>
      </c>
      <c r="D9132" s="0" t="n">
        <v>0</v>
      </c>
      <c r="E9132" s="19" t="n">
        <v>33.75</v>
      </c>
    </row>
    <row r="9133" customFormat="false" ht="15" hidden="false" customHeight="false" outlineLevel="0" collapsed="false">
      <c r="A9133" s="0" t="n">
        <v>9132</v>
      </c>
      <c r="B9133" s="18" t="n">
        <v>1219445.35771427</v>
      </c>
      <c r="C9133" s="18" t="n">
        <v>3055455.28329547</v>
      </c>
      <c r="D9133" s="0" t="n">
        <v>1</v>
      </c>
    </row>
    <row r="9134" customFormat="false" ht="15" hidden="false" customHeight="false" outlineLevel="0" collapsed="false">
      <c r="A9134" s="0" t="n">
        <v>9133</v>
      </c>
      <c r="B9134" s="18" t="n">
        <v>955812.926237556</v>
      </c>
      <c r="C9134" s="18" t="n">
        <v>2145674.48194019</v>
      </c>
      <c r="D9134" s="0" t="n">
        <v>1</v>
      </c>
    </row>
    <row r="9135" customFormat="false" ht="15" hidden="false" customHeight="false" outlineLevel="0" collapsed="false">
      <c r="A9135" s="0" t="n">
        <v>9134</v>
      </c>
      <c r="B9135" s="18" t="n">
        <v>690624.86055804</v>
      </c>
      <c r="C9135" s="18" t="n">
        <v>0</v>
      </c>
      <c r="D9135" s="0" t="n">
        <v>0</v>
      </c>
      <c r="E9135" s="19" t="n">
        <v>45.6666666666667</v>
      </c>
    </row>
    <row r="9136" customFormat="false" ht="15" hidden="false" customHeight="false" outlineLevel="0" collapsed="false">
      <c r="A9136" s="0" t="n">
        <v>9135</v>
      </c>
      <c r="B9136" s="18" t="n">
        <v>741857.441360568</v>
      </c>
      <c r="C9136" s="18" t="n">
        <v>0</v>
      </c>
      <c r="D9136" s="0" t="n">
        <v>0</v>
      </c>
      <c r="E9136" s="19" t="n">
        <v>50</v>
      </c>
    </row>
    <row r="9137" customFormat="false" ht="15" hidden="false" customHeight="false" outlineLevel="0" collapsed="false">
      <c r="A9137" s="0" t="n">
        <v>9136</v>
      </c>
      <c r="B9137" s="18" t="n">
        <v>1184998.86903782</v>
      </c>
      <c r="C9137" s="18" t="n">
        <v>0</v>
      </c>
      <c r="D9137" s="0" t="n">
        <v>0</v>
      </c>
      <c r="E9137" s="19" t="n">
        <v>54.3333333333333</v>
      </c>
    </row>
    <row r="9138" customFormat="false" ht="15" hidden="false" customHeight="false" outlineLevel="0" collapsed="false">
      <c r="A9138" s="0" t="n">
        <v>9137</v>
      </c>
      <c r="B9138" s="18" t="n">
        <v>1029842.94585916</v>
      </c>
      <c r="C9138" s="18" t="n">
        <v>10565382.9493617</v>
      </c>
      <c r="D9138" s="0" t="n">
        <v>1</v>
      </c>
    </row>
    <row r="9139" customFormat="false" ht="15" hidden="false" customHeight="false" outlineLevel="0" collapsed="false">
      <c r="A9139" s="0" t="n">
        <v>9138</v>
      </c>
      <c r="B9139" s="18" t="n">
        <v>1284922.81455165</v>
      </c>
      <c r="C9139" s="18" t="n">
        <v>5780696.29218814</v>
      </c>
      <c r="D9139" s="0" t="n">
        <v>1</v>
      </c>
    </row>
    <row r="9140" customFormat="false" ht="15" hidden="false" customHeight="false" outlineLevel="0" collapsed="false">
      <c r="A9140" s="0" t="n">
        <v>9139</v>
      </c>
      <c r="B9140" s="18" t="n">
        <v>1933618.37788274</v>
      </c>
      <c r="C9140" s="18" t="n">
        <v>7610502.60449028</v>
      </c>
      <c r="D9140" s="0" t="n">
        <v>1</v>
      </c>
    </row>
    <row r="9141" customFormat="false" ht="15" hidden="false" customHeight="false" outlineLevel="0" collapsed="false">
      <c r="A9141" s="0" t="n">
        <v>9140</v>
      </c>
      <c r="B9141" s="18" t="n">
        <v>1992140.32594775</v>
      </c>
      <c r="C9141" s="18" t="n">
        <v>3267470.63483449</v>
      </c>
      <c r="D9141" s="0" t="n">
        <v>1</v>
      </c>
    </row>
    <row r="9142" customFormat="false" ht="15" hidden="false" customHeight="false" outlineLevel="0" collapsed="false">
      <c r="A9142" s="0" t="n">
        <v>9141</v>
      </c>
      <c r="B9142" s="18" t="n">
        <v>2091400.70443518</v>
      </c>
      <c r="C9142" s="18" t="n">
        <v>465034.236049719</v>
      </c>
      <c r="D9142" s="0" t="n">
        <v>1</v>
      </c>
    </row>
    <row r="9143" customFormat="false" ht="15" hidden="false" customHeight="false" outlineLevel="0" collapsed="false">
      <c r="A9143" s="0" t="n">
        <v>9142</v>
      </c>
      <c r="B9143" s="18" t="n">
        <v>1571014.63702492</v>
      </c>
      <c r="C9143" s="18" t="n">
        <v>14474655.9389391</v>
      </c>
      <c r="D9143" s="0" t="n">
        <v>1</v>
      </c>
    </row>
    <row r="9144" customFormat="false" ht="15" hidden="false" customHeight="false" outlineLevel="0" collapsed="false">
      <c r="A9144" s="0" t="n">
        <v>9143</v>
      </c>
      <c r="B9144" s="18" t="n">
        <v>869408.714010407</v>
      </c>
      <c r="C9144" s="18" t="n">
        <v>0</v>
      </c>
      <c r="D9144" s="0" t="n">
        <v>0</v>
      </c>
      <c r="E9144" s="19" t="n">
        <v>44.25</v>
      </c>
    </row>
    <row r="9145" customFormat="false" ht="15" hidden="false" customHeight="false" outlineLevel="0" collapsed="false">
      <c r="A9145" s="0" t="n">
        <v>9144</v>
      </c>
      <c r="B9145" s="18" t="n">
        <v>2216187.7036727</v>
      </c>
      <c r="C9145" s="18" t="n">
        <v>7678498.83221448</v>
      </c>
      <c r="D9145" s="0" t="n">
        <v>1</v>
      </c>
    </row>
    <row r="9146" customFormat="false" ht="15" hidden="false" customHeight="false" outlineLevel="0" collapsed="false">
      <c r="A9146" s="0" t="n">
        <v>9145</v>
      </c>
      <c r="B9146" s="18" t="n">
        <v>461824.497679806</v>
      </c>
      <c r="C9146" s="18" t="n">
        <v>0</v>
      </c>
      <c r="D9146" s="0" t="n">
        <v>0</v>
      </c>
      <c r="E9146" s="19" t="n">
        <v>39.3333333333333</v>
      </c>
    </row>
    <row r="9147" customFormat="false" ht="15" hidden="false" customHeight="false" outlineLevel="0" collapsed="false">
      <c r="A9147" s="0" t="n">
        <v>9146</v>
      </c>
      <c r="B9147" s="18" t="n">
        <v>375239.138721503</v>
      </c>
      <c r="C9147" s="18" t="n">
        <v>0</v>
      </c>
      <c r="D9147" s="0" t="n">
        <v>0</v>
      </c>
      <c r="E9147" s="19" t="n">
        <v>30.25</v>
      </c>
    </row>
    <row r="9148" customFormat="false" ht="15" hidden="false" customHeight="false" outlineLevel="0" collapsed="false">
      <c r="A9148" s="0" t="n">
        <v>9147</v>
      </c>
      <c r="B9148" s="18" t="n">
        <v>1468644.64514579</v>
      </c>
      <c r="C9148" s="18" t="n">
        <v>2880493.07207021</v>
      </c>
      <c r="D9148" s="0" t="n">
        <v>1</v>
      </c>
    </row>
    <row r="9149" customFormat="false" ht="15" hidden="false" customHeight="false" outlineLevel="0" collapsed="false">
      <c r="A9149" s="0" t="n">
        <v>9148</v>
      </c>
      <c r="B9149" s="18" t="n">
        <v>1005668.80964358</v>
      </c>
      <c r="C9149" s="18" t="n">
        <v>0</v>
      </c>
      <c r="D9149" s="0" t="n">
        <v>0</v>
      </c>
      <c r="E9149" s="19" t="n">
        <v>42.25</v>
      </c>
    </row>
    <row r="9150" customFormat="false" ht="15" hidden="false" customHeight="false" outlineLevel="0" collapsed="false">
      <c r="A9150" s="0" t="n">
        <v>9149</v>
      </c>
      <c r="B9150" s="18" t="n">
        <v>1238024.18522629</v>
      </c>
      <c r="C9150" s="18" t="n">
        <v>12446473.8608143</v>
      </c>
      <c r="D9150" s="0" t="n">
        <v>1</v>
      </c>
    </row>
    <row r="9151" customFormat="false" ht="15" hidden="false" customHeight="false" outlineLevel="0" collapsed="false">
      <c r="A9151" s="0" t="n">
        <v>9150</v>
      </c>
      <c r="B9151" s="18" t="n">
        <v>1637125.72683897</v>
      </c>
      <c r="C9151" s="18" t="n">
        <v>866286.653542685</v>
      </c>
      <c r="D9151" s="0" t="n">
        <v>1</v>
      </c>
    </row>
    <row r="9152" customFormat="false" ht="15" hidden="false" customHeight="false" outlineLevel="0" collapsed="false">
      <c r="A9152" s="0" t="n">
        <v>9151</v>
      </c>
      <c r="B9152" s="18" t="n">
        <v>979650.464129784</v>
      </c>
      <c r="C9152" s="18" t="n">
        <v>0</v>
      </c>
      <c r="D9152" s="0" t="n">
        <v>0</v>
      </c>
      <c r="E9152" s="19" t="n">
        <v>42.75</v>
      </c>
    </row>
    <row r="9153" customFormat="false" ht="15" hidden="false" customHeight="false" outlineLevel="0" collapsed="false">
      <c r="A9153" s="0" t="n">
        <v>9152</v>
      </c>
      <c r="B9153" s="18" t="n">
        <v>1130832.59375067</v>
      </c>
      <c r="C9153" s="18" t="n">
        <v>0</v>
      </c>
      <c r="D9153" s="0" t="n">
        <v>0</v>
      </c>
      <c r="E9153" s="19" t="n">
        <v>39.25</v>
      </c>
    </row>
    <row r="9154" customFormat="false" ht="15" hidden="false" customHeight="false" outlineLevel="0" collapsed="false">
      <c r="A9154" s="0" t="n">
        <v>9153</v>
      </c>
      <c r="B9154" s="18" t="n">
        <v>584742.684191123</v>
      </c>
      <c r="C9154" s="18" t="n">
        <v>0</v>
      </c>
      <c r="D9154" s="0" t="n">
        <v>0</v>
      </c>
      <c r="E9154" s="19" t="n">
        <v>33.0833333333333</v>
      </c>
    </row>
    <row r="9155" customFormat="false" ht="15" hidden="false" customHeight="false" outlineLevel="0" collapsed="false">
      <c r="A9155" s="0" t="n">
        <v>9154</v>
      </c>
      <c r="B9155" s="18" t="n">
        <v>945050.243175892</v>
      </c>
      <c r="C9155" s="18" t="n">
        <v>13707391.3943895</v>
      </c>
      <c r="D9155" s="0" t="n">
        <v>1</v>
      </c>
    </row>
    <row r="9156" customFormat="false" ht="15" hidden="false" customHeight="false" outlineLevel="0" collapsed="false">
      <c r="A9156" s="0" t="n">
        <v>9155</v>
      </c>
      <c r="B9156" s="18" t="n">
        <v>529216.591726961</v>
      </c>
      <c r="C9156" s="18" t="n">
        <v>0</v>
      </c>
      <c r="D9156" s="0" t="n">
        <v>0</v>
      </c>
      <c r="E9156" s="19" t="n">
        <v>34.75</v>
      </c>
    </row>
    <row r="9157" customFormat="false" ht="15" hidden="false" customHeight="false" outlineLevel="0" collapsed="false">
      <c r="A9157" s="0" t="n">
        <v>9156</v>
      </c>
      <c r="B9157" s="18" t="n">
        <v>1708286.17958115</v>
      </c>
      <c r="C9157" s="18" t="n">
        <v>2578731.42165379</v>
      </c>
      <c r="D9157" s="0" t="n">
        <v>1</v>
      </c>
    </row>
    <row r="9158" customFormat="false" ht="15" hidden="false" customHeight="false" outlineLevel="0" collapsed="false">
      <c r="A9158" s="0" t="n">
        <v>9157</v>
      </c>
      <c r="B9158" s="18" t="n">
        <v>1454227.88851132</v>
      </c>
      <c r="C9158" s="18" t="n">
        <v>777272.64249894</v>
      </c>
      <c r="D9158" s="0" t="n">
        <v>1</v>
      </c>
    </row>
    <row r="9159" customFormat="false" ht="15" hidden="false" customHeight="false" outlineLevel="0" collapsed="false">
      <c r="A9159" s="0" t="n">
        <v>9158</v>
      </c>
      <c r="B9159" s="18" t="n">
        <v>342170.012559363</v>
      </c>
      <c r="C9159" s="18" t="n">
        <v>0</v>
      </c>
      <c r="D9159" s="0" t="n">
        <v>0</v>
      </c>
      <c r="E9159" s="19" t="n">
        <v>32.3333333333333</v>
      </c>
    </row>
    <row r="9160" customFormat="false" ht="15" hidden="false" customHeight="false" outlineLevel="0" collapsed="false">
      <c r="A9160" s="0" t="n">
        <v>9159</v>
      </c>
      <c r="B9160" s="18" t="n">
        <v>1017382.87776051</v>
      </c>
      <c r="C9160" s="18" t="n">
        <v>0</v>
      </c>
      <c r="D9160" s="0" t="n">
        <v>0</v>
      </c>
      <c r="E9160" s="19" t="n">
        <v>40.1666666666667</v>
      </c>
    </row>
    <row r="9161" customFormat="false" ht="15" hidden="false" customHeight="false" outlineLevel="0" collapsed="false">
      <c r="A9161" s="0" t="n">
        <v>9160</v>
      </c>
      <c r="B9161" s="18" t="n">
        <v>925715.329996377</v>
      </c>
      <c r="C9161" s="18" t="n">
        <v>0</v>
      </c>
      <c r="D9161" s="0" t="n">
        <v>0</v>
      </c>
      <c r="E9161" s="19" t="n">
        <v>50.1666666666667</v>
      </c>
    </row>
    <row r="9162" customFormat="false" ht="15" hidden="false" customHeight="false" outlineLevel="0" collapsed="false">
      <c r="A9162" s="0" t="n">
        <v>9161</v>
      </c>
      <c r="B9162" s="18" t="n">
        <v>1078780.56849582</v>
      </c>
      <c r="C9162" s="18" t="n">
        <v>1495678.58982038</v>
      </c>
      <c r="D9162" s="0" t="n">
        <v>1</v>
      </c>
    </row>
    <row r="9163" customFormat="false" ht="15" hidden="false" customHeight="false" outlineLevel="0" collapsed="false">
      <c r="A9163" s="0" t="n">
        <v>9162</v>
      </c>
      <c r="B9163" s="18" t="n">
        <v>1351135.65839952</v>
      </c>
      <c r="C9163" s="18" t="n">
        <v>2539397.8714724</v>
      </c>
      <c r="D9163" s="0" t="n">
        <v>1</v>
      </c>
    </row>
    <row r="9164" customFormat="false" ht="15" hidden="false" customHeight="false" outlineLevel="0" collapsed="false">
      <c r="A9164" s="0" t="n">
        <v>9163</v>
      </c>
      <c r="B9164" s="18" t="n">
        <v>1605078.65159061</v>
      </c>
      <c r="C9164" s="18" t="n">
        <v>5287421.63420644</v>
      </c>
      <c r="D9164" s="0" t="n">
        <v>1</v>
      </c>
    </row>
    <row r="9165" customFormat="false" ht="15" hidden="false" customHeight="false" outlineLevel="0" collapsed="false">
      <c r="A9165" s="0" t="n">
        <v>9164</v>
      </c>
      <c r="B9165" s="18" t="n">
        <v>717172.927244045</v>
      </c>
      <c r="C9165" s="18" t="n">
        <v>0</v>
      </c>
      <c r="D9165" s="0" t="n">
        <v>0</v>
      </c>
      <c r="E9165" s="19" t="n">
        <v>33.0833333333333</v>
      </c>
    </row>
    <row r="9166" customFormat="false" ht="15" hidden="false" customHeight="false" outlineLevel="0" collapsed="false">
      <c r="A9166" s="0" t="n">
        <v>9165</v>
      </c>
      <c r="B9166" s="18" t="n">
        <v>1268544.71973074</v>
      </c>
      <c r="C9166" s="18" t="n">
        <v>28242239.7473801</v>
      </c>
      <c r="D9166" s="0" t="n">
        <v>1</v>
      </c>
    </row>
    <row r="9167" customFormat="false" ht="15" hidden="false" customHeight="false" outlineLevel="0" collapsed="false">
      <c r="A9167" s="0" t="n">
        <v>9166</v>
      </c>
      <c r="B9167" s="18" t="n">
        <v>663623.58327486</v>
      </c>
      <c r="C9167" s="18" t="n">
        <v>0</v>
      </c>
      <c r="D9167" s="0" t="n">
        <v>0</v>
      </c>
      <c r="E9167" s="19" t="n">
        <v>33</v>
      </c>
    </row>
    <row r="9168" customFormat="false" ht="15" hidden="false" customHeight="false" outlineLevel="0" collapsed="false">
      <c r="A9168" s="0" t="n">
        <v>9167</v>
      </c>
      <c r="B9168" s="18" t="n">
        <v>409231.477633076</v>
      </c>
      <c r="C9168" s="18" t="n">
        <v>0</v>
      </c>
      <c r="D9168" s="0" t="n">
        <v>0</v>
      </c>
      <c r="E9168" s="19" t="n">
        <v>33.75</v>
      </c>
    </row>
    <row r="9169" customFormat="false" ht="15" hidden="false" customHeight="false" outlineLevel="0" collapsed="false">
      <c r="A9169" s="0" t="n">
        <v>9168</v>
      </c>
      <c r="B9169" s="18" t="n">
        <v>750760.839849592</v>
      </c>
      <c r="C9169" s="18" t="n">
        <v>2640451.00944675</v>
      </c>
      <c r="D9169" s="0" t="n">
        <v>1</v>
      </c>
    </row>
    <row r="9170" customFormat="false" ht="15" hidden="false" customHeight="false" outlineLevel="0" collapsed="false">
      <c r="A9170" s="0" t="n">
        <v>9169</v>
      </c>
      <c r="B9170" s="18" t="n">
        <v>497851.566275116</v>
      </c>
      <c r="C9170" s="18" t="n">
        <v>0</v>
      </c>
      <c r="D9170" s="0" t="n">
        <v>0</v>
      </c>
      <c r="E9170" s="19" t="n">
        <v>42.5833333333333</v>
      </c>
    </row>
    <row r="9171" customFormat="false" ht="15" hidden="false" customHeight="false" outlineLevel="0" collapsed="false">
      <c r="A9171" s="0" t="n">
        <v>9170</v>
      </c>
      <c r="B9171" s="18" t="n">
        <v>1246424.56204322</v>
      </c>
      <c r="C9171" s="18" t="n">
        <v>0</v>
      </c>
      <c r="D9171" s="0" t="n">
        <v>0</v>
      </c>
      <c r="E9171" s="19" t="n">
        <v>39.75</v>
      </c>
    </row>
    <row r="9172" customFormat="false" ht="15" hidden="false" customHeight="false" outlineLevel="0" collapsed="false">
      <c r="A9172" s="0" t="n">
        <v>9171</v>
      </c>
      <c r="B9172" s="18" t="n">
        <v>646658.420121768</v>
      </c>
      <c r="C9172" s="18" t="n">
        <v>0</v>
      </c>
      <c r="D9172" s="0" t="n">
        <v>0</v>
      </c>
      <c r="E9172" s="19" t="n">
        <v>39.0833333333333</v>
      </c>
    </row>
    <row r="9173" customFormat="false" ht="15" hidden="false" customHeight="false" outlineLevel="0" collapsed="false">
      <c r="A9173" s="0" t="n">
        <v>9172</v>
      </c>
      <c r="B9173" s="18" t="n">
        <v>688771.993327388</v>
      </c>
      <c r="C9173" s="18" t="n">
        <v>0</v>
      </c>
      <c r="D9173" s="0" t="n">
        <v>0</v>
      </c>
      <c r="E9173" s="19" t="n">
        <v>38.3333333333333</v>
      </c>
    </row>
    <row r="9174" customFormat="false" ht="15" hidden="false" customHeight="false" outlineLevel="0" collapsed="false">
      <c r="A9174" s="0" t="n">
        <v>9173</v>
      </c>
      <c r="B9174" s="18" t="n">
        <v>1537602.46479611</v>
      </c>
      <c r="C9174" s="18" t="n">
        <v>2757179.39390793</v>
      </c>
      <c r="D9174" s="0" t="n">
        <v>1</v>
      </c>
    </row>
    <row r="9175" customFormat="false" ht="15" hidden="false" customHeight="false" outlineLevel="0" collapsed="false">
      <c r="A9175" s="0" t="n">
        <v>9174</v>
      </c>
      <c r="B9175" s="18" t="n">
        <v>1252979.99313897</v>
      </c>
      <c r="C9175" s="18" t="n">
        <v>41331933.4258333</v>
      </c>
      <c r="D9175" s="0" t="n">
        <v>1</v>
      </c>
    </row>
    <row r="9176" customFormat="false" ht="15" hidden="false" customHeight="false" outlineLevel="0" collapsed="false">
      <c r="A9176" s="0" t="n">
        <v>9175</v>
      </c>
      <c r="B9176" s="18" t="n">
        <v>409680.191219803</v>
      </c>
      <c r="C9176" s="18" t="n">
        <v>0</v>
      </c>
      <c r="D9176" s="0" t="n">
        <v>0</v>
      </c>
      <c r="E9176" s="19" t="n">
        <v>31.1666666666667</v>
      </c>
    </row>
    <row r="9177" customFormat="false" ht="15" hidden="false" customHeight="false" outlineLevel="0" collapsed="false">
      <c r="A9177" s="0" t="n">
        <v>9176</v>
      </c>
      <c r="B9177" s="18" t="n">
        <v>1479615.07939881</v>
      </c>
      <c r="C9177" s="18" t="n">
        <v>0</v>
      </c>
      <c r="D9177" s="0" t="n">
        <v>0</v>
      </c>
      <c r="E9177" s="19" t="n">
        <v>50.6666666666667</v>
      </c>
    </row>
    <row r="9178" customFormat="false" ht="15" hidden="false" customHeight="false" outlineLevel="0" collapsed="false">
      <c r="A9178" s="0" t="n">
        <v>9177</v>
      </c>
      <c r="B9178" s="18" t="n">
        <v>1677049.28165066</v>
      </c>
      <c r="C9178" s="18" t="n">
        <v>0</v>
      </c>
      <c r="D9178" s="0" t="n">
        <v>0</v>
      </c>
      <c r="E9178" s="19" t="n">
        <v>44.75</v>
      </c>
    </row>
    <row r="9179" customFormat="false" ht="15" hidden="false" customHeight="false" outlineLevel="0" collapsed="false">
      <c r="A9179" s="0" t="n">
        <v>9178</v>
      </c>
      <c r="B9179" s="18" t="n">
        <v>813721.670505045</v>
      </c>
      <c r="C9179" s="18" t="n">
        <v>0</v>
      </c>
      <c r="D9179" s="0" t="n">
        <v>0</v>
      </c>
      <c r="E9179" s="19" t="n">
        <v>38.4166666666667</v>
      </c>
    </row>
    <row r="9180" customFormat="false" ht="15" hidden="false" customHeight="false" outlineLevel="0" collapsed="false">
      <c r="A9180" s="0" t="n">
        <v>9179</v>
      </c>
      <c r="B9180" s="18" t="n">
        <v>418065.548261852</v>
      </c>
      <c r="C9180" s="18" t="n">
        <v>0</v>
      </c>
      <c r="D9180" s="0" t="n">
        <v>0</v>
      </c>
      <c r="E9180" s="19" t="n">
        <v>33.5833333333333</v>
      </c>
    </row>
    <row r="9181" customFormat="false" ht="15" hidden="false" customHeight="false" outlineLevel="0" collapsed="false">
      <c r="A9181" s="0" t="n">
        <v>9180</v>
      </c>
      <c r="B9181" s="18" t="n">
        <v>494961.221361256</v>
      </c>
      <c r="C9181" s="18" t="n">
        <v>0</v>
      </c>
      <c r="D9181" s="0" t="n">
        <v>0</v>
      </c>
      <c r="E9181" s="19" t="n">
        <v>37.8333333333333</v>
      </c>
    </row>
    <row r="9182" customFormat="false" ht="15" hidden="false" customHeight="false" outlineLevel="0" collapsed="false">
      <c r="A9182" s="0" t="n">
        <v>9181</v>
      </c>
      <c r="B9182" s="18" t="n">
        <v>1621986.14327248</v>
      </c>
      <c r="C9182" s="18" t="n">
        <v>10920054.8506202</v>
      </c>
      <c r="D9182" s="0" t="n">
        <v>1</v>
      </c>
    </row>
    <row r="9183" customFormat="false" ht="15" hidden="false" customHeight="false" outlineLevel="0" collapsed="false">
      <c r="A9183" s="0" t="n">
        <v>9182</v>
      </c>
      <c r="B9183" s="18" t="n">
        <v>1064844.89267396</v>
      </c>
      <c r="C9183" s="18" t="n">
        <v>5736912.94673627</v>
      </c>
      <c r="D9183" s="0" t="n">
        <v>1</v>
      </c>
    </row>
    <row r="9184" customFormat="false" ht="15" hidden="false" customHeight="false" outlineLevel="0" collapsed="false">
      <c r="A9184" s="0" t="n">
        <v>9183</v>
      </c>
      <c r="B9184" s="18" t="n">
        <v>943726.173685973</v>
      </c>
      <c r="C9184" s="18" t="n">
        <v>0</v>
      </c>
      <c r="D9184" s="0" t="n">
        <v>0</v>
      </c>
      <c r="E9184" s="19" t="n">
        <v>44.5833333333333</v>
      </c>
    </row>
    <row r="9185" customFormat="false" ht="15" hidden="false" customHeight="false" outlineLevel="0" collapsed="false">
      <c r="A9185" s="0" t="n">
        <v>9184</v>
      </c>
      <c r="B9185" s="18" t="n">
        <v>1116255.49052112</v>
      </c>
      <c r="C9185" s="18" t="n">
        <v>0</v>
      </c>
      <c r="D9185" s="0" t="n">
        <v>0</v>
      </c>
      <c r="E9185" s="19" t="n">
        <v>41.1666666666667</v>
      </c>
    </row>
    <row r="9186" customFormat="false" ht="15" hidden="false" customHeight="false" outlineLevel="0" collapsed="false">
      <c r="A9186" s="0" t="n">
        <v>9185</v>
      </c>
      <c r="B9186" s="18" t="n">
        <v>948698.831299997</v>
      </c>
      <c r="C9186" s="18" t="n">
        <v>0</v>
      </c>
      <c r="D9186" s="0" t="n">
        <v>0</v>
      </c>
      <c r="E9186" s="19" t="n">
        <v>38.1666666666667</v>
      </c>
    </row>
    <row r="9187" customFormat="false" ht="15" hidden="false" customHeight="false" outlineLevel="0" collapsed="false">
      <c r="A9187" s="0" t="n">
        <v>9186</v>
      </c>
      <c r="B9187" s="18" t="n">
        <v>1230071.76595958</v>
      </c>
      <c r="C9187" s="18" t="n">
        <v>0</v>
      </c>
      <c r="D9187" s="0" t="n">
        <v>0</v>
      </c>
      <c r="E9187" s="19" t="n">
        <v>47.3333333333333</v>
      </c>
    </row>
    <row r="9188" customFormat="false" ht="15" hidden="false" customHeight="false" outlineLevel="0" collapsed="false">
      <c r="A9188" s="0" t="n">
        <v>9187</v>
      </c>
      <c r="B9188" s="18" t="n">
        <v>355073.574259238</v>
      </c>
      <c r="C9188" s="18" t="n">
        <v>0</v>
      </c>
      <c r="D9188" s="0" t="n">
        <v>0</v>
      </c>
      <c r="E9188" s="19" t="n">
        <v>31.5833333333333</v>
      </c>
    </row>
    <row r="9189" customFormat="false" ht="15" hidden="false" customHeight="false" outlineLevel="0" collapsed="false">
      <c r="A9189" s="0" t="n">
        <v>9188</v>
      </c>
      <c r="B9189" s="18" t="n">
        <v>519990.169122924</v>
      </c>
      <c r="C9189" s="18" t="n">
        <v>0</v>
      </c>
      <c r="D9189" s="0" t="n">
        <v>0</v>
      </c>
      <c r="E9189" s="19" t="n">
        <v>34.0833333333333</v>
      </c>
    </row>
    <row r="9190" customFormat="false" ht="15" hidden="false" customHeight="false" outlineLevel="0" collapsed="false">
      <c r="A9190" s="0" t="n">
        <v>9189</v>
      </c>
      <c r="B9190" s="18" t="n">
        <v>1691252.34921774</v>
      </c>
      <c r="C9190" s="18" t="n">
        <v>1932998.31939295</v>
      </c>
      <c r="D9190" s="0" t="n">
        <v>1</v>
      </c>
    </row>
    <row r="9191" customFormat="false" ht="15" hidden="false" customHeight="false" outlineLevel="0" collapsed="false">
      <c r="A9191" s="0" t="n">
        <v>9190</v>
      </c>
      <c r="B9191" s="18" t="n">
        <v>1108886.71976277</v>
      </c>
      <c r="C9191" s="18" t="n">
        <v>0</v>
      </c>
      <c r="D9191" s="0" t="n">
        <v>0</v>
      </c>
      <c r="E9191" s="19" t="n">
        <v>45.9166666666667</v>
      </c>
    </row>
    <row r="9192" customFormat="false" ht="15" hidden="false" customHeight="false" outlineLevel="0" collapsed="false">
      <c r="A9192" s="0" t="n">
        <v>9191</v>
      </c>
      <c r="B9192" s="18" t="n">
        <v>2286501.98574416</v>
      </c>
      <c r="C9192" s="18" t="n">
        <v>5926452.96229621</v>
      </c>
      <c r="D9192" s="0" t="n">
        <v>1</v>
      </c>
    </row>
    <row r="9193" customFormat="false" ht="15" hidden="false" customHeight="false" outlineLevel="0" collapsed="false">
      <c r="A9193" s="0" t="n">
        <v>9192</v>
      </c>
      <c r="B9193" s="18" t="n">
        <v>721525.549762773</v>
      </c>
      <c r="C9193" s="18" t="n">
        <v>0</v>
      </c>
      <c r="D9193" s="0" t="n">
        <v>0</v>
      </c>
      <c r="E9193" s="19" t="n">
        <v>35.5</v>
      </c>
    </row>
    <row r="9194" customFormat="false" ht="15" hidden="false" customHeight="false" outlineLevel="0" collapsed="false">
      <c r="A9194" s="0" t="n">
        <v>9193</v>
      </c>
      <c r="B9194" s="18" t="n">
        <v>1043900.46751718</v>
      </c>
      <c r="C9194" s="18" t="n">
        <v>0</v>
      </c>
      <c r="D9194" s="0" t="n">
        <v>0</v>
      </c>
      <c r="E9194" s="19" t="n">
        <v>47.4166666666667</v>
      </c>
    </row>
    <row r="9195" customFormat="false" ht="15" hidden="false" customHeight="false" outlineLevel="0" collapsed="false">
      <c r="A9195" s="0" t="n">
        <v>9194</v>
      </c>
      <c r="B9195" s="18" t="n">
        <v>184389.24056979</v>
      </c>
      <c r="C9195" s="18" t="n">
        <v>0</v>
      </c>
      <c r="D9195" s="0" t="n">
        <v>0</v>
      </c>
      <c r="E9195" s="19" t="n">
        <v>28.0833333333333</v>
      </c>
    </row>
    <row r="9196" customFormat="false" ht="15" hidden="false" customHeight="false" outlineLevel="0" collapsed="false">
      <c r="A9196" s="0" t="n">
        <v>9195</v>
      </c>
      <c r="B9196" s="18" t="n">
        <v>1051435.28093414</v>
      </c>
      <c r="C9196" s="18" t="n">
        <v>0</v>
      </c>
      <c r="D9196" s="0" t="n">
        <v>0</v>
      </c>
      <c r="E9196" s="19" t="n">
        <v>46.9166666666667</v>
      </c>
    </row>
    <row r="9197" customFormat="false" ht="15" hidden="false" customHeight="false" outlineLevel="0" collapsed="false">
      <c r="A9197" s="0" t="n">
        <v>9196</v>
      </c>
      <c r="B9197" s="18" t="n">
        <v>603623.574000318</v>
      </c>
      <c r="C9197" s="18" t="n">
        <v>0</v>
      </c>
      <c r="D9197" s="0" t="n">
        <v>0</v>
      </c>
      <c r="E9197" s="19" t="n">
        <v>35.8333333333333</v>
      </c>
    </row>
    <row r="9198" customFormat="false" ht="15" hidden="false" customHeight="false" outlineLevel="0" collapsed="false">
      <c r="A9198" s="0" t="n">
        <v>9197</v>
      </c>
      <c r="B9198" s="18" t="n">
        <v>941517.023728318</v>
      </c>
      <c r="C9198" s="18" t="n">
        <v>1581440.89444492</v>
      </c>
      <c r="D9198" s="0" t="n">
        <v>1</v>
      </c>
    </row>
    <row r="9199" customFormat="false" ht="15" hidden="false" customHeight="false" outlineLevel="0" collapsed="false">
      <c r="A9199" s="0" t="n">
        <v>9198</v>
      </c>
      <c r="B9199" s="18" t="n">
        <v>2523105.47999685</v>
      </c>
      <c r="C9199" s="18" t="n">
        <v>12794742.6442825</v>
      </c>
      <c r="D9199" s="0" t="n">
        <v>1</v>
      </c>
    </row>
    <row r="9200" customFormat="false" ht="15" hidden="false" customHeight="false" outlineLevel="0" collapsed="false">
      <c r="A9200" s="0" t="n">
        <v>9199</v>
      </c>
      <c r="B9200" s="18" t="n">
        <v>620293.890754214</v>
      </c>
      <c r="C9200" s="18" t="n">
        <v>0</v>
      </c>
      <c r="D9200" s="0" t="n">
        <v>0</v>
      </c>
      <c r="E9200" s="19" t="n">
        <v>34.4166666666667</v>
      </c>
    </row>
    <row r="9201" customFormat="false" ht="15" hidden="false" customHeight="false" outlineLevel="0" collapsed="false">
      <c r="A9201" s="0" t="n">
        <v>9200</v>
      </c>
      <c r="B9201" s="18" t="n">
        <v>1001007.11571414</v>
      </c>
      <c r="C9201" s="18" t="n">
        <v>0</v>
      </c>
      <c r="D9201" s="0" t="n">
        <v>0</v>
      </c>
      <c r="E9201" s="19" t="n">
        <v>42.75</v>
      </c>
    </row>
    <row r="9202" customFormat="false" ht="15" hidden="false" customHeight="false" outlineLevel="0" collapsed="false">
      <c r="A9202" s="0" t="n">
        <v>9201</v>
      </c>
      <c r="B9202" s="18" t="n">
        <v>577310.569643605</v>
      </c>
      <c r="C9202" s="18" t="n">
        <v>0</v>
      </c>
      <c r="D9202" s="0" t="n">
        <v>0</v>
      </c>
      <c r="E9202" s="19" t="n">
        <v>32.6666666666667</v>
      </c>
    </row>
    <row r="9203" customFormat="false" ht="15" hidden="false" customHeight="false" outlineLevel="0" collapsed="false">
      <c r="A9203" s="0" t="n">
        <v>9202</v>
      </c>
      <c r="B9203" s="18" t="n">
        <v>1702285.43126582</v>
      </c>
      <c r="C9203" s="18" t="n">
        <v>0</v>
      </c>
      <c r="D9203" s="0" t="n">
        <v>0</v>
      </c>
      <c r="E9203" s="19" t="n">
        <v>50.8333333333333</v>
      </c>
    </row>
    <row r="9204" customFormat="false" ht="15" hidden="false" customHeight="false" outlineLevel="0" collapsed="false">
      <c r="A9204" s="0" t="n">
        <v>9203</v>
      </c>
      <c r="B9204" s="18" t="n">
        <v>486722.822673604</v>
      </c>
      <c r="C9204" s="18" t="n">
        <v>0</v>
      </c>
      <c r="D9204" s="0" t="n">
        <v>0</v>
      </c>
      <c r="E9204" s="19" t="n">
        <v>34.25</v>
      </c>
    </row>
    <row r="9205" customFormat="false" ht="15" hidden="false" customHeight="false" outlineLevel="0" collapsed="false">
      <c r="A9205" s="0" t="n">
        <v>9204</v>
      </c>
      <c r="B9205" s="18" t="n">
        <v>606183.74383034</v>
      </c>
      <c r="C9205" s="18" t="n">
        <v>0</v>
      </c>
      <c r="D9205" s="0" t="n">
        <v>0</v>
      </c>
      <c r="E9205" s="19" t="n">
        <v>32.8333333333333</v>
      </c>
    </row>
    <row r="9206" customFormat="false" ht="15" hidden="false" customHeight="false" outlineLevel="0" collapsed="false">
      <c r="A9206" s="0" t="n">
        <v>9205</v>
      </c>
      <c r="B9206" s="18" t="n">
        <v>1750931.90371527</v>
      </c>
      <c r="C9206" s="18" t="n">
        <v>11610456.4077621</v>
      </c>
      <c r="D9206" s="0" t="n">
        <v>1</v>
      </c>
    </row>
    <row r="9207" customFormat="false" ht="15" hidden="false" customHeight="false" outlineLevel="0" collapsed="false">
      <c r="A9207" s="0" t="n">
        <v>9206</v>
      </c>
      <c r="B9207" s="18" t="n">
        <v>1040135.86631021</v>
      </c>
      <c r="C9207" s="18" t="n">
        <v>0</v>
      </c>
      <c r="D9207" s="0" t="n">
        <v>0</v>
      </c>
      <c r="E9207" s="19" t="n">
        <v>50.0833333333333</v>
      </c>
    </row>
    <row r="9208" customFormat="false" ht="15" hidden="false" customHeight="false" outlineLevel="0" collapsed="false">
      <c r="A9208" s="0" t="n">
        <v>9207</v>
      </c>
      <c r="B9208" s="18" t="n">
        <v>2912842.83159784</v>
      </c>
      <c r="C9208" s="18" t="n">
        <v>1027408.70249585</v>
      </c>
      <c r="D9208" s="0" t="n">
        <v>1</v>
      </c>
    </row>
    <row r="9209" customFormat="false" ht="15" hidden="false" customHeight="false" outlineLevel="0" collapsed="false">
      <c r="A9209" s="0" t="n">
        <v>9208</v>
      </c>
      <c r="B9209" s="18" t="n">
        <v>1380427.4594073</v>
      </c>
      <c r="C9209" s="18" t="n">
        <v>0</v>
      </c>
      <c r="D9209" s="0" t="n">
        <v>0</v>
      </c>
      <c r="E9209" s="19" t="n">
        <v>45.1666666666667</v>
      </c>
    </row>
    <row r="9210" customFormat="false" ht="15" hidden="false" customHeight="false" outlineLevel="0" collapsed="false">
      <c r="A9210" s="0" t="n">
        <v>9209</v>
      </c>
      <c r="B9210" s="18" t="n">
        <v>456787.747164148</v>
      </c>
      <c r="C9210" s="18" t="n">
        <v>0</v>
      </c>
      <c r="D9210" s="0" t="n">
        <v>0</v>
      </c>
      <c r="E9210" s="19" t="n">
        <v>31.8333333333333</v>
      </c>
    </row>
    <row r="9211" customFormat="false" ht="15" hidden="false" customHeight="false" outlineLevel="0" collapsed="false">
      <c r="A9211" s="0" t="n">
        <v>9210</v>
      </c>
      <c r="B9211" s="18" t="n">
        <v>1054118.44934062</v>
      </c>
      <c r="C9211" s="18" t="n">
        <v>3767347.03864902</v>
      </c>
      <c r="D9211" s="0" t="n">
        <v>1</v>
      </c>
    </row>
    <row r="9212" customFormat="false" ht="15" hidden="false" customHeight="false" outlineLevel="0" collapsed="false">
      <c r="A9212" s="0" t="n">
        <v>9211</v>
      </c>
      <c r="B9212" s="18" t="n">
        <v>1036687.2413866</v>
      </c>
      <c r="C9212" s="18" t="n">
        <v>0</v>
      </c>
      <c r="D9212" s="0" t="n">
        <v>0</v>
      </c>
      <c r="E9212" s="19" t="n">
        <v>49.3333333333333</v>
      </c>
    </row>
    <row r="9213" customFormat="false" ht="15" hidden="false" customHeight="false" outlineLevel="0" collapsed="false">
      <c r="A9213" s="0" t="n">
        <v>9212</v>
      </c>
      <c r="B9213" s="18" t="n">
        <v>743772.483229827</v>
      </c>
      <c r="C9213" s="18" t="n">
        <v>0</v>
      </c>
      <c r="D9213" s="0" t="n">
        <v>0</v>
      </c>
      <c r="E9213" s="19" t="n">
        <v>43.9166666666667</v>
      </c>
    </row>
    <row r="9214" customFormat="false" ht="15" hidden="false" customHeight="false" outlineLevel="0" collapsed="false">
      <c r="A9214" s="0" t="n">
        <v>9213</v>
      </c>
      <c r="B9214" s="18" t="n">
        <v>1102535.78577112</v>
      </c>
      <c r="C9214" s="18" t="n">
        <v>7993875.12268111</v>
      </c>
      <c r="D9214" s="0" t="n">
        <v>1</v>
      </c>
    </row>
    <row r="9215" customFormat="false" ht="15" hidden="false" customHeight="false" outlineLevel="0" collapsed="false">
      <c r="A9215" s="0" t="n">
        <v>9214</v>
      </c>
      <c r="B9215" s="18" t="n">
        <v>1551361.73631239</v>
      </c>
      <c r="C9215" s="18" t="n">
        <v>1034508.56019763</v>
      </c>
      <c r="D9215" s="0" t="n">
        <v>1</v>
      </c>
    </row>
    <row r="9216" customFormat="false" ht="15" hidden="false" customHeight="false" outlineLevel="0" collapsed="false">
      <c r="A9216" s="0" t="n">
        <v>9215</v>
      </c>
      <c r="B9216" s="18" t="n">
        <v>1686483.70345504</v>
      </c>
      <c r="C9216" s="18" t="n">
        <v>0</v>
      </c>
      <c r="D9216" s="0" t="n">
        <v>0</v>
      </c>
      <c r="E9216" s="19" t="n">
        <v>42.5</v>
      </c>
    </row>
    <row r="9217" customFormat="false" ht="15" hidden="false" customHeight="false" outlineLevel="0" collapsed="false">
      <c r="A9217" s="0" t="n">
        <v>9216</v>
      </c>
      <c r="B9217" s="18" t="n">
        <v>640694.411666693</v>
      </c>
      <c r="C9217" s="18" t="n">
        <v>0</v>
      </c>
      <c r="D9217" s="0" t="n">
        <v>0</v>
      </c>
      <c r="E9217" s="19" t="n">
        <v>34.6666666666667</v>
      </c>
    </row>
    <row r="9218" customFormat="false" ht="15" hidden="false" customHeight="false" outlineLevel="0" collapsed="false">
      <c r="A9218" s="0" t="n">
        <v>9217</v>
      </c>
      <c r="B9218" s="18" t="n">
        <v>745891.502716863</v>
      </c>
      <c r="C9218" s="18" t="n">
        <v>0</v>
      </c>
      <c r="D9218" s="0" t="n">
        <v>0</v>
      </c>
      <c r="E9218" s="19" t="n">
        <v>41.25</v>
      </c>
    </row>
    <row r="9219" customFormat="false" ht="15" hidden="false" customHeight="false" outlineLevel="0" collapsed="false">
      <c r="A9219" s="0" t="n">
        <v>9218</v>
      </c>
      <c r="B9219" s="18" t="n">
        <v>2246221.39744018</v>
      </c>
      <c r="C9219" s="18" t="n">
        <v>3605518.05510475</v>
      </c>
      <c r="D9219" s="0" t="n">
        <v>1</v>
      </c>
    </row>
    <row r="9220" customFormat="false" ht="15" hidden="false" customHeight="false" outlineLevel="0" collapsed="false">
      <c r="A9220" s="0" t="n">
        <v>9219</v>
      </c>
      <c r="B9220" s="18" t="n">
        <v>521174.641548653</v>
      </c>
      <c r="C9220" s="18" t="n">
        <v>0</v>
      </c>
      <c r="D9220" s="0" t="n">
        <v>0</v>
      </c>
      <c r="E9220" s="19" t="n">
        <v>33.1666666666667</v>
      </c>
    </row>
    <row r="9221" customFormat="false" ht="15" hidden="false" customHeight="false" outlineLevel="0" collapsed="false">
      <c r="A9221" s="0" t="n">
        <v>9220</v>
      </c>
      <c r="B9221" s="18" t="n">
        <v>974373.072779914</v>
      </c>
      <c r="C9221" s="18" t="n">
        <v>0</v>
      </c>
      <c r="D9221" s="0" t="n">
        <v>0</v>
      </c>
      <c r="E9221" s="19" t="n">
        <v>47</v>
      </c>
    </row>
    <row r="9222" customFormat="false" ht="15" hidden="false" customHeight="false" outlineLevel="0" collapsed="false">
      <c r="A9222" s="0" t="n">
        <v>9221</v>
      </c>
      <c r="B9222" s="18" t="n">
        <v>1174405.66930104</v>
      </c>
      <c r="C9222" s="18" t="n">
        <v>37915091.2459598</v>
      </c>
      <c r="D9222" s="0" t="n">
        <v>1</v>
      </c>
    </row>
    <row r="9223" customFormat="false" ht="15" hidden="false" customHeight="false" outlineLevel="0" collapsed="false">
      <c r="A9223" s="0" t="n">
        <v>9222</v>
      </c>
      <c r="B9223" s="18" t="n">
        <v>700398.153806229</v>
      </c>
      <c r="C9223" s="18" t="n">
        <v>0</v>
      </c>
      <c r="D9223" s="0" t="n">
        <v>0</v>
      </c>
      <c r="E9223" s="19" t="n">
        <v>41.5</v>
      </c>
    </row>
    <row r="9224" customFormat="false" ht="15" hidden="false" customHeight="false" outlineLevel="0" collapsed="false">
      <c r="A9224" s="0" t="n">
        <v>9223</v>
      </c>
      <c r="B9224" s="18" t="n">
        <v>303290.935220558</v>
      </c>
      <c r="C9224" s="18" t="n">
        <v>0</v>
      </c>
      <c r="D9224" s="0" t="n">
        <v>0</v>
      </c>
      <c r="E9224" s="19" t="n">
        <v>33.9166666666667</v>
      </c>
    </row>
    <row r="9225" customFormat="false" ht="15" hidden="false" customHeight="false" outlineLevel="0" collapsed="false">
      <c r="A9225" s="0" t="n">
        <v>9224</v>
      </c>
      <c r="B9225" s="18" t="n">
        <v>772442.83099178</v>
      </c>
      <c r="C9225" s="18" t="n">
        <v>0</v>
      </c>
      <c r="D9225" s="0" t="n">
        <v>0</v>
      </c>
      <c r="E9225" s="19" t="n">
        <v>36.3333333333333</v>
      </c>
    </row>
    <row r="9226" customFormat="false" ht="15" hidden="false" customHeight="false" outlineLevel="0" collapsed="false">
      <c r="A9226" s="0" t="n">
        <v>9225</v>
      </c>
      <c r="B9226" s="18" t="n">
        <v>589207.678372306</v>
      </c>
      <c r="C9226" s="18" t="n">
        <v>0</v>
      </c>
      <c r="D9226" s="0" t="n">
        <v>0</v>
      </c>
      <c r="E9226" s="19" t="n">
        <v>31.8333333333333</v>
      </c>
    </row>
    <row r="9227" customFormat="false" ht="15" hidden="false" customHeight="false" outlineLevel="0" collapsed="false">
      <c r="A9227" s="0" t="n">
        <v>9226</v>
      </c>
      <c r="B9227" s="18" t="n">
        <v>937998.774131363</v>
      </c>
      <c r="C9227" s="18" t="n">
        <v>0</v>
      </c>
      <c r="D9227" s="0" t="n">
        <v>0</v>
      </c>
      <c r="E9227" s="19" t="n">
        <v>50.1666666666667</v>
      </c>
    </row>
    <row r="9228" customFormat="false" ht="15" hidden="false" customHeight="false" outlineLevel="0" collapsed="false">
      <c r="A9228" s="0" t="n">
        <v>9227</v>
      </c>
      <c r="B9228" s="18" t="n">
        <v>641247.356008807</v>
      </c>
      <c r="C9228" s="18" t="n">
        <v>0</v>
      </c>
      <c r="D9228" s="0" t="n">
        <v>0</v>
      </c>
      <c r="E9228" s="19" t="n">
        <v>38.5</v>
      </c>
    </row>
    <row r="9229" customFormat="false" ht="15" hidden="false" customHeight="false" outlineLevel="0" collapsed="false">
      <c r="A9229" s="0" t="n">
        <v>9228</v>
      </c>
      <c r="B9229" s="18" t="n">
        <v>1275214.88785727</v>
      </c>
      <c r="C9229" s="18" t="n">
        <v>2699122.05909838</v>
      </c>
      <c r="D9229" s="0" t="n">
        <v>1</v>
      </c>
    </row>
    <row r="9230" customFormat="false" ht="15" hidden="false" customHeight="false" outlineLevel="0" collapsed="false">
      <c r="A9230" s="0" t="n">
        <v>9229</v>
      </c>
      <c r="B9230" s="18" t="n">
        <v>1089236.31054807</v>
      </c>
      <c r="C9230" s="18" t="n">
        <v>0</v>
      </c>
      <c r="D9230" s="0" t="n">
        <v>0</v>
      </c>
      <c r="E9230" s="19" t="n">
        <v>48.4166666666667</v>
      </c>
    </row>
    <row r="9231" customFormat="false" ht="15" hidden="false" customHeight="false" outlineLevel="0" collapsed="false">
      <c r="A9231" s="0" t="n">
        <v>9230</v>
      </c>
      <c r="B9231" s="18" t="n">
        <v>1141583.95475198</v>
      </c>
      <c r="C9231" s="18" t="n">
        <v>951463.36060271</v>
      </c>
      <c r="D9231" s="0" t="n">
        <v>1</v>
      </c>
    </row>
    <row r="9232" customFormat="false" ht="15" hidden="false" customHeight="false" outlineLevel="0" collapsed="false">
      <c r="A9232" s="0" t="n">
        <v>9231</v>
      </c>
      <c r="B9232" s="18" t="n">
        <v>1081777.07261811</v>
      </c>
      <c r="C9232" s="18" t="n">
        <v>1176169.72049761</v>
      </c>
      <c r="D9232" s="0" t="n">
        <v>1</v>
      </c>
    </row>
    <row r="9233" customFormat="false" ht="15" hidden="false" customHeight="false" outlineLevel="0" collapsed="false">
      <c r="A9233" s="0" t="n">
        <v>9232</v>
      </c>
      <c r="B9233" s="18" t="n">
        <v>382188.498543298</v>
      </c>
      <c r="C9233" s="18" t="n">
        <v>0</v>
      </c>
      <c r="D9233" s="0" t="n">
        <v>0</v>
      </c>
      <c r="E9233" s="19" t="n">
        <v>32.5</v>
      </c>
    </row>
    <row r="9234" customFormat="false" ht="15" hidden="false" customHeight="false" outlineLevel="0" collapsed="false">
      <c r="A9234" s="0" t="n">
        <v>9233</v>
      </c>
      <c r="B9234" s="18" t="n">
        <v>2165821.99385605</v>
      </c>
      <c r="C9234" s="18" t="n">
        <v>20981326.0791271</v>
      </c>
      <c r="D9234" s="0" t="n">
        <v>1</v>
      </c>
    </row>
    <row r="9235" customFormat="false" ht="15" hidden="false" customHeight="false" outlineLevel="0" collapsed="false">
      <c r="A9235" s="0" t="n">
        <v>9234</v>
      </c>
      <c r="B9235" s="18" t="n">
        <v>1104483.81640561</v>
      </c>
      <c r="C9235" s="18" t="n">
        <v>0</v>
      </c>
      <c r="D9235" s="0" t="n">
        <v>0</v>
      </c>
      <c r="E9235" s="19" t="n">
        <v>49.1666666666667</v>
      </c>
    </row>
    <row r="9236" customFormat="false" ht="15" hidden="false" customHeight="false" outlineLevel="0" collapsed="false">
      <c r="A9236" s="0" t="n">
        <v>9235</v>
      </c>
      <c r="B9236" s="18" t="n">
        <v>1744100.22641169</v>
      </c>
      <c r="C9236" s="18" t="n">
        <v>1963940.53942096</v>
      </c>
      <c r="D9236" s="0" t="n">
        <v>1</v>
      </c>
    </row>
    <row r="9237" customFormat="false" ht="15" hidden="false" customHeight="false" outlineLevel="0" collapsed="false">
      <c r="A9237" s="0" t="n">
        <v>9236</v>
      </c>
      <c r="B9237" s="18" t="n">
        <v>824551.013954325</v>
      </c>
      <c r="C9237" s="18" t="n">
        <v>686825.174697429</v>
      </c>
      <c r="D9237" s="0" t="n">
        <v>1</v>
      </c>
    </row>
    <row r="9238" customFormat="false" ht="15" hidden="false" customHeight="false" outlineLevel="0" collapsed="false">
      <c r="A9238" s="0" t="n">
        <v>9237</v>
      </c>
      <c r="B9238" s="18" t="n">
        <v>743116.329848761</v>
      </c>
      <c r="C9238" s="18" t="n">
        <v>0</v>
      </c>
      <c r="D9238" s="0" t="n">
        <v>0</v>
      </c>
      <c r="E9238" s="19" t="n">
        <v>43.0833333333333</v>
      </c>
    </row>
    <row r="9239" customFormat="false" ht="15" hidden="false" customHeight="false" outlineLevel="0" collapsed="false">
      <c r="A9239" s="0" t="n">
        <v>9238</v>
      </c>
      <c r="B9239" s="18" t="n">
        <v>360452.496510119</v>
      </c>
      <c r="C9239" s="18" t="n">
        <v>0</v>
      </c>
      <c r="D9239" s="0" t="n">
        <v>0</v>
      </c>
      <c r="E9239" s="19" t="n">
        <v>31.5</v>
      </c>
    </row>
    <row r="9240" customFormat="false" ht="15" hidden="false" customHeight="false" outlineLevel="0" collapsed="false">
      <c r="A9240" s="0" t="n">
        <v>9239</v>
      </c>
      <c r="B9240" s="18" t="n">
        <v>1120212.78587942</v>
      </c>
      <c r="C9240" s="18" t="n">
        <v>0</v>
      </c>
      <c r="D9240" s="0" t="n">
        <v>0</v>
      </c>
      <c r="E9240" s="19" t="n">
        <v>40.6666666666667</v>
      </c>
    </row>
    <row r="9241" customFormat="false" ht="15" hidden="false" customHeight="false" outlineLevel="0" collapsed="false">
      <c r="A9241" s="0" t="n">
        <v>9240</v>
      </c>
      <c r="B9241" s="18" t="n">
        <v>1071287.077396</v>
      </c>
      <c r="C9241" s="18" t="n">
        <v>478774.082733729</v>
      </c>
      <c r="D9241" s="0" t="n">
        <v>1</v>
      </c>
    </row>
    <row r="9242" customFormat="false" ht="15" hidden="false" customHeight="false" outlineLevel="0" collapsed="false">
      <c r="A9242" s="0" t="n">
        <v>9241</v>
      </c>
      <c r="B9242" s="18" t="n">
        <v>1216082.46665456</v>
      </c>
      <c r="C9242" s="18" t="n">
        <v>1154588.32301728</v>
      </c>
      <c r="D9242" s="0" t="n">
        <v>1</v>
      </c>
    </row>
    <row r="9243" customFormat="false" ht="15" hidden="false" customHeight="false" outlineLevel="0" collapsed="false">
      <c r="A9243" s="0" t="n">
        <v>9242</v>
      </c>
      <c r="B9243" s="18" t="n">
        <v>637246.431887334</v>
      </c>
      <c r="C9243" s="18" t="n">
        <v>0</v>
      </c>
      <c r="D9243" s="0" t="n">
        <v>0</v>
      </c>
      <c r="E9243" s="19" t="n">
        <v>34.75</v>
      </c>
    </row>
    <row r="9244" customFormat="false" ht="15" hidden="false" customHeight="false" outlineLevel="0" collapsed="false">
      <c r="A9244" s="0" t="n">
        <v>9243</v>
      </c>
      <c r="B9244" s="18" t="n">
        <v>592926.798364699</v>
      </c>
      <c r="C9244" s="18" t="n">
        <v>1993790.75863309</v>
      </c>
      <c r="D9244" s="0" t="n">
        <v>1</v>
      </c>
    </row>
    <row r="9245" customFormat="false" ht="15" hidden="false" customHeight="false" outlineLevel="0" collapsed="false">
      <c r="A9245" s="0" t="n">
        <v>9244</v>
      </c>
      <c r="B9245" s="18" t="n">
        <v>822108.241943989</v>
      </c>
      <c r="C9245" s="18" t="n">
        <v>0</v>
      </c>
      <c r="D9245" s="0" t="n">
        <v>0</v>
      </c>
      <c r="E9245" s="19" t="n">
        <v>37.3333333333333</v>
      </c>
    </row>
    <row r="9246" customFormat="false" ht="15" hidden="false" customHeight="false" outlineLevel="0" collapsed="false">
      <c r="A9246" s="0" t="n">
        <v>9245</v>
      </c>
      <c r="B9246" s="18" t="n">
        <v>360053.440179981</v>
      </c>
      <c r="C9246" s="18" t="n">
        <v>0</v>
      </c>
      <c r="D9246" s="0" t="n">
        <v>0</v>
      </c>
      <c r="E9246" s="19" t="n">
        <v>32.5</v>
      </c>
    </row>
    <row r="9247" customFormat="false" ht="15" hidden="false" customHeight="false" outlineLevel="0" collapsed="false">
      <c r="A9247" s="0" t="n">
        <v>9246</v>
      </c>
      <c r="B9247" s="18" t="n">
        <v>1613977.24617399</v>
      </c>
      <c r="C9247" s="18" t="n">
        <v>8986861.46030057</v>
      </c>
      <c r="D9247" s="0" t="n">
        <v>1</v>
      </c>
    </row>
    <row r="9248" customFormat="false" ht="15" hidden="false" customHeight="false" outlineLevel="0" collapsed="false">
      <c r="A9248" s="0" t="n">
        <v>9247</v>
      </c>
      <c r="B9248" s="18" t="n">
        <v>1138315.88662576</v>
      </c>
      <c r="C9248" s="18" t="n">
        <v>0</v>
      </c>
      <c r="D9248" s="0" t="n">
        <v>0</v>
      </c>
      <c r="E9248" s="19" t="n">
        <v>47.5833333333333</v>
      </c>
    </row>
    <row r="9249" customFormat="false" ht="15" hidden="false" customHeight="false" outlineLevel="0" collapsed="false">
      <c r="A9249" s="0" t="n">
        <v>9248</v>
      </c>
      <c r="B9249" s="18" t="n">
        <v>875548.064808412</v>
      </c>
      <c r="C9249" s="18" t="n">
        <v>1311922.53036256</v>
      </c>
      <c r="D9249" s="0" t="n">
        <v>1</v>
      </c>
    </row>
    <row r="9250" customFormat="false" ht="15" hidden="false" customHeight="false" outlineLevel="0" collapsed="false">
      <c r="A9250" s="0" t="n">
        <v>9249</v>
      </c>
      <c r="B9250" s="18" t="n">
        <v>640014.658791573</v>
      </c>
      <c r="C9250" s="18" t="n">
        <v>0</v>
      </c>
      <c r="D9250" s="0" t="n">
        <v>0</v>
      </c>
      <c r="E9250" s="19" t="n">
        <v>34.1666666666667</v>
      </c>
    </row>
    <row r="9251" customFormat="false" ht="15" hidden="false" customHeight="false" outlineLevel="0" collapsed="false">
      <c r="A9251" s="0" t="n">
        <v>9250</v>
      </c>
      <c r="B9251" s="18" t="n">
        <v>381584.535583509</v>
      </c>
      <c r="C9251" s="18" t="n">
        <v>0</v>
      </c>
      <c r="D9251" s="0" t="n">
        <v>0</v>
      </c>
      <c r="E9251" s="19" t="n">
        <v>31.4166666666667</v>
      </c>
    </row>
    <row r="9252" customFormat="false" ht="15" hidden="false" customHeight="false" outlineLevel="0" collapsed="false">
      <c r="A9252" s="0" t="n">
        <v>9251</v>
      </c>
      <c r="B9252" s="18" t="n">
        <v>1343723.95419995</v>
      </c>
      <c r="C9252" s="18" t="n">
        <v>0</v>
      </c>
      <c r="D9252" s="0" t="n">
        <v>0</v>
      </c>
      <c r="E9252" s="19" t="n">
        <v>50.3333333333333</v>
      </c>
    </row>
    <row r="9253" customFormat="false" ht="15" hidden="false" customHeight="false" outlineLevel="0" collapsed="false">
      <c r="A9253" s="0" t="n">
        <v>9252</v>
      </c>
      <c r="B9253" s="18" t="n">
        <v>1945826.33251063</v>
      </c>
      <c r="C9253" s="18" t="n">
        <v>9295779.34340008</v>
      </c>
      <c r="D9253" s="0" t="n">
        <v>1</v>
      </c>
    </row>
    <row r="9254" customFormat="false" ht="15" hidden="false" customHeight="false" outlineLevel="0" collapsed="false">
      <c r="A9254" s="0" t="n">
        <v>9253</v>
      </c>
      <c r="B9254" s="18" t="n">
        <v>496621.945479742</v>
      </c>
      <c r="C9254" s="18" t="n">
        <v>0</v>
      </c>
      <c r="D9254" s="0" t="n">
        <v>0</v>
      </c>
      <c r="E9254" s="19" t="n">
        <v>32.4166666666667</v>
      </c>
    </row>
    <row r="9255" customFormat="false" ht="15" hidden="false" customHeight="false" outlineLevel="0" collapsed="false">
      <c r="A9255" s="0" t="n">
        <v>9254</v>
      </c>
      <c r="B9255" s="18" t="n">
        <v>865182.458111532</v>
      </c>
      <c r="C9255" s="18" t="n">
        <v>0</v>
      </c>
      <c r="D9255" s="0" t="n">
        <v>0</v>
      </c>
      <c r="E9255" s="19" t="n">
        <v>45.75</v>
      </c>
    </row>
    <row r="9256" customFormat="false" ht="15" hidden="false" customHeight="false" outlineLevel="0" collapsed="false">
      <c r="A9256" s="0" t="n">
        <v>9255</v>
      </c>
      <c r="B9256" s="18" t="n">
        <v>530266.416771225</v>
      </c>
      <c r="C9256" s="18" t="n">
        <v>0</v>
      </c>
      <c r="D9256" s="0" t="n">
        <v>0</v>
      </c>
      <c r="E9256" s="19" t="n">
        <v>36.3333333333333</v>
      </c>
    </row>
    <row r="9257" customFormat="false" ht="15" hidden="false" customHeight="false" outlineLevel="0" collapsed="false">
      <c r="A9257" s="0" t="n">
        <v>9256</v>
      </c>
      <c r="B9257" s="18" t="n">
        <v>2174785.49030103</v>
      </c>
      <c r="C9257" s="18" t="n">
        <v>13703487.1306685</v>
      </c>
      <c r="D9257" s="0" t="n">
        <v>1</v>
      </c>
    </row>
    <row r="9258" customFormat="false" ht="15" hidden="false" customHeight="false" outlineLevel="0" collapsed="false">
      <c r="A9258" s="0" t="n">
        <v>9257</v>
      </c>
      <c r="B9258" s="18" t="n">
        <v>696469.796157989</v>
      </c>
      <c r="C9258" s="18" t="n">
        <v>0</v>
      </c>
      <c r="D9258" s="0" t="n">
        <v>0</v>
      </c>
      <c r="E9258" s="19" t="n">
        <v>43.8333333333333</v>
      </c>
    </row>
    <row r="9259" customFormat="false" ht="15" hidden="false" customHeight="false" outlineLevel="0" collapsed="false">
      <c r="A9259" s="0" t="n">
        <v>9258</v>
      </c>
      <c r="B9259" s="18" t="n">
        <v>2543893.77819028</v>
      </c>
      <c r="C9259" s="18" t="n">
        <v>3124227.31503645</v>
      </c>
      <c r="D9259" s="0" t="n">
        <v>1</v>
      </c>
    </row>
    <row r="9260" customFormat="false" ht="15" hidden="false" customHeight="false" outlineLevel="0" collapsed="false">
      <c r="A9260" s="0" t="n">
        <v>9259</v>
      </c>
      <c r="B9260" s="18" t="n">
        <v>1641745.51087668</v>
      </c>
      <c r="C9260" s="18" t="n">
        <v>0</v>
      </c>
      <c r="D9260" s="0" t="n">
        <v>0</v>
      </c>
      <c r="E9260" s="19" t="n">
        <v>53.4166666666667</v>
      </c>
    </row>
    <row r="9261" customFormat="false" ht="15" hidden="false" customHeight="false" outlineLevel="0" collapsed="false">
      <c r="A9261" s="0" t="n">
        <v>9260</v>
      </c>
      <c r="B9261" s="18" t="n">
        <v>549374.350187101</v>
      </c>
      <c r="C9261" s="18" t="n">
        <v>0</v>
      </c>
      <c r="D9261" s="0" t="n">
        <v>0</v>
      </c>
      <c r="E9261" s="19" t="n">
        <v>34.5833333333333</v>
      </c>
    </row>
    <row r="9262" customFormat="false" ht="15" hidden="false" customHeight="false" outlineLevel="0" collapsed="false">
      <c r="A9262" s="0" t="n">
        <v>9261</v>
      </c>
      <c r="B9262" s="18" t="n">
        <v>956753.531587094</v>
      </c>
      <c r="C9262" s="18" t="n">
        <v>0</v>
      </c>
      <c r="D9262" s="0" t="n">
        <v>0</v>
      </c>
      <c r="E9262" s="19" t="n">
        <v>35.75</v>
      </c>
    </row>
    <row r="9263" customFormat="false" ht="15" hidden="false" customHeight="false" outlineLevel="0" collapsed="false">
      <c r="A9263" s="0" t="n">
        <v>9262</v>
      </c>
      <c r="B9263" s="18" t="n">
        <v>285427.508127853</v>
      </c>
      <c r="C9263" s="18" t="n">
        <v>0</v>
      </c>
      <c r="D9263" s="0" t="n">
        <v>0</v>
      </c>
      <c r="E9263" s="19" t="n">
        <v>31.1666666666667</v>
      </c>
    </row>
    <row r="9264" customFormat="false" ht="15" hidden="false" customHeight="false" outlineLevel="0" collapsed="false">
      <c r="A9264" s="0" t="n">
        <v>9263</v>
      </c>
      <c r="B9264" s="18" t="n">
        <v>708627.355904797</v>
      </c>
      <c r="C9264" s="18" t="n">
        <v>0</v>
      </c>
      <c r="D9264" s="0" t="n">
        <v>0</v>
      </c>
      <c r="E9264" s="19" t="n">
        <v>37.4166666666667</v>
      </c>
    </row>
    <row r="9265" customFormat="false" ht="15" hidden="false" customHeight="false" outlineLevel="0" collapsed="false">
      <c r="A9265" s="0" t="n">
        <v>9264</v>
      </c>
      <c r="B9265" s="18" t="n">
        <v>738573.736530247</v>
      </c>
      <c r="C9265" s="18" t="n">
        <v>0</v>
      </c>
      <c r="D9265" s="0" t="n">
        <v>0</v>
      </c>
      <c r="E9265" s="19" t="n">
        <v>43.75</v>
      </c>
    </row>
    <row r="9266" customFormat="false" ht="15" hidden="false" customHeight="false" outlineLevel="0" collapsed="false">
      <c r="A9266" s="0" t="n">
        <v>9265</v>
      </c>
      <c r="B9266" s="18" t="n">
        <v>2403511.26829878</v>
      </c>
      <c r="C9266" s="18" t="n">
        <v>4004032.77947136</v>
      </c>
      <c r="D9266" s="0" t="n">
        <v>1</v>
      </c>
    </row>
    <row r="9267" customFormat="false" ht="15" hidden="false" customHeight="false" outlineLevel="0" collapsed="false">
      <c r="A9267" s="0" t="n">
        <v>9266</v>
      </c>
      <c r="B9267" s="18" t="n">
        <v>579744.343843858</v>
      </c>
      <c r="C9267" s="18" t="n">
        <v>0</v>
      </c>
      <c r="D9267" s="0" t="n">
        <v>0</v>
      </c>
      <c r="E9267" s="19" t="n">
        <v>37.0833333333333</v>
      </c>
    </row>
    <row r="9268" customFormat="false" ht="15" hidden="false" customHeight="false" outlineLevel="0" collapsed="false">
      <c r="A9268" s="0" t="n">
        <v>9267</v>
      </c>
      <c r="B9268" s="18" t="n">
        <v>580360.530225962</v>
      </c>
      <c r="C9268" s="18" t="n">
        <v>0</v>
      </c>
      <c r="D9268" s="0" t="n">
        <v>0</v>
      </c>
      <c r="E9268" s="19" t="n">
        <v>44.5</v>
      </c>
    </row>
    <row r="9269" customFormat="false" ht="15" hidden="false" customHeight="false" outlineLevel="0" collapsed="false">
      <c r="A9269" s="0" t="n">
        <v>9268</v>
      </c>
      <c r="B9269" s="18" t="n">
        <v>1138647.03268477</v>
      </c>
      <c r="C9269" s="18" t="n">
        <v>9607391.64178358</v>
      </c>
      <c r="D9269" s="0" t="n">
        <v>1</v>
      </c>
    </row>
    <row r="9270" customFormat="false" ht="15" hidden="false" customHeight="false" outlineLevel="0" collapsed="false">
      <c r="A9270" s="0" t="n">
        <v>9269</v>
      </c>
      <c r="B9270" s="18" t="n">
        <v>676725.594530016</v>
      </c>
      <c r="C9270" s="18" t="n">
        <v>0</v>
      </c>
      <c r="D9270" s="0" t="n">
        <v>0</v>
      </c>
      <c r="E9270" s="19" t="n">
        <v>33.5</v>
      </c>
    </row>
    <row r="9271" customFormat="false" ht="15" hidden="false" customHeight="false" outlineLevel="0" collapsed="false">
      <c r="A9271" s="0" t="n">
        <v>9270</v>
      </c>
      <c r="B9271" s="18" t="n">
        <v>2260769.54697659</v>
      </c>
      <c r="C9271" s="18" t="n">
        <v>19391268.2307854</v>
      </c>
      <c r="D9271" s="0" t="n">
        <v>1</v>
      </c>
    </row>
    <row r="9272" customFormat="false" ht="15" hidden="false" customHeight="false" outlineLevel="0" collapsed="false">
      <c r="A9272" s="0" t="n">
        <v>9271</v>
      </c>
      <c r="B9272" s="18" t="n">
        <v>4920424.60347772</v>
      </c>
      <c r="C9272" s="18" t="n">
        <v>56910185.4013123</v>
      </c>
      <c r="D9272" s="0" t="n">
        <v>1</v>
      </c>
    </row>
    <row r="9273" customFormat="false" ht="15" hidden="false" customHeight="false" outlineLevel="0" collapsed="false">
      <c r="A9273" s="0" t="n">
        <v>9272</v>
      </c>
      <c r="B9273" s="18" t="n">
        <v>3076463.00796691</v>
      </c>
      <c r="C9273" s="18" t="n">
        <v>49076159.4194432</v>
      </c>
      <c r="D9273" s="0" t="n">
        <v>1</v>
      </c>
    </row>
    <row r="9274" customFormat="false" ht="15" hidden="false" customHeight="false" outlineLevel="0" collapsed="false">
      <c r="A9274" s="0" t="n">
        <v>9273</v>
      </c>
      <c r="B9274" s="18" t="n">
        <v>675924.752307548</v>
      </c>
      <c r="C9274" s="18" t="n">
        <v>0</v>
      </c>
      <c r="D9274" s="0" t="n">
        <v>0</v>
      </c>
      <c r="E9274" s="19" t="n">
        <v>49.25</v>
      </c>
    </row>
    <row r="9275" customFormat="false" ht="15" hidden="false" customHeight="false" outlineLevel="0" collapsed="false">
      <c r="A9275" s="0" t="n">
        <v>9274</v>
      </c>
      <c r="B9275" s="18" t="n">
        <v>1564974.49547403</v>
      </c>
      <c r="C9275" s="18" t="n">
        <v>0</v>
      </c>
      <c r="D9275" s="0" t="n">
        <v>0</v>
      </c>
      <c r="E9275" s="19" t="n">
        <v>52.8333333333333</v>
      </c>
    </row>
    <row r="9276" customFormat="false" ht="15" hidden="false" customHeight="false" outlineLevel="0" collapsed="false">
      <c r="A9276" s="0" t="n">
        <v>9275</v>
      </c>
      <c r="B9276" s="18" t="n">
        <v>850550.289732278</v>
      </c>
      <c r="C9276" s="18" t="n">
        <v>386929.083396565</v>
      </c>
      <c r="D9276" s="0" t="n">
        <v>1</v>
      </c>
    </row>
    <row r="9277" customFormat="false" ht="15" hidden="false" customHeight="false" outlineLevel="0" collapsed="false">
      <c r="A9277" s="0" t="n">
        <v>9276</v>
      </c>
      <c r="B9277" s="18" t="n">
        <v>490199.075008379</v>
      </c>
      <c r="C9277" s="18" t="n">
        <v>0</v>
      </c>
      <c r="D9277" s="0" t="n">
        <v>0</v>
      </c>
      <c r="E9277" s="19" t="n">
        <v>37.4166666666667</v>
      </c>
    </row>
    <row r="9278" customFormat="false" ht="15" hidden="false" customHeight="false" outlineLevel="0" collapsed="false">
      <c r="A9278" s="0" t="n">
        <v>9277</v>
      </c>
      <c r="B9278" s="18" t="n">
        <v>1707170.59117332</v>
      </c>
      <c r="C9278" s="18" t="n">
        <v>0</v>
      </c>
      <c r="D9278" s="0" t="n">
        <v>0</v>
      </c>
      <c r="E9278" s="19" t="n">
        <v>50.75</v>
      </c>
    </row>
    <row r="9279" customFormat="false" ht="15" hidden="false" customHeight="false" outlineLevel="0" collapsed="false">
      <c r="A9279" s="0" t="n">
        <v>9278</v>
      </c>
      <c r="B9279" s="18" t="n">
        <v>421076.773642257</v>
      </c>
      <c r="C9279" s="18" t="n">
        <v>0</v>
      </c>
      <c r="D9279" s="0" t="n">
        <v>0</v>
      </c>
      <c r="E9279" s="19" t="n">
        <v>31</v>
      </c>
    </row>
    <row r="9280" customFormat="false" ht="15" hidden="false" customHeight="false" outlineLevel="0" collapsed="false">
      <c r="A9280" s="0" t="n">
        <v>9279</v>
      </c>
      <c r="B9280" s="18" t="n">
        <v>647962.53919261</v>
      </c>
      <c r="C9280" s="18" t="n">
        <v>0</v>
      </c>
      <c r="D9280" s="0" t="n">
        <v>0</v>
      </c>
      <c r="E9280" s="19" t="n">
        <v>41.4166666666667</v>
      </c>
    </row>
    <row r="9281" customFormat="false" ht="15" hidden="false" customHeight="false" outlineLevel="0" collapsed="false">
      <c r="A9281" s="0" t="n">
        <v>9280</v>
      </c>
      <c r="B9281" s="18" t="n">
        <v>824464.636637772</v>
      </c>
      <c r="C9281" s="18" t="n">
        <v>0</v>
      </c>
      <c r="D9281" s="0" t="n">
        <v>0</v>
      </c>
      <c r="E9281" s="19" t="n">
        <v>37.3333333333333</v>
      </c>
    </row>
    <row r="9282" customFormat="false" ht="15" hidden="false" customHeight="false" outlineLevel="0" collapsed="false">
      <c r="A9282" s="0" t="n">
        <v>9281</v>
      </c>
      <c r="B9282" s="18" t="n">
        <v>1320766.00766588</v>
      </c>
      <c r="C9282" s="18" t="n">
        <v>18515755.7355802</v>
      </c>
      <c r="D9282" s="0" t="n">
        <v>1</v>
      </c>
    </row>
    <row r="9283" customFormat="false" ht="15" hidden="false" customHeight="false" outlineLevel="0" collapsed="false">
      <c r="A9283" s="0" t="n">
        <v>9282</v>
      </c>
      <c r="B9283" s="18" t="n">
        <v>554268.226544956</v>
      </c>
      <c r="C9283" s="18" t="n">
        <v>0</v>
      </c>
      <c r="D9283" s="0" t="n">
        <v>0</v>
      </c>
      <c r="E9283" s="19" t="n">
        <v>45.0833333333333</v>
      </c>
    </row>
    <row r="9284" customFormat="false" ht="15" hidden="false" customHeight="false" outlineLevel="0" collapsed="false">
      <c r="A9284" s="0" t="n">
        <v>9283</v>
      </c>
      <c r="B9284" s="18" t="n">
        <v>772089.532309763</v>
      </c>
      <c r="C9284" s="18" t="n">
        <v>0</v>
      </c>
      <c r="D9284" s="0" t="n">
        <v>0</v>
      </c>
      <c r="E9284" s="19" t="n">
        <v>46.25</v>
      </c>
    </row>
    <row r="9285" customFormat="false" ht="15" hidden="false" customHeight="false" outlineLevel="0" collapsed="false">
      <c r="A9285" s="0" t="n">
        <v>9284</v>
      </c>
      <c r="B9285" s="18" t="n">
        <v>712670.715093232</v>
      </c>
      <c r="C9285" s="18" t="n">
        <v>0</v>
      </c>
      <c r="D9285" s="0" t="n">
        <v>0</v>
      </c>
      <c r="E9285" s="19" t="n">
        <v>43.0833333333333</v>
      </c>
    </row>
    <row r="9286" customFormat="false" ht="15" hidden="false" customHeight="false" outlineLevel="0" collapsed="false">
      <c r="A9286" s="0" t="n">
        <v>9285</v>
      </c>
      <c r="B9286" s="18" t="n">
        <v>2628981.87589674</v>
      </c>
      <c r="C9286" s="18" t="n">
        <v>34685386.5526284</v>
      </c>
      <c r="D9286" s="0" t="n">
        <v>1</v>
      </c>
    </row>
    <row r="9287" customFormat="false" ht="15" hidden="false" customHeight="false" outlineLevel="0" collapsed="false">
      <c r="A9287" s="0" t="n">
        <v>9286</v>
      </c>
      <c r="B9287" s="18" t="n">
        <v>1881860.83428128</v>
      </c>
      <c r="C9287" s="18" t="n">
        <v>10197279.3700794</v>
      </c>
      <c r="D9287" s="0" t="n">
        <v>1</v>
      </c>
    </row>
    <row r="9288" customFormat="false" ht="15" hidden="false" customHeight="false" outlineLevel="0" collapsed="false">
      <c r="A9288" s="0" t="n">
        <v>9287</v>
      </c>
      <c r="B9288" s="18" t="n">
        <v>1338184.47049367</v>
      </c>
      <c r="C9288" s="18" t="n">
        <v>7148327.30233288</v>
      </c>
      <c r="D9288" s="0" t="n">
        <v>1</v>
      </c>
    </row>
    <row r="9289" customFormat="false" ht="15" hidden="false" customHeight="false" outlineLevel="0" collapsed="false">
      <c r="A9289" s="0" t="n">
        <v>9288</v>
      </c>
      <c r="B9289" s="18" t="n">
        <v>1055698.00695162</v>
      </c>
      <c r="C9289" s="18" t="n">
        <v>1001139.42097001</v>
      </c>
      <c r="D9289" s="0" t="n">
        <v>1</v>
      </c>
    </row>
    <row r="9290" customFormat="false" ht="15" hidden="false" customHeight="false" outlineLevel="0" collapsed="false">
      <c r="A9290" s="0" t="n">
        <v>9289</v>
      </c>
      <c r="B9290" s="18" t="n">
        <v>1492612.06899476</v>
      </c>
      <c r="C9290" s="18" t="n">
        <v>0</v>
      </c>
      <c r="D9290" s="0" t="n">
        <v>0</v>
      </c>
      <c r="E9290" s="19" t="n">
        <v>42.8333333333333</v>
      </c>
    </row>
    <row r="9291" customFormat="false" ht="15" hidden="false" customHeight="false" outlineLevel="0" collapsed="false">
      <c r="A9291" s="0" t="n">
        <v>9290</v>
      </c>
      <c r="B9291" s="18" t="n">
        <v>266619.142472967</v>
      </c>
      <c r="C9291" s="18" t="n">
        <v>0</v>
      </c>
      <c r="D9291" s="0" t="n">
        <v>0</v>
      </c>
      <c r="E9291" s="19" t="n">
        <v>31</v>
      </c>
    </row>
    <row r="9292" customFormat="false" ht="15" hidden="false" customHeight="false" outlineLevel="0" collapsed="false">
      <c r="A9292" s="0" t="n">
        <v>9291</v>
      </c>
      <c r="B9292" s="18" t="n">
        <v>638195.964942998</v>
      </c>
      <c r="C9292" s="18" t="n">
        <v>0</v>
      </c>
      <c r="D9292" s="0" t="n">
        <v>0</v>
      </c>
      <c r="E9292" s="19" t="n">
        <v>46</v>
      </c>
    </row>
    <row r="9293" customFormat="false" ht="15" hidden="false" customHeight="false" outlineLevel="0" collapsed="false">
      <c r="A9293" s="0" t="n">
        <v>9292</v>
      </c>
      <c r="B9293" s="18" t="n">
        <v>1187491.73647662</v>
      </c>
      <c r="C9293" s="18" t="n">
        <v>0</v>
      </c>
      <c r="D9293" s="0" t="n">
        <v>0</v>
      </c>
      <c r="E9293" s="19" t="n">
        <v>44.5833333333333</v>
      </c>
    </row>
    <row r="9294" customFormat="false" ht="15" hidden="false" customHeight="false" outlineLevel="0" collapsed="false">
      <c r="A9294" s="0" t="n">
        <v>9293</v>
      </c>
      <c r="B9294" s="18" t="n">
        <v>738214.463820999</v>
      </c>
      <c r="C9294" s="18" t="n">
        <v>0</v>
      </c>
      <c r="D9294" s="0" t="n">
        <v>0</v>
      </c>
      <c r="E9294" s="19" t="n">
        <v>37.5833333333333</v>
      </c>
    </row>
    <row r="9295" customFormat="false" ht="15" hidden="false" customHeight="false" outlineLevel="0" collapsed="false">
      <c r="A9295" s="0" t="n">
        <v>9294</v>
      </c>
      <c r="B9295" s="18" t="n">
        <v>2610154.11679815</v>
      </c>
      <c r="C9295" s="18" t="n">
        <v>4594087.60566491</v>
      </c>
      <c r="D9295" s="0" t="n">
        <v>1</v>
      </c>
    </row>
    <row r="9296" customFormat="false" ht="15" hidden="false" customHeight="false" outlineLevel="0" collapsed="false">
      <c r="A9296" s="0" t="n">
        <v>9295</v>
      </c>
      <c r="B9296" s="18" t="n">
        <v>1116707.27204816</v>
      </c>
      <c r="C9296" s="18" t="n">
        <v>0</v>
      </c>
      <c r="D9296" s="0" t="n">
        <v>0</v>
      </c>
      <c r="E9296" s="19" t="n">
        <v>40.8333333333333</v>
      </c>
    </row>
    <row r="9297" customFormat="false" ht="15" hidden="false" customHeight="false" outlineLevel="0" collapsed="false">
      <c r="A9297" s="0" t="n">
        <v>9296</v>
      </c>
      <c r="B9297" s="18" t="n">
        <v>562342.432803558</v>
      </c>
      <c r="C9297" s="18" t="n">
        <v>0</v>
      </c>
      <c r="D9297" s="0" t="n">
        <v>0</v>
      </c>
      <c r="E9297" s="19" t="n">
        <v>50.8333333333333</v>
      </c>
    </row>
    <row r="9298" customFormat="false" ht="15" hidden="false" customHeight="false" outlineLevel="0" collapsed="false">
      <c r="A9298" s="0" t="n">
        <v>9297</v>
      </c>
      <c r="B9298" s="18" t="n">
        <v>754246.865157387</v>
      </c>
      <c r="C9298" s="18" t="n">
        <v>0</v>
      </c>
      <c r="D9298" s="0" t="n">
        <v>0</v>
      </c>
      <c r="E9298" s="19" t="n">
        <v>38.25</v>
      </c>
    </row>
    <row r="9299" customFormat="false" ht="15" hidden="false" customHeight="false" outlineLevel="0" collapsed="false">
      <c r="A9299" s="0" t="n">
        <v>9298</v>
      </c>
      <c r="B9299" s="18" t="n">
        <v>1785024.7543606</v>
      </c>
      <c r="C9299" s="18" t="n">
        <v>0</v>
      </c>
      <c r="D9299" s="0" t="n">
        <v>0</v>
      </c>
      <c r="E9299" s="19" t="n">
        <v>50.0833333333333</v>
      </c>
    </row>
    <row r="9300" customFormat="false" ht="15" hidden="false" customHeight="false" outlineLevel="0" collapsed="false">
      <c r="A9300" s="0" t="n">
        <v>9299</v>
      </c>
      <c r="B9300" s="18" t="n">
        <v>484874.848937331</v>
      </c>
      <c r="C9300" s="18" t="n">
        <v>0</v>
      </c>
      <c r="D9300" s="0" t="n">
        <v>0</v>
      </c>
      <c r="E9300" s="19" t="n">
        <v>33.6666666666667</v>
      </c>
    </row>
    <row r="9301" customFormat="false" ht="15" hidden="false" customHeight="false" outlineLevel="0" collapsed="false">
      <c r="A9301" s="0" t="n">
        <v>9300</v>
      </c>
      <c r="B9301" s="18" t="n">
        <v>1073188.52803344</v>
      </c>
      <c r="C9301" s="18" t="n">
        <v>2265799.30659073</v>
      </c>
      <c r="D9301" s="0" t="n">
        <v>1</v>
      </c>
    </row>
    <row r="9302" customFormat="false" ht="15" hidden="false" customHeight="false" outlineLevel="0" collapsed="false">
      <c r="A9302" s="0" t="n">
        <v>9301</v>
      </c>
      <c r="B9302" s="18" t="n">
        <v>1211790.96769137</v>
      </c>
      <c r="C9302" s="18" t="n">
        <v>0</v>
      </c>
      <c r="D9302" s="0" t="n">
        <v>0</v>
      </c>
      <c r="E9302" s="19" t="n">
        <v>51.4166666666667</v>
      </c>
    </row>
    <row r="9303" customFormat="false" ht="15" hidden="false" customHeight="false" outlineLevel="0" collapsed="false">
      <c r="A9303" s="0" t="n">
        <v>9302</v>
      </c>
      <c r="B9303" s="18" t="n">
        <v>1448787.83733886</v>
      </c>
      <c r="C9303" s="18" t="n">
        <v>0</v>
      </c>
      <c r="D9303" s="0" t="n">
        <v>0</v>
      </c>
      <c r="E9303" s="19" t="n">
        <v>43.9166666666667</v>
      </c>
    </row>
    <row r="9304" customFormat="false" ht="15" hidden="false" customHeight="false" outlineLevel="0" collapsed="false">
      <c r="A9304" s="0" t="n">
        <v>9303</v>
      </c>
      <c r="B9304" s="18" t="n">
        <v>614393.572871097</v>
      </c>
      <c r="C9304" s="18" t="n">
        <v>0</v>
      </c>
      <c r="D9304" s="0" t="n">
        <v>0</v>
      </c>
      <c r="E9304" s="19" t="n">
        <v>35.4166666666667</v>
      </c>
    </row>
    <row r="9305" customFormat="false" ht="15" hidden="false" customHeight="false" outlineLevel="0" collapsed="false">
      <c r="A9305" s="0" t="n">
        <v>9304</v>
      </c>
      <c r="B9305" s="18" t="n">
        <v>431030.566064669</v>
      </c>
      <c r="C9305" s="18" t="n">
        <v>0</v>
      </c>
      <c r="D9305" s="0" t="n">
        <v>0</v>
      </c>
      <c r="E9305" s="19" t="n">
        <v>34.25</v>
      </c>
    </row>
    <row r="9306" customFormat="false" ht="15" hidden="false" customHeight="false" outlineLevel="0" collapsed="false">
      <c r="A9306" s="0" t="n">
        <v>9305</v>
      </c>
      <c r="B9306" s="18" t="n">
        <v>470463.831673713</v>
      </c>
      <c r="C9306" s="18" t="n">
        <v>0</v>
      </c>
      <c r="D9306" s="0" t="n">
        <v>0</v>
      </c>
      <c r="E9306" s="19" t="n">
        <v>35.8333333333333</v>
      </c>
    </row>
    <row r="9307" customFormat="false" ht="15" hidden="false" customHeight="false" outlineLevel="0" collapsed="false">
      <c r="A9307" s="0" t="n">
        <v>9306</v>
      </c>
      <c r="B9307" s="18" t="n">
        <v>705011.646595345</v>
      </c>
      <c r="C9307" s="18" t="n">
        <v>0</v>
      </c>
      <c r="D9307" s="0" t="n">
        <v>0</v>
      </c>
      <c r="E9307" s="19" t="n">
        <v>34.5</v>
      </c>
    </row>
    <row r="9308" customFormat="false" ht="15" hidden="false" customHeight="false" outlineLevel="0" collapsed="false">
      <c r="A9308" s="0" t="n">
        <v>9307</v>
      </c>
      <c r="B9308" s="18" t="n">
        <v>674807.388949113</v>
      </c>
      <c r="C9308" s="18" t="n">
        <v>3719873.27190155</v>
      </c>
      <c r="D9308" s="0" t="n">
        <v>1</v>
      </c>
    </row>
    <row r="9309" customFormat="false" ht="15" hidden="false" customHeight="false" outlineLevel="0" collapsed="false">
      <c r="A9309" s="0" t="n">
        <v>9308</v>
      </c>
      <c r="B9309" s="18" t="n">
        <v>586275.228422201</v>
      </c>
      <c r="C9309" s="18" t="n">
        <v>0</v>
      </c>
      <c r="D9309" s="0" t="n">
        <v>0</v>
      </c>
      <c r="E9309" s="19" t="n">
        <v>34.1666666666667</v>
      </c>
    </row>
    <row r="9310" customFormat="false" ht="15" hidden="false" customHeight="false" outlineLevel="0" collapsed="false">
      <c r="A9310" s="0" t="n">
        <v>9309</v>
      </c>
      <c r="B9310" s="18" t="n">
        <v>641297.99489866</v>
      </c>
      <c r="C9310" s="18" t="n">
        <v>0</v>
      </c>
      <c r="D9310" s="0" t="n">
        <v>0</v>
      </c>
      <c r="E9310" s="19" t="n">
        <v>36.4166666666667</v>
      </c>
    </row>
    <row r="9311" customFormat="false" ht="15" hidden="false" customHeight="false" outlineLevel="0" collapsed="false">
      <c r="A9311" s="0" t="n">
        <v>9310</v>
      </c>
      <c r="B9311" s="18" t="n">
        <v>265226.676119953</v>
      </c>
      <c r="C9311" s="18" t="n">
        <v>0</v>
      </c>
      <c r="D9311" s="0" t="n">
        <v>0</v>
      </c>
      <c r="E9311" s="19" t="n">
        <v>29.5833333333333</v>
      </c>
    </row>
    <row r="9312" customFormat="false" ht="15" hidden="false" customHeight="false" outlineLevel="0" collapsed="false">
      <c r="A9312" s="0" t="n">
        <v>9311</v>
      </c>
      <c r="B9312" s="18" t="n">
        <v>1129713.83431854</v>
      </c>
      <c r="C9312" s="18" t="n">
        <v>699751.413965673</v>
      </c>
      <c r="D9312" s="0" t="n">
        <v>1</v>
      </c>
    </row>
    <row r="9313" customFormat="false" ht="15" hidden="false" customHeight="false" outlineLevel="0" collapsed="false">
      <c r="A9313" s="0" t="n">
        <v>9312</v>
      </c>
      <c r="B9313" s="18" t="n">
        <v>1158557.55230579</v>
      </c>
      <c r="C9313" s="18" t="n">
        <v>0</v>
      </c>
      <c r="D9313" s="0" t="n">
        <v>0</v>
      </c>
      <c r="E9313" s="19" t="n">
        <v>48.9166666666667</v>
      </c>
    </row>
    <row r="9314" customFormat="false" ht="15" hidden="false" customHeight="false" outlineLevel="0" collapsed="false">
      <c r="A9314" s="0" t="n">
        <v>9313</v>
      </c>
      <c r="B9314" s="18" t="n">
        <v>1928266.40643723</v>
      </c>
      <c r="C9314" s="18" t="n">
        <v>16481570.0510077</v>
      </c>
      <c r="D9314" s="0" t="n">
        <v>1</v>
      </c>
    </row>
    <row r="9315" customFormat="false" ht="15" hidden="false" customHeight="false" outlineLevel="0" collapsed="false">
      <c r="A9315" s="0" t="n">
        <v>9314</v>
      </c>
      <c r="B9315" s="18" t="n">
        <v>535695.029526024</v>
      </c>
      <c r="C9315" s="18" t="n">
        <v>0</v>
      </c>
      <c r="D9315" s="0" t="n">
        <v>0</v>
      </c>
      <c r="E9315" s="19" t="n">
        <v>32.5833333333333</v>
      </c>
    </row>
    <row r="9316" customFormat="false" ht="15" hidden="false" customHeight="false" outlineLevel="0" collapsed="false">
      <c r="A9316" s="0" t="n">
        <v>9315</v>
      </c>
      <c r="B9316" s="18" t="n">
        <v>2565158.78935649</v>
      </c>
      <c r="C9316" s="18" t="n">
        <v>17046665.4210119</v>
      </c>
      <c r="D9316" s="0" t="n">
        <v>1</v>
      </c>
    </row>
    <row r="9317" customFormat="false" ht="15" hidden="false" customHeight="false" outlineLevel="0" collapsed="false">
      <c r="A9317" s="0" t="n">
        <v>9316</v>
      </c>
      <c r="B9317" s="18" t="n">
        <v>1114840.13410329</v>
      </c>
      <c r="C9317" s="18" t="n">
        <v>0</v>
      </c>
      <c r="D9317" s="0" t="n">
        <v>0</v>
      </c>
      <c r="E9317" s="19" t="n">
        <v>45.3333333333333</v>
      </c>
    </row>
    <row r="9318" customFormat="false" ht="15" hidden="false" customHeight="false" outlineLevel="0" collapsed="false">
      <c r="A9318" s="0" t="n">
        <v>9317</v>
      </c>
      <c r="B9318" s="18" t="n">
        <v>596293.996167011</v>
      </c>
      <c r="C9318" s="18" t="n">
        <v>0</v>
      </c>
      <c r="D9318" s="0" t="n">
        <v>0</v>
      </c>
      <c r="E9318" s="19" t="n">
        <v>34.3333333333333</v>
      </c>
    </row>
    <row r="9319" customFormat="false" ht="15" hidden="false" customHeight="false" outlineLevel="0" collapsed="false">
      <c r="A9319" s="0" t="n">
        <v>9318</v>
      </c>
      <c r="B9319" s="18" t="n">
        <v>1217095.29673135</v>
      </c>
      <c r="C9319" s="18" t="n">
        <v>4172176.29358173</v>
      </c>
      <c r="D9319" s="0" t="n">
        <v>1</v>
      </c>
    </row>
    <row r="9320" customFormat="false" ht="15" hidden="false" customHeight="false" outlineLevel="0" collapsed="false">
      <c r="A9320" s="0" t="n">
        <v>9319</v>
      </c>
      <c r="B9320" s="18" t="n">
        <v>820803.06393583</v>
      </c>
      <c r="C9320" s="18" t="n">
        <v>0</v>
      </c>
      <c r="D9320" s="0" t="n">
        <v>0</v>
      </c>
      <c r="E9320" s="19" t="n">
        <v>39.25</v>
      </c>
    </row>
    <row r="9321" customFormat="false" ht="15" hidden="false" customHeight="false" outlineLevel="0" collapsed="false">
      <c r="A9321" s="0" t="n">
        <v>9320</v>
      </c>
      <c r="B9321" s="18" t="n">
        <v>958315.505405491</v>
      </c>
      <c r="C9321" s="18" t="n">
        <v>332149.137747291</v>
      </c>
      <c r="D9321" s="0" t="n">
        <v>1</v>
      </c>
    </row>
    <row r="9322" customFormat="false" ht="15" hidden="false" customHeight="false" outlineLevel="0" collapsed="false">
      <c r="A9322" s="0" t="n">
        <v>9321</v>
      </c>
      <c r="B9322" s="18" t="n">
        <v>1333383.35770837</v>
      </c>
      <c r="C9322" s="18" t="n">
        <v>675140.510919599</v>
      </c>
      <c r="D9322" s="0" t="n">
        <v>1</v>
      </c>
    </row>
    <row r="9323" customFormat="false" ht="15" hidden="false" customHeight="false" outlineLevel="0" collapsed="false">
      <c r="A9323" s="0" t="n">
        <v>9322</v>
      </c>
      <c r="B9323" s="18" t="n">
        <v>2197403.80453094</v>
      </c>
      <c r="C9323" s="18" t="n">
        <v>4239161.46387472</v>
      </c>
      <c r="D9323" s="0" t="n">
        <v>1</v>
      </c>
    </row>
    <row r="9324" customFormat="false" ht="15" hidden="false" customHeight="false" outlineLevel="0" collapsed="false">
      <c r="A9324" s="0" t="n">
        <v>9323</v>
      </c>
      <c r="B9324" s="18" t="n">
        <v>2332631.02539921</v>
      </c>
      <c r="C9324" s="18" t="n">
        <v>4949401.19962858</v>
      </c>
      <c r="D9324" s="0" t="n">
        <v>1</v>
      </c>
    </row>
    <row r="9325" customFormat="false" ht="15" hidden="false" customHeight="false" outlineLevel="0" collapsed="false">
      <c r="A9325" s="0" t="n">
        <v>9324</v>
      </c>
      <c r="B9325" s="18" t="n">
        <v>418416.386762496</v>
      </c>
      <c r="C9325" s="18" t="n">
        <v>0</v>
      </c>
      <c r="D9325" s="0" t="n">
        <v>0</v>
      </c>
      <c r="E9325" s="19" t="n">
        <v>32.5833333333333</v>
      </c>
    </row>
    <row r="9326" customFormat="false" ht="15" hidden="false" customHeight="false" outlineLevel="0" collapsed="false">
      <c r="A9326" s="0" t="n">
        <v>9325</v>
      </c>
      <c r="B9326" s="18" t="n">
        <v>1127890.27015951</v>
      </c>
      <c r="C9326" s="18" t="n">
        <v>0</v>
      </c>
      <c r="D9326" s="0" t="n">
        <v>0</v>
      </c>
      <c r="E9326" s="19" t="n">
        <v>45.9166666666667</v>
      </c>
    </row>
    <row r="9327" customFormat="false" ht="15" hidden="false" customHeight="false" outlineLevel="0" collapsed="false">
      <c r="A9327" s="0" t="n">
        <v>9326</v>
      </c>
      <c r="B9327" s="18" t="n">
        <v>1340622.90072679</v>
      </c>
      <c r="C9327" s="18" t="n">
        <v>865583.280559873</v>
      </c>
      <c r="D9327" s="0" t="n">
        <v>1</v>
      </c>
    </row>
    <row r="9328" customFormat="false" ht="15" hidden="false" customHeight="false" outlineLevel="0" collapsed="false">
      <c r="A9328" s="0" t="n">
        <v>9327</v>
      </c>
      <c r="B9328" s="18" t="n">
        <v>442870.449268315</v>
      </c>
      <c r="C9328" s="18" t="n">
        <v>0</v>
      </c>
      <c r="D9328" s="0" t="n">
        <v>0</v>
      </c>
      <c r="E9328" s="19" t="n">
        <v>37</v>
      </c>
    </row>
    <row r="9329" customFormat="false" ht="15" hidden="false" customHeight="false" outlineLevel="0" collapsed="false">
      <c r="A9329" s="0" t="n">
        <v>9328</v>
      </c>
      <c r="B9329" s="18" t="n">
        <v>1145299.58716614</v>
      </c>
      <c r="C9329" s="18" t="n">
        <v>0</v>
      </c>
      <c r="D9329" s="0" t="n">
        <v>0</v>
      </c>
      <c r="E9329" s="19" t="n">
        <v>50.5</v>
      </c>
    </row>
    <row r="9330" customFormat="false" ht="15" hidden="false" customHeight="false" outlineLevel="0" collapsed="false">
      <c r="A9330" s="0" t="n">
        <v>9329</v>
      </c>
      <c r="B9330" s="18" t="n">
        <v>1114764.88452691</v>
      </c>
      <c r="C9330" s="18" t="n">
        <v>0</v>
      </c>
      <c r="D9330" s="0" t="n">
        <v>0</v>
      </c>
      <c r="E9330" s="19" t="n">
        <v>54</v>
      </c>
    </row>
    <row r="9331" customFormat="false" ht="15" hidden="false" customHeight="false" outlineLevel="0" collapsed="false">
      <c r="A9331" s="0" t="n">
        <v>9330</v>
      </c>
      <c r="B9331" s="18" t="n">
        <v>544757.652867351</v>
      </c>
      <c r="C9331" s="18" t="n">
        <v>0</v>
      </c>
      <c r="D9331" s="0" t="n">
        <v>0</v>
      </c>
      <c r="E9331" s="19" t="n">
        <v>32.6666666666667</v>
      </c>
    </row>
    <row r="9332" customFormat="false" ht="15" hidden="false" customHeight="false" outlineLevel="0" collapsed="false">
      <c r="A9332" s="0" t="n">
        <v>9331</v>
      </c>
      <c r="B9332" s="18" t="n">
        <v>553859.033869116</v>
      </c>
      <c r="C9332" s="18" t="n">
        <v>0</v>
      </c>
      <c r="D9332" s="0" t="n">
        <v>0</v>
      </c>
      <c r="E9332" s="19" t="n">
        <v>34.25</v>
      </c>
    </row>
    <row r="9333" customFormat="false" ht="15" hidden="false" customHeight="false" outlineLevel="0" collapsed="false">
      <c r="A9333" s="0" t="n">
        <v>9332</v>
      </c>
      <c r="B9333" s="18" t="n">
        <v>857750.797499072</v>
      </c>
      <c r="C9333" s="18" t="n">
        <v>0</v>
      </c>
      <c r="D9333" s="0" t="n">
        <v>0</v>
      </c>
      <c r="E9333" s="19" t="n">
        <v>42.5</v>
      </c>
    </row>
    <row r="9334" customFormat="false" ht="15" hidden="false" customHeight="false" outlineLevel="0" collapsed="false">
      <c r="A9334" s="0" t="n">
        <v>9333</v>
      </c>
      <c r="B9334" s="18" t="n">
        <v>637168.532641923</v>
      </c>
      <c r="C9334" s="18" t="n">
        <v>0</v>
      </c>
      <c r="D9334" s="0" t="n">
        <v>0</v>
      </c>
      <c r="E9334" s="19" t="n">
        <v>44</v>
      </c>
    </row>
    <row r="9335" customFormat="false" ht="15" hidden="false" customHeight="false" outlineLevel="0" collapsed="false">
      <c r="A9335" s="0" t="n">
        <v>9334</v>
      </c>
      <c r="B9335" s="18" t="n">
        <v>2381102.39875291</v>
      </c>
      <c r="C9335" s="18" t="n">
        <v>26003988.6271549</v>
      </c>
      <c r="D9335" s="0" t="n">
        <v>1</v>
      </c>
    </row>
    <row r="9336" customFormat="false" ht="15" hidden="false" customHeight="false" outlineLevel="0" collapsed="false">
      <c r="A9336" s="0" t="n">
        <v>9335</v>
      </c>
      <c r="B9336" s="18" t="n">
        <v>345441.536575401</v>
      </c>
      <c r="C9336" s="18" t="n">
        <v>0</v>
      </c>
      <c r="D9336" s="0" t="n">
        <v>0</v>
      </c>
      <c r="E9336" s="19" t="n">
        <v>31</v>
      </c>
    </row>
    <row r="9337" customFormat="false" ht="15" hidden="false" customHeight="false" outlineLevel="0" collapsed="false">
      <c r="A9337" s="0" t="n">
        <v>9336</v>
      </c>
      <c r="B9337" s="18" t="n">
        <v>723564.850710976</v>
      </c>
      <c r="C9337" s="18" t="n">
        <v>0</v>
      </c>
      <c r="D9337" s="0" t="n">
        <v>0</v>
      </c>
      <c r="E9337" s="19" t="n">
        <v>39.3333333333333</v>
      </c>
    </row>
    <row r="9338" customFormat="false" ht="15" hidden="false" customHeight="false" outlineLevel="0" collapsed="false">
      <c r="A9338" s="0" t="n">
        <v>9337</v>
      </c>
      <c r="B9338" s="18" t="n">
        <v>420485.507496053</v>
      </c>
      <c r="C9338" s="18" t="n">
        <v>0</v>
      </c>
      <c r="D9338" s="0" t="n">
        <v>0</v>
      </c>
      <c r="E9338" s="19" t="n">
        <v>36.75</v>
      </c>
    </row>
    <row r="9339" customFormat="false" ht="15" hidden="false" customHeight="false" outlineLevel="0" collapsed="false">
      <c r="A9339" s="0" t="n">
        <v>9338</v>
      </c>
      <c r="B9339" s="18" t="n">
        <v>1001810.68837928</v>
      </c>
      <c r="C9339" s="18" t="n">
        <v>655709.484891735</v>
      </c>
      <c r="D9339" s="0" t="n">
        <v>1</v>
      </c>
    </row>
    <row r="9340" customFormat="false" ht="15" hidden="false" customHeight="false" outlineLevel="0" collapsed="false">
      <c r="A9340" s="0" t="n">
        <v>9339</v>
      </c>
      <c r="B9340" s="18" t="n">
        <v>998893.177362351</v>
      </c>
      <c r="C9340" s="18" t="n">
        <v>13084236.8757724</v>
      </c>
      <c r="D9340" s="0" t="n">
        <v>1</v>
      </c>
    </row>
    <row r="9341" customFormat="false" ht="15" hidden="false" customHeight="false" outlineLevel="0" collapsed="false">
      <c r="A9341" s="0" t="n">
        <v>9340</v>
      </c>
      <c r="B9341" s="18" t="n">
        <v>696168.710946611</v>
      </c>
      <c r="C9341" s="18" t="n">
        <v>0</v>
      </c>
      <c r="D9341" s="0" t="n">
        <v>0</v>
      </c>
      <c r="E9341" s="19" t="n">
        <v>34</v>
      </c>
    </row>
    <row r="9342" customFormat="false" ht="15" hidden="false" customHeight="false" outlineLevel="0" collapsed="false">
      <c r="A9342" s="0" t="n">
        <v>9341</v>
      </c>
      <c r="B9342" s="18" t="n">
        <v>907797.550689672</v>
      </c>
      <c r="C9342" s="18" t="n">
        <v>0</v>
      </c>
      <c r="D9342" s="0" t="n">
        <v>0</v>
      </c>
      <c r="E9342" s="19" t="n">
        <v>41.3333333333333</v>
      </c>
    </row>
    <row r="9343" customFormat="false" ht="15" hidden="false" customHeight="false" outlineLevel="0" collapsed="false">
      <c r="A9343" s="0" t="n">
        <v>9342</v>
      </c>
      <c r="B9343" s="18" t="n">
        <v>679950.707977401</v>
      </c>
      <c r="C9343" s="18" t="n">
        <v>0</v>
      </c>
      <c r="D9343" s="0" t="n">
        <v>0</v>
      </c>
      <c r="E9343" s="19" t="n">
        <v>38</v>
      </c>
    </row>
    <row r="9344" customFormat="false" ht="15" hidden="false" customHeight="false" outlineLevel="0" collapsed="false">
      <c r="A9344" s="0" t="n">
        <v>9343</v>
      </c>
      <c r="B9344" s="18" t="n">
        <v>1470434.74934412</v>
      </c>
      <c r="C9344" s="18" t="n">
        <v>99835.4983190783</v>
      </c>
      <c r="D9344" s="0" t="n">
        <v>1</v>
      </c>
    </row>
    <row r="9345" customFormat="false" ht="15" hidden="false" customHeight="false" outlineLevel="0" collapsed="false">
      <c r="A9345" s="0" t="n">
        <v>9344</v>
      </c>
      <c r="B9345" s="18" t="n">
        <v>422891.84153291</v>
      </c>
      <c r="C9345" s="18" t="n">
        <v>0</v>
      </c>
      <c r="D9345" s="0" t="n">
        <v>0</v>
      </c>
      <c r="E9345" s="19" t="n">
        <v>33.0833333333333</v>
      </c>
    </row>
    <row r="9346" customFormat="false" ht="15" hidden="false" customHeight="false" outlineLevel="0" collapsed="false">
      <c r="A9346" s="0" t="n">
        <v>9345</v>
      </c>
      <c r="B9346" s="18" t="n">
        <v>2283959.44863955</v>
      </c>
      <c r="C9346" s="18" t="n">
        <v>16483072.6947362</v>
      </c>
      <c r="D9346" s="0" t="n">
        <v>1</v>
      </c>
    </row>
    <row r="9347" customFormat="false" ht="15" hidden="false" customHeight="false" outlineLevel="0" collapsed="false">
      <c r="A9347" s="0" t="n">
        <v>9346</v>
      </c>
      <c r="B9347" s="18" t="n">
        <v>634225.861882442</v>
      </c>
      <c r="C9347" s="18" t="n">
        <v>0</v>
      </c>
      <c r="D9347" s="0" t="n">
        <v>0</v>
      </c>
      <c r="E9347" s="19" t="n">
        <v>38.6666666666667</v>
      </c>
    </row>
    <row r="9348" customFormat="false" ht="15" hidden="false" customHeight="false" outlineLevel="0" collapsed="false">
      <c r="A9348" s="0" t="n">
        <v>9347</v>
      </c>
      <c r="B9348" s="18" t="n">
        <v>2325675.55278553</v>
      </c>
      <c r="C9348" s="18" t="n">
        <v>56880552.5898094</v>
      </c>
      <c r="D9348" s="0" t="n">
        <v>1</v>
      </c>
    </row>
    <row r="9349" customFormat="false" ht="15" hidden="false" customHeight="false" outlineLevel="0" collapsed="false">
      <c r="A9349" s="0" t="n">
        <v>9348</v>
      </c>
      <c r="B9349" s="18" t="n">
        <v>370664.283107824</v>
      </c>
      <c r="C9349" s="18" t="n">
        <v>0</v>
      </c>
      <c r="D9349" s="0" t="n">
        <v>0</v>
      </c>
      <c r="E9349" s="19" t="n">
        <v>32.9166666666667</v>
      </c>
    </row>
    <row r="9350" customFormat="false" ht="15" hidden="false" customHeight="false" outlineLevel="0" collapsed="false">
      <c r="A9350" s="0" t="n">
        <v>9349</v>
      </c>
      <c r="B9350" s="18" t="n">
        <v>626182.758811856</v>
      </c>
      <c r="C9350" s="18" t="n">
        <v>0</v>
      </c>
      <c r="D9350" s="0" t="n">
        <v>0</v>
      </c>
      <c r="E9350" s="19" t="n">
        <v>44.4166666666667</v>
      </c>
    </row>
    <row r="9351" customFormat="false" ht="15" hidden="false" customHeight="false" outlineLevel="0" collapsed="false">
      <c r="A9351" s="0" t="n">
        <v>9350</v>
      </c>
      <c r="B9351" s="18" t="n">
        <v>1934054.68544261</v>
      </c>
      <c r="C9351" s="18" t="n">
        <v>5652079.37988709</v>
      </c>
      <c r="D9351" s="0" t="n">
        <v>1</v>
      </c>
    </row>
    <row r="9352" customFormat="false" ht="15" hidden="false" customHeight="false" outlineLevel="0" collapsed="false">
      <c r="A9352" s="0" t="n">
        <v>9351</v>
      </c>
      <c r="B9352" s="18" t="n">
        <v>657190.871768895</v>
      </c>
      <c r="C9352" s="18" t="n">
        <v>0</v>
      </c>
      <c r="D9352" s="0" t="n">
        <v>0</v>
      </c>
      <c r="E9352" s="19" t="n">
        <v>35.5</v>
      </c>
    </row>
    <row r="9353" customFormat="false" ht="15" hidden="false" customHeight="false" outlineLevel="0" collapsed="false">
      <c r="A9353" s="0" t="n">
        <v>9352</v>
      </c>
      <c r="B9353" s="18" t="n">
        <v>662974.156423554</v>
      </c>
      <c r="C9353" s="18" t="n">
        <v>0</v>
      </c>
      <c r="D9353" s="0" t="n">
        <v>0</v>
      </c>
      <c r="E9353" s="19" t="n">
        <v>40.4166666666667</v>
      </c>
    </row>
    <row r="9354" customFormat="false" ht="15" hidden="false" customHeight="false" outlineLevel="0" collapsed="false">
      <c r="A9354" s="0" t="n">
        <v>9353</v>
      </c>
      <c r="B9354" s="18" t="n">
        <v>1084901.76254186</v>
      </c>
      <c r="C9354" s="18" t="n">
        <v>0</v>
      </c>
      <c r="D9354" s="0" t="n">
        <v>0</v>
      </c>
      <c r="E9354" s="19" t="n">
        <v>36.9166666666667</v>
      </c>
    </row>
    <row r="9355" customFormat="false" ht="15" hidden="false" customHeight="false" outlineLevel="0" collapsed="false">
      <c r="A9355" s="0" t="n">
        <v>9354</v>
      </c>
      <c r="B9355" s="18" t="n">
        <v>578791.374468609</v>
      </c>
      <c r="C9355" s="18" t="n">
        <v>0</v>
      </c>
      <c r="D9355" s="0" t="n">
        <v>0</v>
      </c>
      <c r="E9355" s="19" t="n">
        <v>48.1666666666667</v>
      </c>
    </row>
    <row r="9356" customFormat="false" ht="15" hidden="false" customHeight="false" outlineLevel="0" collapsed="false">
      <c r="A9356" s="0" t="n">
        <v>9355</v>
      </c>
      <c r="B9356" s="18" t="n">
        <v>1040980.54944715</v>
      </c>
      <c r="C9356" s="18" t="n">
        <v>0</v>
      </c>
      <c r="D9356" s="0" t="n">
        <v>0</v>
      </c>
      <c r="E9356" s="19" t="n">
        <v>50.5</v>
      </c>
    </row>
    <row r="9357" customFormat="false" ht="15" hidden="false" customHeight="false" outlineLevel="0" collapsed="false">
      <c r="A9357" s="0" t="n">
        <v>9356</v>
      </c>
      <c r="B9357" s="18" t="n">
        <v>576779.451666942</v>
      </c>
      <c r="C9357" s="18" t="n">
        <v>0</v>
      </c>
      <c r="D9357" s="0" t="n">
        <v>0</v>
      </c>
      <c r="E9357" s="19" t="n">
        <v>41.1666666666667</v>
      </c>
    </row>
    <row r="9358" customFormat="false" ht="15" hidden="false" customHeight="false" outlineLevel="0" collapsed="false">
      <c r="A9358" s="0" t="n">
        <v>9357</v>
      </c>
      <c r="B9358" s="18" t="n">
        <v>4239407.49784887</v>
      </c>
      <c r="C9358" s="18" t="n">
        <v>18983320.7328686</v>
      </c>
      <c r="D9358" s="0" t="n">
        <v>1</v>
      </c>
    </row>
    <row r="9359" customFormat="false" ht="15" hidden="false" customHeight="false" outlineLevel="0" collapsed="false">
      <c r="A9359" s="0" t="n">
        <v>9358</v>
      </c>
      <c r="B9359" s="18" t="n">
        <v>4745677.98830422</v>
      </c>
      <c r="C9359" s="18" t="n">
        <v>8501811.73238585</v>
      </c>
      <c r="D9359" s="0" t="n">
        <v>1</v>
      </c>
    </row>
    <row r="9360" customFormat="false" ht="15" hidden="false" customHeight="false" outlineLevel="0" collapsed="false">
      <c r="A9360" s="0" t="n">
        <v>9359</v>
      </c>
      <c r="B9360" s="18" t="n">
        <v>452384.858893859</v>
      </c>
      <c r="C9360" s="18" t="n">
        <v>0</v>
      </c>
      <c r="D9360" s="0" t="n">
        <v>0</v>
      </c>
      <c r="E9360" s="19" t="n">
        <v>33</v>
      </c>
    </row>
    <row r="9361" customFormat="false" ht="15" hidden="false" customHeight="false" outlineLevel="0" collapsed="false">
      <c r="A9361" s="0" t="n">
        <v>9360</v>
      </c>
      <c r="B9361" s="18" t="n">
        <v>653329.964272876</v>
      </c>
      <c r="C9361" s="18" t="n">
        <v>0</v>
      </c>
      <c r="D9361" s="0" t="n">
        <v>0</v>
      </c>
      <c r="E9361" s="19" t="n">
        <v>32.5833333333333</v>
      </c>
    </row>
    <row r="9362" customFormat="false" ht="15" hidden="false" customHeight="false" outlineLevel="0" collapsed="false">
      <c r="A9362" s="0" t="n">
        <v>9361</v>
      </c>
      <c r="B9362" s="18" t="n">
        <v>556436.906174197</v>
      </c>
      <c r="C9362" s="18" t="n">
        <v>0</v>
      </c>
      <c r="D9362" s="0" t="n">
        <v>0</v>
      </c>
      <c r="E9362" s="19" t="n">
        <v>38.25</v>
      </c>
    </row>
    <row r="9363" customFormat="false" ht="15" hidden="false" customHeight="false" outlineLevel="0" collapsed="false">
      <c r="A9363" s="0" t="n">
        <v>9362</v>
      </c>
      <c r="B9363" s="18" t="n">
        <v>1699314.79014099</v>
      </c>
      <c r="C9363" s="18" t="n">
        <v>5119630.184248</v>
      </c>
      <c r="D9363" s="0" t="n">
        <v>1</v>
      </c>
    </row>
    <row r="9364" customFormat="false" ht="15" hidden="false" customHeight="false" outlineLevel="0" collapsed="false">
      <c r="A9364" s="0" t="n">
        <v>9363</v>
      </c>
      <c r="B9364" s="18" t="n">
        <v>901826.234457881</v>
      </c>
      <c r="C9364" s="18" t="n">
        <v>0</v>
      </c>
      <c r="D9364" s="0" t="n">
        <v>0</v>
      </c>
      <c r="E9364" s="19" t="n">
        <v>46.5833333333333</v>
      </c>
    </row>
    <row r="9365" customFormat="false" ht="15" hidden="false" customHeight="false" outlineLevel="0" collapsed="false">
      <c r="A9365" s="0" t="n">
        <v>9364</v>
      </c>
      <c r="B9365" s="18" t="n">
        <v>729160.966292955</v>
      </c>
      <c r="C9365" s="18" t="n">
        <v>0</v>
      </c>
      <c r="D9365" s="0" t="n">
        <v>0</v>
      </c>
      <c r="E9365" s="19" t="n">
        <v>39.8333333333333</v>
      </c>
    </row>
    <row r="9366" customFormat="false" ht="15" hidden="false" customHeight="false" outlineLevel="0" collapsed="false">
      <c r="A9366" s="0" t="n">
        <v>9365</v>
      </c>
      <c r="B9366" s="18" t="n">
        <v>432173.202471256</v>
      </c>
      <c r="C9366" s="18" t="n">
        <v>0</v>
      </c>
      <c r="D9366" s="0" t="n">
        <v>0</v>
      </c>
      <c r="E9366" s="19" t="n">
        <v>31.8333333333333</v>
      </c>
    </row>
    <row r="9367" customFormat="false" ht="15" hidden="false" customHeight="false" outlineLevel="0" collapsed="false">
      <c r="A9367" s="0" t="n">
        <v>9366</v>
      </c>
      <c r="B9367" s="18" t="n">
        <v>815815.490554457</v>
      </c>
      <c r="C9367" s="18" t="n">
        <v>0</v>
      </c>
      <c r="D9367" s="0" t="n">
        <v>0</v>
      </c>
      <c r="E9367" s="19" t="n">
        <v>41.6666666666667</v>
      </c>
    </row>
    <row r="9368" customFormat="false" ht="15" hidden="false" customHeight="false" outlineLevel="0" collapsed="false">
      <c r="A9368" s="0" t="n">
        <v>9367</v>
      </c>
      <c r="B9368" s="18" t="n">
        <v>606067.117740906</v>
      </c>
      <c r="C9368" s="18" t="n">
        <v>0</v>
      </c>
      <c r="D9368" s="0" t="n">
        <v>0</v>
      </c>
      <c r="E9368" s="19" t="n">
        <v>37.5833333333333</v>
      </c>
    </row>
    <row r="9369" customFormat="false" ht="15" hidden="false" customHeight="false" outlineLevel="0" collapsed="false">
      <c r="A9369" s="0" t="n">
        <v>9368</v>
      </c>
      <c r="B9369" s="18" t="n">
        <v>683674.518276728</v>
      </c>
      <c r="C9369" s="18" t="n">
        <v>0</v>
      </c>
      <c r="D9369" s="0" t="n">
        <v>0</v>
      </c>
      <c r="E9369" s="19" t="n">
        <v>47.8333333333333</v>
      </c>
    </row>
    <row r="9370" customFormat="false" ht="15" hidden="false" customHeight="false" outlineLevel="0" collapsed="false">
      <c r="A9370" s="0" t="n">
        <v>9369</v>
      </c>
      <c r="B9370" s="18" t="n">
        <v>1353749.37762202</v>
      </c>
      <c r="C9370" s="18" t="n">
        <v>0</v>
      </c>
      <c r="D9370" s="0" t="n">
        <v>0</v>
      </c>
      <c r="E9370" s="19" t="n">
        <v>48</v>
      </c>
    </row>
    <row r="9371" customFormat="false" ht="15" hidden="false" customHeight="false" outlineLevel="0" collapsed="false">
      <c r="A9371" s="0" t="n">
        <v>9370</v>
      </c>
      <c r="B9371" s="18" t="n">
        <v>748942.846348156</v>
      </c>
      <c r="C9371" s="18" t="n">
        <v>0</v>
      </c>
      <c r="D9371" s="0" t="n">
        <v>0</v>
      </c>
      <c r="E9371" s="19" t="n">
        <v>38.1666666666667</v>
      </c>
    </row>
    <row r="9372" customFormat="false" ht="15" hidden="false" customHeight="false" outlineLevel="0" collapsed="false">
      <c r="A9372" s="0" t="n">
        <v>9371</v>
      </c>
      <c r="B9372" s="18" t="n">
        <v>972271.013599434</v>
      </c>
      <c r="C9372" s="18" t="n">
        <v>664349.260948247</v>
      </c>
      <c r="D9372" s="0" t="n">
        <v>1</v>
      </c>
    </row>
    <row r="9373" customFormat="false" ht="15" hidden="false" customHeight="false" outlineLevel="0" collapsed="false">
      <c r="A9373" s="0" t="n">
        <v>9372</v>
      </c>
      <c r="B9373" s="18" t="n">
        <v>1315433.62361277</v>
      </c>
      <c r="C9373" s="18" t="n">
        <v>0</v>
      </c>
      <c r="D9373" s="0" t="n">
        <v>0</v>
      </c>
      <c r="E9373" s="19" t="n">
        <v>46</v>
      </c>
    </row>
    <row r="9374" customFormat="false" ht="15" hidden="false" customHeight="false" outlineLevel="0" collapsed="false">
      <c r="A9374" s="0" t="n">
        <v>9373</v>
      </c>
      <c r="B9374" s="18" t="n">
        <v>456319.280564563</v>
      </c>
      <c r="C9374" s="18" t="n">
        <v>0</v>
      </c>
      <c r="D9374" s="0" t="n">
        <v>0</v>
      </c>
      <c r="E9374" s="19" t="n">
        <v>34.5</v>
      </c>
    </row>
    <row r="9375" customFormat="false" ht="15" hidden="false" customHeight="false" outlineLevel="0" collapsed="false">
      <c r="A9375" s="0" t="n">
        <v>9374</v>
      </c>
      <c r="B9375" s="18" t="n">
        <v>792525.130157416</v>
      </c>
      <c r="C9375" s="18" t="n">
        <v>0</v>
      </c>
      <c r="D9375" s="0" t="n">
        <v>0</v>
      </c>
      <c r="E9375" s="19" t="n">
        <v>42.4166666666667</v>
      </c>
    </row>
    <row r="9376" customFormat="false" ht="15" hidden="false" customHeight="false" outlineLevel="0" collapsed="false">
      <c r="A9376" s="0" t="n">
        <v>9375</v>
      </c>
      <c r="B9376" s="18" t="n">
        <v>586254.429778362</v>
      </c>
      <c r="C9376" s="18" t="n">
        <v>0</v>
      </c>
      <c r="D9376" s="0" t="n">
        <v>0</v>
      </c>
      <c r="E9376" s="19" t="n">
        <v>37.75</v>
      </c>
    </row>
    <row r="9377" customFormat="false" ht="15" hidden="false" customHeight="false" outlineLevel="0" collapsed="false">
      <c r="A9377" s="0" t="n">
        <v>9376</v>
      </c>
      <c r="B9377" s="18" t="n">
        <v>988452.715248192</v>
      </c>
      <c r="C9377" s="18" t="n">
        <v>1972480.54677108</v>
      </c>
      <c r="D9377" s="0" t="n">
        <v>1</v>
      </c>
    </row>
    <row r="9378" customFormat="false" ht="15" hidden="false" customHeight="false" outlineLevel="0" collapsed="false">
      <c r="A9378" s="0" t="n">
        <v>9377</v>
      </c>
      <c r="B9378" s="18" t="n">
        <v>1344019.81740012</v>
      </c>
      <c r="C9378" s="18" t="n">
        <v>15707918.5744467</v>
      </c>
      <c r="D9378" s="0" t="n">
        <v>1</v>
      </c>
    </row>
    <row r="9379" customFormat="false" ht="15" hidden="false" customHeight="false" outlineLevel="0" collapsed="false">
      <c r="A9379" s="0" t="n">
        <v>9378</v>
      </c>
      <c r="B9379" s="18" t="n">
        <v>415723.11532791</v>
      </c>
      <c r="C9379" s="18" t="n">
        <v>0</v>
      </c>
      <c r="D9379" s="0" t="n">
        <v>0</v>
      </c>
      <c r="E9379" s="19" t="n">
        <v>37</v>
      </c>
    </row>
    <row r="9380" customFormat="false" ht="15" hidden="false" customHeight="false" outlineLevel="0" collapsed="false">
      <c r="A9380" s="0" t="n">
        <v>9379</v>
      </c>
      <c r="B9380" s="18" t="n">
        <v>149294.584780089</v>
      </c>
      <c r="C9380" s="18" t="n">
        <v>0</v>
      </c>
      <c r="D9380" s="0" t="n">
        <v>0</v>
      </c>
      <c r="E9380" s="19" t="n">
        <v>27.6666666666667</v>
      </c>
    </row>
    <row r="9381" customFormat="false" ht="15" hidden="false" customHeight="false" outlineLevel="0" collapsed="false">
      <c r="A9381" s="0" t="n">
        <v>9380</v>
      </c>
      <c r="B9381" s="18" t="n">
        <v>2015556.3332745</v>
      </c>
      <c r="C9381" s="18" t="n">
        <v>2844924.41120256</v>
      </c>
      <c r="D9381" s="0" t="n">
        <v>1</v>
      </c>
    </row>
    <row r="9382" customFormat="false" ht="15" hidden="false" customHeight="false" outlineLevel="0" collapsed="false">
      <c r="A9382" s="0" t="n">
        <v>9381</v>
      </c>
      <c r="B9382" s="18" t="n">
        <v>937425.513229643</v>
      </c>
      <c r="C9382" s="18" t="n">
        <v>0</v>
      </c>
      <c r="D9382" s="0" t="n">
        <v>0</v>
      </c>
      <c r="E9382" s="19" t="n">
        <v>44.9166666666667</v>
      </c>
    </row>
    <row r="9383" customFormat="false" ht="15" hidden="false" customHeight="false" outlineLevel="0" collapsed="false">
      <c r="A9383" s="0" t="n">
        <v>9382</v>
      </c>
      <c r="B9383" s="18" t="n">
        <v>1167836.37533912</v>
      </c>
      <c r="C9383" s="18" t="n">
        <v>0</v>
      </c>
      <c r="D9383" s="0" t="n">
        <v>0</v>
      </c>
      <c r="E9383" s="19" t="n">
        <v>44.4166666666667</v>
      </c>
    </row>
    <row r="9384" customFormat="false" ht="15" hidden="false" customHeight="false" outlineLevel="0" collapsed="false">
      <c r="A9384" s="0" t="n">
        <v>9383</v>
      </c>
      <c r="B9384" s="18" t="n">
        <v>424795.934647027</v>
      </c>
      <c r="C9384" s="18" t="n">
        <v>0</v>
      </c>
      <c r="D9384" s="0" t="n">
        <v>0</v>
      </c>
      <c r="E9384" s="19" t="n">
        <v>31.25</v>
      </c>
    </row>
    <row r="9385" customFormat="false" ht="15" hidden="false" customHeight="false" outlineLevel="0" collapsed="false">
      <c r="A9385" s="0" t="n">
        <v>9384</v>
      </c>
      <c r="B9385" s="18" t="n">
        <v>3277118.02082492</v>
      </c>
      <c r="C9385" s="18" t="n">
        <v>10953098.3655828</v>
      </c>
      <c r="D9385" s="0" t="n">
        <v>1</v>
      </c>
    </row>
    <row r="9386" customFormat="false" ht="15" hidden="false" customHeight="false" outlineLevel="0" collapsed="false">
      <c r="A9386" s="0" t="n">
        <v>9385</v>
      </c>
      <c r="B9386" s="18" t="n">
        <v>1512633.45702507</v>
      </c>
      <c r="C9386" s="18" t="n">
        <v>0</v>
      </c>
      <c r="D9386" s="0" t="n">
        <v>0</v>
      </c>
      <c r="E9386" s="19" t="n">
        <v>53.5833333333333</v>
      </c>
    </row>
    <row r="9387" customFormat="false" ht="15" hidden="false" customHeight="false" outlineLevel="0" collapsed="false">
      <c r="A9387" s="0" t="n">
        <v>9386</v>
      </c>
      <c r="B9387" s="18" t="n">
        <v>977959.083446496</v>
      </c>
      <c r="C9387" s="18" t="n">
        <v>0</v>
      </c>
      <c r="D9387" s="0" t="n">
        <v>0</v>
      </c>
      <c r="E9387" s="19" t="n">
        <v>50.1666666666667</v>
      </c>
    </row>
    <row r="9388" customFormat="false" ht="15" hidden="false" customHeight="false" outlineLevel="0" collapsed="false">
      <c r="A9388" s="0" t="n">
        <v>9387</v>
      </c>
      <c r="B9388" s="18" t="n">
        <v>1105967.9615448</v>
      </c>
      <c r="C9388" s="18" t="n">
        <v>0</v>
      </c>
      <c r="D9388" s="0" t="n">
        <v>0</v>
      </c>
      <c r="E9388" s="19" t="n">
        <v>51.4166666666667</v>
      </c>
    </row>
    <row r="9389" customFormat="false" ht="15" hidden="false" customHeight="false" outlineLevel="0" collapsed="false">
      <c r="A9389" s="0" t="n">
        <v>9388</v>
      </c>
      <c r="B9389" s="18" t="n">
        <v>1218618.4547115</v>
      </c>
      <c r="C9389" s="18" t="n">
        <v>0</v>
      </c>
      <c r="D9389" s="0" t="n">
        <v>0</v>
      </c>
      <c r="E9389" s="19" t="n">
        <v>53.4166666666667</v>
      </c>
    </row>
    <row r="9390" customFormat="false" ht="15" hidden="false" customHeight="false" outlineLevel="0" collapsed="false">
      <c r="A9390" s="0" t="n">
        <v>9389</v>
      </c>
      <c r="B9390" s="18" t="n">
        <v>258745.636447346</v>
      </c>
      <c r="C9390" s="18" t="n">
        <v>0</v>
      </c>
      <c r="D9390" s="0" t="n">
        <v>0</v>
      </c>
      <c r="E9390" s="19" t="n">
        <v>28.75</v>
      </c>
    </row>
    <row r="9391" customFormat="false" ht="15" hidden="false" customHeight="false" outlineLevel="0" collapsed="false">
      <c r="A9391" s="0" t="n">
        <v>9390</v>
      </c>
      <c r="B9391" s="18" t="n">
        <v>1230832.04927814</v>
      </c>
      <c r="C9391" s="18" t="n">
        <v>62992.7084207941</v>
      </c>
      <c r="D9391" s="0" t="n">
        <v>1</v>
      </c>
    </row>
    <row r="9392" customFormat="false" ht="15" hidden="false" customHeight="false" outlineLevel="0" collapsed="false">
      <c r="A9392" s="0" t="n">
        <v>9391</v>
      </c>
      <c r="B9392" s="18" t="n">
        <v>661330.211241306</v>
      </c>
      <c r="C9392" s="18" t="n">
        <v>0</v>
      </c>
      <c r="D9392" s="0" t="n">
        <v>0</v>
      </c>
      <c r="E9392" s="19" t="n">
        <v>34</v>
      </c>
    </row>
    <row r="9393" customFormat="false" ht="15" hidden="false" customHeight="false" outlineLevel="0" collapsed="false">
      <c r="A9393" s="0" t="n">
        <v>9392</v>
      </c>
      <c r="B9393" s="18" t="n">
        <v>1694840.54796246</v>
      </c>
      <c r="C9393" s="18" t="n">
        <v>0</v>
      </c>
      <c r="D9393" s="0" t="n">
        <v>0</v>
      </c>
      <c r="E9393" s="19" t="n">
        <v>50</v>
      </c>
    </row>
    <row r="9394" customFormat="false" ht="15" hidden="false" customHeight="false" outlineLevel="0" collapsed="false">
      <c r="A9394" s="0" t="n">
        <v>9393</v>
      </c>
      <c r="B9394" s="18" t="n">
        <v>1208175.43991731</v>
      </c>
      <c r="C9394" s="18" t="n">
        <v>0</v>
      </c>
      <c r="D9394" s="0" t="n">
        <v>0</v>
      </c>
      <c r="E9394" s="19" t="n">
        <v>46.3333333333333</v>
      </c>
    </row>
    <row r="9395" customFormat="false" ht="15" hidden="false" customHeight="false" outlineLevel="0" collapsed="false">
      <c r="A9395" s="0" t="n">
        <v>9394</v>
      </c>
      <c r="B9395" s="18" t="n">
        <v>1213340.68778321</v>
      </c>
      <c r="C9395" s="18" t="n">
        <v>0</v>
      </c>
      <c r="D9395" s="0" t="n">
        <v>0</v>
      </c>
      <c r="E9395" s="19" t="n">
        <v>52.6666666666667</v>
      </c>
    </row>
    <row r="9396" customFormat="false" ht="15" hidden="false" customHeight="false" outlineLevel="0" collapsed="false">
      <c r="A9396" s="0" t="n">
        <v>9395</v>
      </c>
      <c r="B9396" s="18" t="n">
        <v>692577.15627938</v>
      </c>
      <c r="C9396" s="18" t="n">
        <v>0</v>
      </c>
      <c r="D9396" s="0" t="n">
        <v>0</v>
      </c>
      <c r="E9396" s="19" t="n">
        <v>40.6666666666667</v>
      </c>
    </row>
    <row r="9397" customFormat="false" ht="15" hidden="false" customHeight="false" outlineLevel="0" collapsed="false">
      <c r="A9397" s="0" t="n">
        <v>9396</v>
      </c>
      <c r="B9397" s="18" t="n">
        <v>1006706.33981444</v>
      </c>
      <c r="C9397" s="18" t="n">
        <v>77126.3290676682</v>
      </c>
      <c r="D9397" s="0" t="n">
        <v>1</v>
      </c>
    </row>
    <row r="9398" customFormat="false" ht="15" hidden="false" customHeight="false" outlineLevel="0" collapsed="false">
      <c r="A9398" s="0" t="n">
        <v>9397</v>
      </c>
      <c r="B9398" s="18" t="n">
        <v>1063369.83496274</v>
      </c>
      <c r="C9398" s="18" t="n">
        <v>3228609.27614363</v>
      </c>
      <c r="D9398" s="0" t="n">
        <v>1</v>
      </c>
    </row>
    <row r="9399" customFormat="false" ht="15" hidden="false" customHeight="false" outlineLevel="0" collapsed="false">
      <c r="A9399" s="0" t="n">
        <v>9398</v>
      </c>
      <c r="B9399" s="18" t="n">
        <v>737015.459996882</v>
      </c>
      <c r="C9399" s="18" t="n">
        <v>0</v>
      </c>
      <c r="D9399" s="0" t="n">
        <v>0</v>
      </c>
      <c r="E9399" s="19" t="n">
        <v>37.3333333333333</v>
      </c>
    </row>
    <row r="9400" customFormat="false" ht="15" hidden="false" customHeight="false" outlineLevel="0" collapsed="false">
      <c r="A9400" s="0" t="n">
        <v>9399</v>
      </c>
      <c r="B9400" s="18" t="n">
        <v>888804.580016659</v>
      </c>
      <c r="C9400" s="18" t="n">
        <v>4419398.08832025</v>
      </c>
      <c r="D9400" s="0" t="n">
        <v>1</v>
      </c>
    </row>
    <row r="9401" customFormat="false" ht="15" hidden="false" customHeight="false" outlineLevel="0" collapsed="false">
      <c r="A9401" s="0" t="n">
        <v>9400</v>
      </c>
      <c r="B9401" s="18" t="n">
        <v>922448.781263628</v>
      </c>
      <c r="C9401" s="18" t="n">
        <v>1505149.88248563</v>
      </c>
      <c r="D9401" s="0" t="n">
        <v>1</v>
      </c>
    </row>
    <row r="9402" customFormat="false" ht="15" hidden="false" customHeight="false" outlineLevel="0" collapsed="false">
      <c r="A9402" s="0" t="n">
        <v>9401</v>
      </c>
      <c r="B9402" s="18" t="n">
        <v>728806.65919285</v>
      </c>
      <c r="C9402" s="18" t="n">
        <v>0</v>
      </c>
      <c r="D9402" s="0" t="n">
        <v>0</v>
      </c>
      <c r="E9402" s="19" t="n">
        <v>33.9166666666667</v>
      </c>
    </row>
    <row r="9403" customFormat="false" ht="15" hidden="false" customHeight="false" outlineLevel="0" collapsed="false">
      <c r="A9403" s="0" t="n">
        <v>9402</v>
      </c>
      <c r="B9403" s="18" t="n">
        <v>575668.538045916</v>
      </c>
      <c r="C9403" s="18" t="n">
        <v>0</v>
      </c>
      <c r="D9403" s="0" t="n">
        <v>0</v>
      </c>
      <c r="E9403" s="19" t="n">
        <v>36.0833333333333</v>
      </c>
    </row>
    <row r="9404" customFormat="false" ht="15" hidden="false" customHeight="false" outlineLevel="0" collapsed="false">
      <c r="A9404" s="0" t="n">
        <v>9403</v>
      </c>
      <c r="B9404" s="18" t="n">
        <v>689967.797206603</v>
      </c>
      <c r="C9404" s="18" t="n">
        <v>1114800.05028942</v>
      </c>
      <c r="D9404" s="0" t="n">
        <v>1</v>
      </c>
    </row>
    <row r="9405" customFormat="false" ht="15" hidden="false" customHeight="false" outlineLevel="0" collapsed="false">
      <c r="A9405" s="0" t="n">
        <v>9404</v>
      </c>
      <c r="B9405" s="18" t="n">
        <v>766217.150497258</v>
      </c>
      <c r="C9405" s="18" t="n">
        <v>0</v>
      </c>
      <c r="D9405" s="0" t="n">
        <v>0</v>
      </c>
      <c r="E9405" s="19" t="n">
        <v>51.5833333333333</v>
      </c>
    </row>
    <row r="9406" customFormat="false" ht="15" hidden="false" customHeight="false" outlineLevel="0" collapsed="false">
      <c r="A9406" s="0" t="n">
        <v>9405</v>
      </c>
      <c r="B9406" s="18" t="n">
        <v>2249956.71059348</v>
      </c>
      <c r="C9406" s="18" t="n">
        <v>1233733.99515692</v>
      </c>
      <c r="D9406" s="0" t="n">
        <v>1</v>
      </c>
    </row>
    <row r="9407" customFormat="false" ht="15" hidden="false" customHeight="false" outlineLevel="0" collapsed="false">
      <c r="A9407" s="0" t="n">
        <v>9406</v>
      </c>
      <c r="B9407" s="18" t="n">
        <v>690509.901159413</v>
      </c>
      <c r="C9407" s="18" t="n">
        <v>0</v>
      </c>
      <c r="D9407" s="0" t="n">
        <v>0</v>
      </c>
      <c r="E9407" s="19" t="n">
        <v>41.0833333333333</v>
      </c>
    </row>
    <row r="9408" customFormat="false" ht="15" hidden="false" customHeight="false" outlineLevel="0" collapsed="false">
      <c r="A9408" s="0" t="n">
        <v>9407</v>
      </c>
      <c r="B9408" s="18" t="n">
        <v>463786.972162325</v>
      </c>
      <c r="C9408" s="18" t="n">
        <v>0</v>
      </c>
      <c r="D9408" s="0" t="n">
        <v>0</v>
      </c>
      <c r="E9408" s="19" t="n">
        <v>32.3333333333333</v>
      </c>
    </row>
    <row r="9409" customFormat="false" ht="15" hidden="false" customHeight="false" outlineLevel="0" collapsed="false">
      <c r="A9409" s="0" t="n">
        <v>9408</v>
      </c>
      <c r="B9409" s="18" t="n">
        <v>710767.553472227</v>
      </c>
      <c r="C9409" s="18" t="n">
        <v>0</v>
      </c>
      <c r="D9409" s="0" t="n">
        <v>0</v>
      </c>
      <c r="E9409" s="19" t="n">
        <v>41.4166666666667</v>
      </c>
    </row>
    <row r="9410" customFormat="false" ht="15" hidden="false" customHeight="false" outlineLevel="0" collapsed="false">
      <c r="A9410" s="0" t="n">
        <v>9409</v>
      </c>
      <c r="B9410" s="18" t="n">
        <v>830850.519987409</v>
      </c>
      <c r="C9410" s="18" t="n">
        <v>0</v>
      </c>
      <c r="D9410" s="0" t="n">
        <v>0</v>
      </c>
      <c r="E9410" s="19" t="n">
        <v>31.9166666666667</v>
      </c>
    </row>
    <row r="9411" customFormat="false" ht="15" hidden="false" customHeight="false" outlineLevel="0" collapsed="false">
      <c r="A9411" s="0" t="n">
        <v>9410</v>
      </c>
      <c r="B9411" s="18" t="n">
        <v>753992.819214207</v>
      </c>
      <c r="C9411" s="18" t="n">
        <v>0</v>
      </c>
      <c r="D9411" s="0" t="n">
        <v>0</v>
      </c>
      <c r="E9411" s="19" t="n">
        <v>34.5833333333333</v>
      </c>
    </row>
    <row r="9412" customFormat="false" ht="15" hidden="false" customHeight="false" outlineLevel="0" collapsed="false">
      <c r="A9412" s="0" t="n">
        <v>9411</v>
      </c>
      <c r="B9412" s="18" t="n">
        <v>1929222.08914267</v>
      </c>
      <c r="C9412" s="18" t="n">
        <v>6001245.83373092</v>
      </c>
      <c r="D9412" s="0" t="n">
        <v>1</v>
      </c>
    </row>
    <row r="9413" customFormat="false" ht="15" hidden="false" customHeight="false" outlineLevel="0" collapsed="false">
      <c r="A9413" s="0" t="n">
        <v>9412</v>
      </c>
      <c r="B9413" s="18" t="n">
        <v>1910041.83875922</v>
      </c>
      <c r="C9413" s="18" t="n">
        <v>10433457.715099</v>
      </c>
      <c r="D9413" s="0" t="n">
        <v>1</v>
      </c>
    </row>
    <row r="9414" customFormat="false" ht="15" hidden="false" customHeight="false" outlineLevel="0" collapsed="false">
      <c r="A9414" s="0" t="n">
        <v>9413</v>
      </c>
      <c r="B9414" s="18" t="n">
        <v>361925.617480272</v>
      </c>
      <c r="C9414" s="18" t="n">
        <v>0</v>
      </c>
      <c r="D9414" s="0" t="n">
        <v>0</v>
      </c>
      <c r="E9414" s="19" t="n">
        <v>32.25</v>
      </c>
    </row>
    <row r="9415" customFormat="false" ht="15" hidden="false" customHeight="false" outlineLevel="0" collapsed="false">
      <c r="A9415" s="0" t="n">
        <v>9414</v>
      </c>
      <c r="B9415" s="18" t="n">
        <v>1055518.83610377</v>
      </c>
      <c r="C9415" s="18" t="n">
        <v>0</v>
      </c>
      <c r="D9415" s="0" t="n">
        <v>0</v>
      </c>
      <c r="E9415" s="19" t="n">
        <v>51.4166666666667</v>
      </c>
    </row>
    <row r="9416" customFormat="false" ht="15" hidden="false" customHeight="false" outlineLevel="0" collapsed="false">
      <c r="A9416" s="0" t="n">
        <v>9415</v>
      </c>
      <c r="B9416" s="18" t="n">
        <v>717192.959403646</v>
      </c>
      <c r="C9416" s="18" t="n">
        <v>0</v>
      </c>
      <c r="D9416" s="0" t="n">
        <v>0</v>
      </c>
      <c r="E9416" s="19" t="n">
        <v>36.4166666666667</v>
      </c>
    </row>
    <row r="9417" customFormat="false" ht="15" hidden="false" customHeight="false" outlineLevel="0" collapsed="false">
      <c r="A9417" s="0" t="n">
        <v>9416</v>
      </c>
      <c r="B9417" s="18" t="n">
        <v>1626647.7137555</v>
      </c>
      <c r="C9417" s="18" t="n">
        <v>6728513.94040769</v>
      </c>
      <c r="D9417" s="0" t="n">
        <v>1</v>
      </c>
    </row>
    <row r="9418" customFormat="false" ht="15" hidden="false" customHeight="false" outlineLevel="0" collapsed="false">
      <c r="A9418" s="0" t="n">
        <v>9417</v>
      </c>
      <c r="B9418" s="18" t="n">
        <v>364404.655445696</v>
      </c>
      <c r="C9418" s="18" t="n">
        <v>0</v>
      </c>
      <c r="D9418" s="0" t="n">
        <v>0</v>
      </c>
      <c r="E9418" s="19" t="n">
        <v>29.75</v>
      </c>
    </row>
    <row r="9419" customFormat="false" ht="15" hidden="false" customHeight="false" outlineLevel="0" collapsed="false">
      <c r="A9419" s="0" t="n">
        <v>9418</v>
      </c>
      <c r="B9419" s="18" t="n">
        <v>629029.624022916</v>
      </c>
      <c r="C9419" s="18" t="n">
        <v>0</v>
      </c>
      <c r="D9419" s="0" t="n">
        <v>0</v>
      </c>
      <c r="E9419" s="19" t="n">
        <v>34.1666666666667</v>
      </c>
    </row>
    <row r="9420" customFormat="false" ht="15" hidden="false" customHeight="false" outlineLevel="0" collapsed="false">
      <c r="A9420" s="0" t="n">
        <v>9419</v>
      </c>
      <c r="B9420" s="18" t="n">
        <v>768920.706225623</v>
      </c>
      <c r="C9420" s="18" t="n">
        <v>0</v>
      </c>
      <c r="D9420" s="0" t="n">
        <v>0</v>
      </c>
      <c r="E9420" s="19" t="n">
        <v>39.0833333333333</v>
      </c>
    </row>
    <row r="9421" customFormat="false" ht="15" hidden="false" customHeight="false" outlineLevel="0" collapsed="false">
      <c r="A9421" s="0" t="n">
        <v>9420</v>
      </c>
      <c r="B9421" s="18" t="n">
        <v>837800.945832509</v>
      </c>
      <c r="C9421" s="18" t="n">
        <v>0</v>
      </c>
      <c r="D9421" s="0" t="n">
        <v>0</v>
      </c>
      <c r="E9421" s="19" t="n">
        <v>40.5833333333333</v>
      </c>
    </row>
    <row r="9422" customFormat="false" ht="15" hidden="false" customHeight="false" outlineLevel="0" collapsed="false">
      <c r="A9422" s="0" t="n">
        <v>9421</v>
      </c>
      <c r="B9422" s="18" t="n">
        <v>817048.089304158</v>
      </c>
      <c r="C9422" s="18" t="n">
        <v>0</v>
      </c>
      <c r="D9422" s="0" t="n">
        <v>0</v>
      </c>
      <c r="E9422" s="19" t="n">
        <v>39.1666666666667</v>
      </c>
    </row>
    <row r="9423" customFormat="false" ht="15" hidden="false" customHeight="false" outlineLevel="0" collapsed="false">
      <c r="A9423" s="0" t="n">
        <v>9422</v>
      </c>
      <c r="B9423" s="18" t="n">
        <v>1239520.06336625</v>
      </c>
      <c r="C9423" s="18" t="n">
        <v>0</v>
      </c>
      <c r="D9423" s="0" t="n">
        <v>0</v>
      </c>
      <c r="E9423" s="19" t="n">
        <v>49.6666666666667</v>
      </c>
    </row>
    <row r="9424" customFormat="false" ht="15" hidden="false" customHeight="false" outlineLevel="0" collapsed="false">
      <c r="A9424" s="0" t="n">
        <v>9423</v>
      </c>
      <c r="B9424" s="18" t="n">
        <v>1805177.18217859</v>
      </c>
      <c r="C9424" s="18" t="n">
        <v>4407847.23970103</v>
      </c>
      <c r="D9424" s="0" t="n">
        <v>1</v>
      </c>
    </row>
    <row r="9425" customFormat="false" ht="15" hidden="false" customHeight="false" outlineLevel="0" collapsed="false">
      <c r="A9425" s="0" t="n">
        <v>9424</v>
      </c>
      <c r="B9425" s="18" t="n">
        <v>623159.313145974</v>
      </c>
      <c r="C9425" s="18" t="n">
        <v>0</v>
      </c>
      <c r="D9425" s="0" t="n">
        <v>0</v>
      </c>
      <c r="E9425" s="19" t="n">
        <v>41.8333333333333</v>
      </c>
    </row>
    <row r="9426" customFormat="false" ht="15" hidden="false" customHeight="false" outlineLevel="0" collapsed="false">
      <c r="A9426" s="0" t="n">
        <v>9425</v>
      </c>
      <c r="B9426" s="18" t="n">
        <v>1736654.28080729</v>
      </c>
      <c r="C9426" s="18" t="n">
        <v>2938170.3513399</v>
      </c>
      <c r="D9426" s="0" t="n">
        <v>1</v>
      </c>
    </row>
    <row r="9427" customFormat="false" ht="15" hidden="false" customHeight="false" outlineLevel="0" collapsed="false">
      <c r="A9427" s="0" t="n">
        <v>9426</v>
      </c>
      <c r="B9427" s="18" t="n">
        <v>220553.767753492</v>
      </c>
      <c r="C9427" s="18" t="n">
        <v>0</v>
      </c>
      <c r="D9427" s="0" t="n">
        <v>0</v>
      </c>
      <c r="E9427" s="19" t="n">
        <v>30</v>
      </c>
    </row>
    <row r="9428" customFormat="false" ht="15" hidden="false" customHeight="false" outlineLevel="0" collapsed="false">
      <c r="A9428" s="0" t="n">
        <v>9427</v>
      </c>
      <c r="B9428" s="18" t="n">
        <v>442574.5598897</v>
      </c>
      <c r="C9428" s="18" t="n">
        <v>0</v>
      </c>
      <c r="D9428" s="0" t="n">
        <v>0</v>
      </c>
      <c r="E9428" s="19" t="n">
        <v>32.4166666666667</v>
      </c>
    </row>
    <row r="9429" customFormat="false" ht="15" hidden="false" customHeight="false" outlineLevel="0" collapsed="false">
      <c r="A9429" s="0" t="n">
        <v>9428</v>
      </c>
      <c r="B9429" s="18" t="n">
        <v>659312.172492255</v>
      </c>
      <c r="C9429" s="18" t="n">
        <v>0</v>
      </c>
      <c r="D9429" s="0" t="n">
        <v>0</v>
      </c>
      <c r="E9429" s="19" t="n">
        <v>36</v>
      </c>
    </row>
    <row r="9430" customFormat="false" ht="15" hidden="false" customHeight="false" outlineLevel="0" collapsed="false">
      <c r="A9430" s="0" t="n">
        <v>9429</v>
      </c>
      <c r="B9430" s="18" t="n">
        <v>2145684.22125978</v>
      </c>
      <c r="C9430" s="18" t="n">
        <v>9008933.17825847</v>
      </c>
      <c r="D9430" s="0" t="n">
        <v>1</v>
      </c>
    </row>
    <row r="9431" customFormat="false" ht="15" hidden="false" customHeight="false" outlineLevel="0" collapsed="false">
      <c r="A9431" s="0" t="n">
        <v>9430</v>
      </c>
      <c r="B9431" s="18" t="n">
        <v>3809503.04505591</v>
      </c>
      <c r="C9431" s="18" t="n">
        <v>33518274.3362937</v>
      </c>
      <c r="D9431" s="0" t="n">
        <v>1</v>
      </c>
    </row>
    <row r="9432" customFormat="false" ht="15" hidden="false" customHeight="false" outlineLevel="0" collapsed="false">
      <c r="A9432" s="0" t="n">
        <v>9431</v>
      </c>
      <c r="B9432" s="18" t="n">
        <v>1155128.25081631</v>
      </c>
      <c r="C9432" s="18" t="n">
        <v>0</v>
      </c>
      <c r="D9432" s="0" t="n">
        <v>0</v>
      </c>
      <c r="E9432" s="19" t="n">
        <v>50.75</v>
      </c>
    </row>
    <row r="9433" customFormat="false" ht="15" hidden="false" customHeight="false" outlineLevel="0" collapsed="false">
      <c r="A9433" s="0" t="n">
        <v>9432</v>
      </c>
      <c r="B9433" s="18" t="n">
        <v>1276329.96210441</v>
      </c>
      <c r="C9433" s="18" t="n">
        <v>0</v>
      </c>
      <c r="D9433" s="0" t="n">
        <v>0</v>
      </c>
      <c r="E9433" s="19" t="n">
        <v>53.8333333333333</v>
      </c>
    </row>
    <row r="9434" customFormat="false" ht="15" hidden="false" customHeight="false" outlineLevel="0" collapsed="false">
      <c r="A9434" s="0" t="n">
        <v>9433</v>
      </c>
      <c r="B9434" s="18" t="n">
        <v>1150385.75786288</v>
      </c>
      <c r="C9434" s="18" t="n">
        <v>1092195.5559663</v>
      </c>
      <c r="D9434" s="0" t="n">
        <v>1</v>
      </c>
    </row>
    <row r="9435" customFormat="false" ht="15" hidden="false" customHeight="false" outlineLevel="0" collapsed="false">
      <c r="A9435" s="0" t="n">
        <v>9434</v>
      </c>
      <c r="B9435" s="18" t="n">
        <v>1123592.73890982</v>
      </c>
      <c r="C9435" s="18" t="n">
        <v>0</v>
      </c>
      <c r="D9435" s="0" t="n">
        <v>0</v>
      </c>
      <c r="E9435" s="19" t="n">
        <v>41.8333333333333</v>
      </c>
    </row>
    <row r="9436" customFormat="false" ht="15" hidden="false" customHeight="false" outlineLevel="0" collapsed="false">
      <c r="A9436" s="0" t="n">
        <v>9435</v>
      </c>
      <c r="B9436" s="18" t="n">
        <v>775786.125598426</v>
      </c>
      <c r="C9436" s="18" t="n">
        <v>479237.363657594</v>
      </c>
      <c r="D9436" s="0" t="n">
        <v>1</v>
      </c>
    </row>
    <row r="9437" customFormat="false" ht="15" hidden="false" customHeight="false" outlineLevel="0" collapsed="false">
      <c r="A9437" s="0" t="n">
        <v>9436</v>
      </c>
      <c r="B9437" s="18" t="n">
        <v>519914.135300815</v>
      </c>
      <c r="C9437" s="18" t="n">
        <v>0</v>
      </c>
      <c r="D9437" s="0" t="n">
        <v>0</v>
      </c>
      <c r="E9437" s="19" t="n">
        <v>34</v>
      </c>
    </row>
    <row r="9438" customFormat="false" ht="15" hidden="false" customHeight="false" outlineLevel="0" collapsed="false">
      <c r="A9438" s="0" t="n">
        <v>9437</v>
      </c>
      <c r="B9438" s="18" t="n">
        <v>2183604.74377815</v>
      </c>
      <c r="C9438" s="18" t="n">
        <v>10865484.8514135</v>
      </c>
      <c r="D9438" s="0" t="n">
        <v>1</v>
      </c>
    </row>
    <row r="9439" customFormat="false" ht="15" hidden="false" customHeight="false" outlineLevel="0" collapsed="false">
      <c r="A9439" s="0" t="n">
        <v>9438</v>
      </c>
      <c r="B9439" s="18" t="n">
        <v>1649547.40039963</v>
      </c>
      <c r="C9439" s="18" t="n">
        <v>2063313.72488065</v>
      </c>
      <c r="D9439" s="0" t="n">
        <v>1</v>
      </c>
    </row>
    <row r="9440" customFormat="false" ht="15" hidden="false" customHeight="false" outlineLevel="0" collapsed="false">
      <c r="A9440" s="0" t="n">
        <v>9439</v>
      </c>
      <c r="B9440" s="18" t="n">
        <v>706880.203642474</v>
      </c>
      <c r="C9440" s="18" t="n">
        <v>0</v>
      </c>
      <c r="D9440" s="0" t="n">
        <v>0</v>
      </c>
      <c r="E9440" s="19" t="n">
        <v>37.8333333333333</v>
      </c>
    </row>
    <row r="9441" customFormat="false" ht="15" hidden="false" customHeight="false" outlineLevel="0" collapsed="false">
      <c r="A9441" s="0" t="n">
        <v>9440</v>
      </c>
      <c r="B9441" s="18" t="n">
        <v>1018406.60781511</v>
      </c>
      <c r="C9441" s="18" t="n">
        <v>0</v>
      </c>
      <c r="D9441" s="0" t="n">
        <v>0</v>
      </c>
      <c r="E9441" s="19" t="n">
        <v>51.1666666666667</v>
      </c>
    </row>
    <row r="9442" customFormat="false" ht="15" hidden="false" customHeight="false" outlineLevel="0" collapsed="false">
      <c r="A9442" s="0" t="n">
        <v>9441</v>
      </c>
      <c r="B9442" s="18" t="n">
        <v>522551.251353464</v>
      </c>
      <c r="C9442" s="18" t="n">
        <v>0</v>
      </c>
      <c r="D9442" s="0" t="n">
        <v>0</v>
      </c>
      <c r="E9442" s="19" t="n">
        <v>37.9166666666667</v>
      </c>
    </row>
    <row r="9443" customFormat="false" ht="15" hidden="false" customHeight="false" outlineLevel="0" collapsed="false">
      <c r="A9443" s="0" t="n">
        <v>9442</v>
      </c>
      <c r="B9443" s="18" t="n">
        <v>1376025.27374623</v>
      </c>
      <c r="C9443" s="18" t="n">
        <v>0</v>
      </c>
      <c r="D9443" s="0" t="n">
        <v>0</v>
      </c>
      <c r="E9443" s="19" t="n">
        <v>47.5</v>
      </c>
    </row>
    <row r="9444" customFormat="false" ht="15" hidden="false" customHeight="false" outlineLevel="0" collapsed="false">
      <c r="A9444" s="0" t="n">
        <v>9443</v>
      </c>
      <c r="B9444" s="18" t="n">
        <v>1465961.08760366</v>
      </c>
      <c r="C9444" s="18" t="n">
        <v>13864345.4641253</v>
      </c>
      <c r="D9444" s="0" t="n">
        <v>1</v>
      </c>
    </row>
    <row r="9445" customFormat="false" ht="15" hidden="false" customHeight="false" outlineLevel="0" collapsed="false">
      <c r="A9445" s="0" t="n">
        <v>9444</v>
      </c>
      <c r="B9445" s="18" t="n">
        <v>478590.726506146</v>
      </c>
      <c r="C9445" s="18" t="n">
        <v>0</v>
      </c>
      <c r="D9445" s="0" t="n">
        <v>0</v>
      </c>
      <c r="E9445" s="19" t="n">
        <v>34.75</v>
      </c>
    </row>
    <row r="9446" customFormat="false" ht="15" hidden="false" customHeight="false" outlineLevel="0" collapsed="false">
      <c r="A9446" s="0" t="n">
        <v>9445</v>
      </c>
      <c r="B9446" s="18" t="n">
        <v>4368134.90831864</v>
      </c>
      <c r="C9446" s="18" t="n">
        <v>16678744.6238539</v>
      </c>
      <c r="D9446" s="0" t="n">
        <v>1</v>
      </c>
    </row>
    <row r="9447" customFormat="false" ht="15" hidden="false" customHeight="false" outlineLevel="0" collapsed="false">
      <c r="A9447" s="0" t="n">
        <v>9446</v>
      </c>
      <c r="B9447" s="18" t="n">
        <v>703084.162622496</v>
      </c>
      <c r="C9447" s="18" t="n">
        <v>0</v>
      </c>
      <c r="D9447" s="0" t="n">
        <v>0</v>
      </c>
      <c r="E9447" s="19" t="n">
        <v>47.5833333333333</v>
      </c>
    </row>
    <row r="9448" customFormat="false" ht="15" hidden="false" customHeight="false" outlineLevel="0" collapsed="false">
      <c r="A9448" s="0" t="n">
        <v>9447</v>
      </c>
      <c r="B9448" s="18" t="n">
        <v>1034561.21688473</v>
      </c>
      <c r="C9448" s="18" t="n">
        <v>0</v>
      </c>
      <c r="D9448" s="0" t="n">
        <v>0</v>
      </c>
      <c r="E9448" s="19" t="n">
        <v>42.75</v>
      </c>
    </row>
    <row r="9449" customFormat="false" ht="15" hidden="false" customHeight="false" outlineLevel="0" collapsed="false">
      <c r="A9449" s="0" t="n">
        <v>9448</v>
      </c>
      <c r="B9449" s="18" t="n">
        <v>440882.181504546</v>
      </c>
      <c r="C9449" s="18" t="n">
        <v>0</v>
      </c>
      <c r="D9449" s="0" t="n">
        <v>0</v>
      </c>
      <c r="E9449" s="19" t="n">
        <v>34.9166666666667</v>
      </c>
    </row>
    <row r="9450" customFormat="false" ht="15" hidden="false" customHeight="false" outlineLevel="0" collapsed="false">
      <c r="A9450" s="0" t="n">
        <v>9449</v>
      </c>
      <c r="B9450" s="18" t="n">
        <v>749367.882564523</v>
      </c>
      <c r="C9450" s="18" t="n">
        <v>0</v>
      </c>
      <c r="D9450" s="0" t="n">
        <v>0</v>
      </c>
      <c r="E9450" s="19" t="n">
        <v>48.25</v>
      </c>
    </row>
    <row r="9451" customFormat="false" ht="15" hidden="false" customHeight="false" outlineLevel="0" collapsed="false">
      <c r="A9451" s="0" t="n">
        <v>9450</v>
      </c>
      <c r="B9451" s="18" t="n">
        <v>448268.98094853</v>
      </c>
      <c r="C9451" s="18" t="n">
        <v>0</v>
      </c>
      <c r="D9451" s="0" t="n">
        <v>0</v>
      </c>
      <c r="E9451" s="19" t="n">
        <v>32.75</v>
      </c>
    </row>
    <row r="9452" customFormat="false" ht="15" hidden="false" customHeight="false" outlineLevel="0" collapsed="false">
      <c r="A9452" s="0" t="n">
        <v>9451</v>
      </c>
      <c r="B9452" s="18" t="n">
        <v>512226.248044926</v>
      </c>
      <c r="C9452" s="18" t="n">
        <v>0</v>
      </c>
      <c r="D9452" s="0" t="n">
        <v>0</v>
      </c>
      <c r="E9452" s="19" t="n">
        <v>34.1666666666667</v>
      </c>
    </row>
    <row r="9453" customFormat="false" ht="15" hidden="false" customHeight="false" outlineLevel="0" collapsed="false">
      <c r="A9453" s="0" t="n">
        <v>9452</v>
      </c>
      <c r="B9453" s="18" t="n">
        <v>286272.9213113</v>
      </c>
      <c r="C9453" s="18" t="n">
        <v>0</v>
      </c>
      <c r="D9453" s="0" t="n">
        <v>0</v>
      </c>
      <c r="E9453" s="19" t="n">
        <v>31</v>
      </c>
    </row>
    <row r="9454" customFormat="false" ht="15" hidden="false" customHeight="false" outlineLevel="0" collapsed="false">
      <c r="A9454" s="0" t="n">
        <v>9453</v>
      </c>
      <c r="B9454" s="18" t="n">
        <v>676170.310116173</v>
      </c>
      <c r="C9454" s="18" t="n">
        <v>0</v>
      </c>
      <c r="D9454" s="0" t="n">
        <v>0</v>
      </c>
      <c r="E9454" s="19" t="n">
        <v>39.5</v>
      </c>
    </row>
    <row r="9455" customFormat="false" ht="15" hidden="false" customHeight="false" outlineLevel="0" collapsed="false">
      <c r="A9455" s="0" t="n">
        <v>9454</v>
      </c>
      <c r="B9455" s="18" t="n">
        <v>580432.903932226</v>
      </c>
      <c r="C9455" s="18" t="n">
        <v>0</v>
      </c>
      <c r="D9455" s="0" t="n">
        <v>0</v>
      </c>
      <c r="E9455" s="19" t="n">
        <v>32.8333333333333</v>
      </c>
    </row>
    <row r="9456" customFormat="false" ht="15" hidden="false" customHeight="false" outlineLevel="0" collapsed="false">
      <c r="A9456" s="0" t="n">
        <v>9455</v>
      </c>
      <c r="B9456" s="18" t="n">
        <v>660264.791697078</v>
      </c>
      <c r="C9456" s="18" t="n">
        <v>0</v>
      </c>
      <c r="D9456" s="0" t="n">
        <v>0</v>
      </c>
      <c r="E9456" s="19" t="n">
        <v>39.1666666666667</v>
      </c>
    </row>
    <row r="9457" customFormat="false" ht="15" hidden="false" customHeight="false" outlineLevel="0" collapsed="false">
      <c r="A9457" s="0" t="n">
        <v>9456</v>
      </c>
      <c r="B9457" s="18" t="n">
        <v>256295.652320109</v>
      </c>
      <c r="C9457" s="18" t="n">
        <v>0</v>
      </c>
      <c r="D9457" s="0" t="n">
        <v>0</v>
      </c>
      <c r="E9457" s="19" t="n">
        <v>29.5833333333333</v>
      </c>
    </row>
    <row r="9458" customFormat="false" ht="15" hidden="false" customHeight="false" outlineLevel="0" collapsed="false">
      <c r="A9458" s="0" t="n">
        <v>9457</v>
      </c>
      <c r="B9458" s="18" t="n">
        <v>1400345.81540915</v>
      </c>
      <c r="C9458" s="18" t="n">
        <v>9225237.44106602</v>
      </c>
      <c r="D9458" s="0" t="n">
        <v>1</v>
      </c>
    </row>
    <row r="9459" customFormat="false" ht="15" hidden="false" customHeight="false" outlineLevel="0" collapsed="false">
      <c r="A9459" s="0" t="n">
        <v>9458</v>
      </c>
      <c r="B9459" s="18" t="n">
        <v>1004338.57716461</v>
      </c>
      <c r="C9459" s="18" t="n">
        <v>6831739.78082029</v>
      </c>
      <c r="D9459" s="0" t="n">
        <v>1</v>
      </c>
    </row>
    <row r="9460" customFormat="false" ht="15" hidden="false" customHeight="false" outlineLevel="0" collapsed="false">
      <c r="A9460" s="0" t="n">
        <v>9459</v>
      </c>
      <c r="B9460" s="18" t="n">
        <v>428283.437629002</v>
      </c>
      <c r="C9460" s="18" t="n">
        <v>0</v>
      </c>
      <c r="D9460" s="0" t="n">
        <v>0</v>
      </c>
      <c r="E9460" s="19" t="n">
        <v>34.75</v>
      </c>
    </row>
    <row r="9461" customFormat="false" ht="15" hidden="false" customHeight="false" outlineLevel="0" collapsed="false">
      <c r="A9461" s="0" t="n">
        <v>9460</v>
      </c>
      <c r="B9461" s="18" t="n">
        <v>752513.380560511</v>
      </c>
      <c r="C9461" s="18" t="n">
        <v>0</v>
      </c>
      <c r="D9461" s="0" t="n">
        <v>0</v>
      </c>
      <c r="E9461" s="19" t="n">
        <v>35.1666666666667</v>
      </c>
    </row>
    <row r="9462" customFormat="false" ht="15" hidden="false" customHeight="false" outlineLevel="0" collapsed="false">
      <c r="A9462" s="0" t="n">
        <v>9461</v>
      </c>
      <c r="B9462" s="18" t="n">
        <v>743024.274215925</v>
      </c>
      <c r="C9462" s="18" t="n">
        <v>0</v>
      </c>
      <c r="D9462" s="0" t="n">
        <v>0</v>
      </c>
      <c r="E9462" s="19" t="n">
        <v>42</v>
      </c>
    </row>
    <row r="9463" customFormat="false" ht="15" hidden="false" customHeight="false" outlineLevel="0" collapsed="false">
      <c r="A9463" s="0" t="n">
        <v>9462</v>
      </c>
      <c r="B9463" s="18" t="n">
        <v>568061.460341612</v>
      </c>
      <c r="C9463" s="18" t="n">
        <v>0</v>
      </c>
      <c r="D9463" s="0" t="n">
        <v>0</v>
      </c>
      <c r="E9463" s="19" t="n">
        <v>36.5833333333333</v>
      </c>
    </row>
    <row r="9464" customFormat="false" ht="15" hidden="false" customHeight="false" outlineLevel="0" collapsed="false">
      <c r="A9464" s="0" t="n">
        <v>9463</v>
      </c>
      <c r="B9464" s="18" t="n">
        <v>553544.366720909</v>
      </c>
      <c r="C9464" s="18" t="n">
        <v>0</v>
      </c>
      <c r="D9464" s="0" t="n">
        <v>0</v>
      </c>
      <c r="E9464" s="19" t="n">
        <v>32.1666666666667</v>
      </c>
    </row>
    <row r="9465" customFormat="false" ht="15" hidden="false" customHeight="false" outlineLevel="0" collapsed="false">
      <c r="A9465" s="0" t="n">
        <v>9464</v>
      </c>
      <c r="B9465" s="18" t="n">
        <v>887190.49174569</v>
      </c>
      <c r="C9465" s="18" t="n">
        <v>0</v>
      </c>
      <c r="D9465" s="0" t="n">
        <v>0</v>
      </c>
      <c r="E9465" s="19" t="n">
        <v>41.8333333333333</v>
      </c>
    </row>
    <row r="9466" customFormat="false" ht="15" hidden="false" customHeight="false" outlineLevel="0" collapsed="false">
      <c r="A9466" s="0" t="n">
        <v>9465</v>
      </c>
      <c r="B9466" s="18" t="n">
        <v>400489.446462257</v>
      </c>
      <c r="C9466" s="18" t="n">
        <v>0</v>
      </c>
      <c r="D9466" s="0" t="n">
        <v>0</v>
      </c>
      <c r="E9466" s="19" t="n">
        <v>40.0833333333333</v>
      </c>
    </row>
    <row r="9467" customFormat="false" ht="15" hidden="false" customHeight="false" outlineLevel="0" collapsed="false">
      <c r="A9467" s="0" t="n">
        <v>9466</v>
      </c>
      <c r="B9467" s="18" t="n">
        <v>451755.294472976</v>
      </c>
      <c r="C9467" s="18" t="n">
        <v>0</v>
      </c>
      <c r="D9467" s="0" t="n">
        <v>0</v>
      </c>
      <c r="E9467" s="19" t="n">
        <v>35.8333333333333</v>
      </c>
    </row>
    <row r="9468" customFormat="false" ht="15" hidden="false" customHeight="false" outlineLevel="0" collapsed="false">
      <c r="A9468" s="0" t="n">
        <v>9467</v>
      </c>
      <c r="B9468" s="18" t="n">
        <v>631465.197680684</v>
      </c>
      <c r="C9468" s="18" t="n">
        <v>0</v>
      </c>
      <c r="D9468" s="0" t="n">
        <v>0</v>
      </c>
      <c r="E9468" s="19" t="n">
        <v>35.6666666666667</v>
      </c>
    </row>
    <row r="9469" customFormat="false" ht="15" hidden="false" customHeight="false" outlineLevel="0" collapsed="false">
      <c r="A9469" s="0" t="n">
        <v>9468</v>
      </c>
      <c r="B9469" s="18" t="n">
        <v>1143813.45645205</v>
      </c>
      <c r="C9469" s="18" t="n">
        <v>4346809.52618102</v>
      </c>
      <c r="D9469" s="0" t="n">
        <v>1</v>
      </c>
    </row>
    <row r="9470" customFormat="false" ht="15" hidden="false" customHeight="false" outlineLevel="0" collapsed="false">
      <c r="A9470" s="0" t="n">
        <v>9469</v>
      </c>
      <c r="B9470" s="18" t="n">
        <v>1392216.76866885</v>
      </c>
      <c r="C9470" s="18" t="n">
        <v>1079237.16665061</v>
      </c>
      <c r="D9470" s="0" t="n">
        <v>1</v>
      </c>
    </row>
    <row r="9471" customFormat="false" ht="15" hidden="false" customHeight="false" outlineLevel="0" collapsed="false">
      <c r="A9471" s="0" t="n">
        <v>9470</v>
      </c>
      <c r="B9471" s="18" t="n">
        <v>714990.502173801</v>
      </c>
      <c r="C9471" s="18" t="n">
        <v>0</v>
      </c>
      <c r="D9471" s="0" t="n">
        <v>0</v>
      </c>
      <c r="E9471" s="19" t="n">
        <v>39.6666666666667</v>
      </c>
    </row>
    <row r="9472" customFormat="false" ht="15" hidden="false" customHeight="false" outlineLevel="0" collapsed="false">
      <c r="A9472" s="0" t="n">
        <v>9471</v>
      </c>
      <c r="B9472" s="18" t="n">
        <v>1108777.71096014</v>
      </c>
      <c r="C9472" s="18" t="n">
        <v>483005.423322752</v>
      </c>
      <c r="D9472" s="0" t="n">
        <v>1</v>
      </c>
    </row>
    <row r="9473" customFormat="false" ht="15" hidden="false" customHeight="false" outlineLevel="0" collapsed="false">
      <c r="A9473" s="0" t="n">
        <v>9472</v>
      </c>
      <c r="B9473" s="18" t="n">
        <v>256440.258561939</v>
      </c>
      <c r="C9473" s="18" t="n">
        <v>0</v>
      </c>
      <c r="D9473" s="0" t="n">
        <v>0</v>
      </c>
      <c r="E9473" s="19" t="n">
        <v>30.1666666666667</v>
      </c>
    </row>
    <row r="9474" customFormat="false" ht="15" hidden="false" customHeight="false" outlineLevel="0" collapsed="false">
      <c r="A9474" s="0" t="n">
        <v>9473</v>
      </c>
      <c r="B9474" s="18" t="n">
        <v>694244.80890341</v>
      </c>
      <c r="C9474" s="18" t="n">
        <v>0</v>
      </c>
      <c r="D9474" s="0" t="n">
        <v>0</v>
      </c>
      <c r="E9474" s="19" t="n">
        <v>34.75</v>
      </c>
    </row>
    <row r="9475" customFormat="false" ht="15" hidden="false" customHeight="false" outlineLevel="0" collapsed="false">
      <c r="A9475" s="0" t="n">
        <v>9474</v>
      </c>
      <c r="B9475" s="18" t="n">
        <v>1095803.25223454</v>
      </c>
      <c r="C9475" s="18" t="n">
        <v>0</v>
      </c>
      <c r="D9475" s="0" t="n">
        <v>0</v>
      </c>
      <c r="E9475" s="19" t="n">
        <v>42.1666666666667</v>
      </c>
    </row>
    <row r="9476" customFormat="false" ht="15" hidden="false" customHeight="false" outlineLevel="0" collapsed="false">
      <c r="A9476" s="0" t="n">
        <v>9475</v>
      </c>
      <c r="B9476" s="18" t="n">
        <v>375679.135999071</v>
      </c>
      <c r="C9476" s="18" t="n">
        <v>0</v>
      </c>
      <c r="D9476" s="0" t="n">
        <v>0</v>
      </c>
      <c r="E9476" s="19" t="n">
        <v>33.3333333333333</v>
      </c>
    </row>
    <row r="9477" customFormat="false" ht="15" hidden="false" customHeight="false" outlineLevel="0" collapsed="false">
      <c r="A9477" s="0" t="n">
        <v>9476</v>
      </c>
      <c r="B9477" s="18" t="n">
        <v>1860940.09116893</v>
      </c>
      <c r="C9477" s="18" t="n">
        <v>4305404.14176231</v>
      </c>
      <c r="D9477" s="0" t="n">
        <v>1</v>
      </c>
    </row>
    <row r="9478" customFormat="false" ht="15" hidden="false" customHeight="false" outlineLevel="0" collapsed="false">
      <c r="A9478" s="0" t="n">
        <v>9477</v>
      </c>
      <c r="B9478" s="18" t="n">
        <v>762257.959505616</v>
      </c>
      <c r="C9478" s="18" t="n">
        <v>0</v>
      </c>
      <c r="D9478" s="0" t="n">
        <v>0</v>
      </c>
      <c r="E9478" s="19" t="n">
        <v>41.1666666666667</v>
      </c>
    </row>
    <row r="9479" customFormat="false" ht="15" hidden="false" customHeight="false" outlineLevel="0" collapsed="false">
      <c r="A9479" s="0" t="n">
        <v>9478</v>
      </c>
      <c r="B9479" s="18" t="n">
        <v>871654.761114875</v>
      </c>
      <c r="C9479" s="18" t="n">
        <v>4466831.91176909</v>
      </c>
      <c r="D9479" s="0" t="n">
        <v>1</v>
      </c>
    </row>
    <row r="9480" customFormat="false" ht="15" hidden="false" customHeight="false" outlineLevel="0" collapsed="false">
      <c r="A9480" s="0" t="n">
        <v>9479</v>
      </c>
      <c r="B9480" s="18" t="n">
        <v>986118.550349411</v>
      </c>
      <c r="C9480" s="18" t="n">
        <v>0</v>
      </c>
      <c r="D9480" s="0" t="n">
        <v>0</v>
      </c>
      <c r="E9480" s="19" t="n">
        <v>39.8333333333333</v>
      </c>
    </row>
    <row r="9481" customFormat="false" ht="15" hidden="false" customHeight="false" outlineLevel="0" collapsed="false">
      <c r="A9481" s="0" t="n">
        <v>9480</v>
      </c>
      <c r="B9481" s="18" t="n">
        <v>1200853.0528475</v>
      </c>
      <c r="C9481" s="18" t="n">
        <v>0</v>
      </c>
      <c r="D9481" s="0" t="n">
        <v>0</v>
      </c>
      <c r="E9481" s="19" t="n">
        <v>49.8333333333333</v>
      </c>
    </row>
    <row r="9482" customFormat="false" ht="15" hidden="false" customHeight="false" outlineLevel="0" collapsed="false">
      <c r="A9482" s="0" t="n">
        <v>9481</v>
      </c>
      <c r="B9482" s="18" t="n">
        <v>530829.874797912</v>
      </c>
      <c r="C9482" s="18" t="n">
        <v>0</v>
      </c>
      <c r="D9482" s="0" t="n">
        <v>0</v>
      </c>
      <c r="E9482" s="19" t="n">
        <v>31.9166666666667</v>
      </c>
    </row>
    <row r="9483" customFormat="false" ht="15" hidden="false" customHeight="false" outlineLevel="0" collapsed="false">
      <c r="A9483" s="0" t="n">
        <v>9482</v>
      </c>
      <c r="B9483" s="18" t="n">
        <v>872061.328006644</v>
      </c>
      <c r="C9483" s="18" t="n">
        <v>0</v>
      </c>
      <c r="D9483" s="0" t="n">
        <v>0</v>
      </c>
      <c r="E9483" s="19" t="n">
        <v>38.9166666666667</v>
      </c>
    </row>
    <row r="9484" customFormat="false" ht="15" hidden="false" customHeight="false" outlineLevel="0" collapsed="false">
      <c r="A9484" s="0" t="n">
        <v>9483</v>
      </c>
      <c r="B9484" s="18" t="n">
        <v>2592456.77494778</v>
      </c>
      <c r="C9484" s="18" t="n">
        <v>3027583.78456885</v>
      </c>
      <c r="D9484" s="0" t="n">
        <v>1</v>
      </c>
    </row>
    <row r="9485" customFormat="false" ht="15" hidden="false" customHeight="false" outlineLevel="0" collapsed="false">
      <c r="A9485" s="0" t="n">
        <v>9484</v>
      </c>
      <c r="B9485" s="18" t="n">
        <v>801251.437864268</v>
      </c>
      <c r="C9485" s="18" t="n">
        <v>0</v>
      </c>
      <c r="D9485" s="0" t="n">
        <v>0</v>
      </c>
      <c r="E9485" s="19" t="n">
        <v>37.8333333333333</v>
      </c>
    </row>
    <row r="9486" customFormat="false" ht="15" hidden="false" customHeight="false" outlineLevel="0" collapsed="false">
      <c r="A9486" s="0" t="n">
        <v>9485</v>
      </c>
      <c r="B9486" s="18" t="n">
        <v>526541.703476987</v>
      </c>
      <c r="C9486" s="18" t="n">
        <v>0</v>
      </c>
      <c r="D9486" s="0" t="n">
        <v>0</v>
      </c>
      <c r="E9486" s="19" t="n">
        <v>34</v>
      </c>
    </row>
    <row r="9487" customFormat="false" ht="15" hidden="false" customHeight="false" outlineLevel="0" collapsed="false">
      <c r="A9487" s="0" t="n">
        <v>9486</v>
      </c>
      <c r="B9487" s="18" t="n">
        <v>3427969.98241929</v>
      </c>
      <c r="C9487" s="18" t="n">
        <v>0</v>
      </c>
      <c r="D9487" s="0" t="n">
        <v>0</v>
      </c>
      <c r="E9487" s="19" t="n">
        <v>51.3333333333333</v>
      </c>
    </row>
    <row r="9488" customFormat="false" ht="15" hidden="false" customHeight="false" outlineLevel="0" collapsed="false">
      <c r="A9488" s="0" t="n">
        <v>9487</v>
      </c>
      <c r="B9488" s="18" t="n">
        <v>1228258.38124419</v>
      </c>
      <c r="C9488" s="18" t="n">
        <v>397434.841349423</v>
      </c>
      <c r="D9488" s="0" t="n">
        <v>1</v>
      </c>
    </row>
    <row r="9489" customFormat="false" ht="15" hidden="false" customHeight="false" outlineLevel="0" collapsed="false">
      <c r="A9489" s="0" t="n">
        <v>9488</v>
      </c>
      <c r="B9489" s="18" t="n">
        <v>668075.711903824</v>
      </c>
      <c r="C9489" s="18" t="n">
        <v>0</v>
      </c>
      <c r="D9489" s="0" t="n">
        <v>0</v>
      </c>
      <c r="E9489" s="19" t="n">
        <v>35.1666666666667</v>
      </c>
    </row>
    <row r="9490" customFormat="false" ht="15" hidden="false" customHeight="false" outlineLevel="0" collapsed="false">
      <c r="A9490" s="0" t="n">
        <v>9489</v>
      </c>
      <c r="B9490" s="18" t="n">
        <v>1382011.00875669</v>
      </c>
      <c r="C9490" s="18" t="n">
        <v>751830.84457842</v>
      </c>
      <c r="D9490" s="0" t="n">
        <v>1</v>
      </c>
    </row>
    <row r="9491" customFormat="false" ht="15" hidden="false" customHeight="false" outlineLevel="0" collapsed="false">
      <c r="A9491" s="0" t="n">
        <v>9490</v>
      </c>
      <c r="B9491" s="18" t="n">
        <v>691485.181673065</v>
      </c>
      <c r="C9491" s="18" t="n">
        <v>0</v>
      </c>
      <c r="D9491" s="0" t="n">
        <v>0</v>
      </c>
      <c r="E9491" s="19" t="n">
        <v>36.3333333333333</v>
      </c>
    </row>
    <row r="9492" customFormat="false" ht="15" hidden="false" customHeight="false" outlineLevel="0" collapsed="false">
      <c r="A9492" s="0" t="n">
        <v>9491</v>
      </c>
      <c r="B9492" s="18" t="n">
        <v>1515395.16293479</v>
      </c>
      <c r="C9492" s="18" t="n">
        <v>18120857.6063326</v>
      </c>
      <c r="D9492" s="0" t="n">
        <v>1</v>
      </c>
    </row>
    <row r="9493" customFormat="false" ht="15" hidden="false" customHeight="false" outlineLevel="0" collapsed="false">
      <c r="A9493" s="0" t="n">
        <v>9492</v>
      </c>
      <c r="B9493" s="18" t="n">
        <v>1050813.29928819</v>
      </c>
      <c r="C9493" s="18" t="n">
        <v>0</v>
      </c>
      <c r="D9493" s="0" t="n">
        <v>0</v>
      </c>
      <c r="E9493" s="19" t="n">
        <v>49.4166666666667</v>
      </c>
    </row>
    <row r="9494" customFormat="false" ht="15" hidden="false" customHeight="false" outlineLevel="0" collapsed="false">
      <c r="A9494" s="0" t="n">
        <v>9493</v>
      </c>
      <c r="B9494" s="18" t="n">
        <v>2097632.84084903</v>
      </c>
      <c r="C9494" s="18" t="n">
        <v>560422.177862024</v>
      </c>
      <c r="D9494" s="0" t="n">
        <v>1</v>
      </c>
    </row>
    <row r="9495" customFormat="false" ht="15" hidden="false" customHeight="false" outlineLevel="0" collapsed="false">
      <c r="A9495" s="0" t="n">
        <v>9494</v>
      </c>
      <c r="B9495" s="18" t="n">
        <v>490562.032253427</v>
      </c>
      <c r="C9495" s="18" t="n">
        <v>0</v>
      </c>
      <c r="D9495" s="0" t="n">
        <v>0</v>
      </c>
      <c r="E9495" s="19" t="n">
        <v>44.9166666666667</v>
      </c>
    </row>
    <row r="9496" customFormat="false" ht="15" hidden="false" customHeight="false" outlineLevel="0" collapsed="false">
      <c r="A9496" s="0" t="n">
        <v>9495</v>
      </c>
      <c r="B9496" s="18" t="n">
        <v>1125930.23487225</v>
      </c>
      <c r="C9496" s="18" t="n">
        <v>11102892.999802</v>
      </c>
      <c r="D9496" s="0" t="n">
        <v>1</v>
      </c>
    </row>
    <row r="9497" customFormat="false" ht="15" hidden="false" customHeight="false" outlineLevel="0" collapsed="false">
      <c r="A9497" s="0" t="n">
        <v>9496</v>
      </c>
      <c r="B9497" s="18" t="n">
        <v>734166.401399825</v>
      </c>
      <c r="C9497" s="18" t="n">
        <v>0</v>
      </c>
      <c r="D9497" s="0" t="n">
        <v>0</v>
      </c>
      <c r="E9497" s="19" t="n">
        <v>51.75</v>
      </c>
    </row>
    <row r="9498" customFormat="false" ht="15" hidden="false" customHeight="false" outlineLevel="0" collapsed="false">
      <c r="A9498" s="0" t="n">
        <v>9497</v>
      </c>
      <c r="B9498" s="18" t="n">
        <v>541650.108974229</v>
      </c>
      <c r="C9498" s="18" t="n">
        <v>0</v>
      </c>
      <c r="D9498" s="0" t="n">
        <v>0</v>
      </c>
      <c r="E9498" s="19" t="n">
        <v>34.0833333333333</v>
      </c>
    </row>
    <row r="9499" customFormat="false" ht="15" hidden="false" customHeight="false" outlineLevel="0" collapsed="false">
      <c r="A9499" s="0" t="n">
        <v>9498</v>
      </c>
      <c r="B9499" s="18" t="n">
        <v>873895.022053086</v>
      </c>
      <c r="C9499" s="18" t="n">
        <v>0</v>
      </c>
      <c r="D9499" s="0" t="n">
        <v>0</v>
      </c>
      <c r="E9499" s="19" t="n">
        <v>41.8333333333333</v>
      </c>
    </row>
    <row r="9500" customFormat="false" ht="15" hidden="false" customHeight="false" outlineLevel="0" collapsed="false">
      <c r="A9500" s="0" t="n">
        <v>9499</v>
      </c>
      <c r="B9500" s="18" t="n">
        <v>623807.633733954</v>
      </c>
      <c r="C9500" s="18" t="n">
        <v>0</v>
      </c>
      <c r="D9500" s="0" t="n">
        <v>0</v>
      </c>
      <c r="E9500" s="19" t="n">
        <v>37.25</v>
      </c>
    </row>
    <row r="9501" customFormat="false" ht="15" hidden="false" customHeight="false" outlineLevel="0" collapsed="false">
      <c r="A9501" s="0" t="n">
        <v>9500</v>
      </c>
      <c r="B9501" s="18" t="n">
        <v>2078326.81666841</v>
      </c>
      <c r="C9501" s="18" t="n">
        <v>4666758.0354432</v>
      </c>
      <c r="D9501" s="0" t="n">
        <v>1</v>
      </c>
    </row>
    <row r="9502" customFormat="false" ht="15" hidden="false" customHeight="false" outlineLevel="0" collapsed="false">
      <c r="A9502" s="0" t="n">
        <v>9501</v>
      </c>
      <c r="B9502" s="18" t="n">
        <v>1086265.72493889</v>
      </c>
      <c r="C9502" s="18" t="n">
        <v>0</v>
      </c>
      <c r="D9502" s="0" t="n">
        <v>0</v>
      </c>
      <c r="E9502" s="19" t="n">
        <v>54.5</v>
      </c>
    </row>
    <row r="9503" customFormat="false" ht="15" hidden="false" customHeight="false" outlineLevel="0" collapsed="false">
      <c r="A9503" s="0" t="n">
        <v>9502</v>
      </c>
      <c r="B9503" s="18" t="n">
        <v>2651011.10615189</v>
      </c>
      <c r="C9503" s="18" t="n">
        <v>4421826.72720766</v>
      </c>
      <c r="D9503" s="0" t="n">
        <v>1</v>
      </c>
    </row>
    <row r="9504" customFormat="false" ht="15" hidden="false" customHeight="false" outlineLevel="0" collapsed="false">
      <c r="A9504" s="0" t="n">
        <v>9503</v>
      </c>
      <c r="B9504" s="18" t="n">
        <v>1256600.83610596</v>
      </c>
      <c r="C9504" s="18" t="n">
        <v>5488115.48090798</v>
      </c>
      <c r="D9504" s="0" t="n">
        <v>1</v>
      </c>
    </row>
    <row r="9505" customFormat="false" ht="15" hidden="false" customHeight="false" outlineLevel="0" collapsed="false">
      <c r="A9505" s="0" t="n">
        <v>9504</v>
      </c>
      <c r="B9505" s="18" t="n">
        <v>1128542.84364323</v>
      </c>
      <c r="C9505" s="18" t="n">
        <v>8668545.05318914</v>
      </c>
      <c r="D9505" s="0" t="n">
        <v>1</v>
      </c>
    </row>
    <row r="9506" customFormat="false" ht="15" hidden="false" customHeight="false" outlineLevel="0" collapsed="false">
      <c r="A9506" s="0" t="n">
        <v>9505</v>
      </c>
      <c r="B9506" s="18" t="n">
        <v>773197.608376606</v>
      </c>
      <c r="C9506" s="18" t="n">
        <v>0</v>
      </c>
      <c r="D9506" s="0" t="n">
        <v>0</v>
      </c>
      <c r="E9506" s="19" t="n">
        <v>40</v>
      </c>
    </row>
    <row r="9507" customFormat="false" ht="15" hidden="false" customHeight="false" outlineLevel="0" collapsed="false">
      <c r="A9507" s="0" t="n">
        <v>9506</v>
      </c>
      <c r="B9507" s="18" t="n">
        <v>974191.936619284</v>
      </c>
      <c r="C9507" s="18" t="n">
        <v>0</v>
      </c>
      <c r="D9507" s="0" t="n">
        <v>0</v>
      </c>
      <c r="E9507" s="19" t="n">
        <v>54.0833333333333</v>
      </c>
    </row>
    <row r="9508" customFormat="false" ht="15" hidden="false" customHeight="false" outlineLevel="0" collapsed="false">
      <c r="A9508" s="0" t="n">
        <v>9507</v>
      </c>
      <c r="B9508" s="18" t="n">
        <v>825735.71170118</v>
      </c>
      <c r="C9508" s="18" t="n">
        <v>0</v>
      </c>
      <c r="D9508" s="0" t="n">
        <v>0</v>
      </c>
      <c r="E9508" s="19" t="n">
        <v>39.8333333333333</v>
      </c>
    </row>
    <row r="9509" customFormat="false" ht="15" hidden="false" customHeight="false" outlineLevel="0" collapsed="false">
      <c r="A9509" s="0" t="n">
        <v>9508</v>
      </c>
      <c r="B9509" s="18" t="n">
        <v>976708.929517659</v>
      </c>
      <c r="C9509" s="18" t="n">
        <v>2061582.79175232</v>
      </c>
      <c r="D9509" s="0" t="n">
        <v>1</v>
      </c>
    </row>
    <row r="9510" customFormat="false" ht="15" hidden="false" customHeight="false" outlineLevel="0" collapsed="false">
      <c r="A9510" s="0" t="n">
        <v>9509</v>
      </c>
      <c r="B9510" s="18" t="n">
        <v>821832.9206611</v>
      </c>
      <c r="C9510" s="18" t="n">
        <v>0</v>
      </c>
      <c r="D9510" s="0" t="n">
        <v>0</v>
      </c>
      <c r="E9510" s="19" t="n">
        <v>52.5833333333333</v>
      </c>
    </row>
    <row r="9511" customFormat="false" ht="15" hidden="false" customHeight="false" outlineLevel="0" collapsed="false">
      <c r="A9511" s="0" t="n">
        <v>9510</v>
      </c>
      <c r="B9511" s="18" t="n">
        <v>449843.5393081</v>
      </c>
      <c r="C9511" s="18" t="n">
        <v>0</v>
      </c>
      <c r="D9511" s="0" t="n">
        <v>0</v>
      </c>
      <c r="E9511" s="19" t="n">
        <v>42</v>
      </c>
    </row>
    <row r="9512" customFormat="false" ht="15" hidden="false" customHeight="false" outlineLevel="0" collapsed="false">
      <c r="A9512" s="0" t="n">
        <v>9511</v>
      </c>
      <c r="B9512" s="18" t="n">
        <v>745881.29998184</v>
      </c>
      <c r="C9512" s="18" t="n">
        <v>0</v>
      </c>
      <c r="D9512" s="0" t="n">
        <v>0</v>
      </c>
      <c r="E9512" s="19" t="n">
        <v>39.5</v>
      </c>
    </row>
    <row r="9513" customFormat="false" ht="15" hidden="false" customHeight="false" outlineLevel="0" collapsed="false">
      <c r="A9513" s="0" t="n">
        <v>9512</v>
      </c>
      <c r="B9513" s="18" t="n">
        <v>660928.126367897</v>
      </c>
      <c r="C9513" s="18" t="n">
        <v>722635.671993032</v>
      </c>
      <c r="D9513" s="0" t="n">
        <v>1</v>
      </c>
    </row>
    <row r="9514" customFormat="false" ht="15" hidden="false" customHeight="false" outlineLevel="0" collapsed="false">
      <c r="A9514" s="0" t="n">
        <v>9513</v>
      </c>
      <c r="B9514" s="18" t="n">
        <v>3724960.89423216</v>
      </c>
      <c r="C9514" s="18" t="n">
        <v>631921.527667496</v>
      </c>
      <c r="D9514" s="0" t="n">
        <v>1</v>
      </c>
    </row>
    <row r="9515" customFormat="false" ht="15" hidden="false" customHeight="false" outlineLevel="0" collapsed="false">
      <c r="A9515" s="0" t="n">
        <v>9514</v>
      </c>
      <c r="B9515" s="18" t="n">
        <v>925137.533493047</v>
      </c>
      <c r="C9515" s="18" t="n">
        <v>0</v>
      </c>
      <c r="D9515" s="0" t="n">
        <v>0</v>
      </c>
      <c r="E9515" s="19" t="n">
        <v>44.0833333333333</v>
      </c>
    </row>
    <row r="9516" customFormat="false" ht="15" hidden="false" customHeight="false" outlineLevel="0" collapsed="false">
      <c r="A9516" s="0" t="n">
        <v>9515</v>
      </c>
      <c r="B9516" s="18" t="n">
        <v>503806.561227411</v>
      </c>
      <c r="C9516" s="18" t="n">
        <v>0</v>
      </c>
      <c r="D9516" s="0" t="n">
        <v>0</v>
      </c>
      <c r="E9516" s="19" t="n">
        <v>35</v>
      </c>
    </row>
    <row r="9517" customFormat="false" ht="15" hidden="false" customHeight="false" outlineLevel="0" collapsed="false">
      <c r="A9517" s="0" t="n">
        <v>9516</v>
      </c>
      <c r="B9517" s="18" t="n">
        <v>574347.661355503</v>
      </c>
      <c r="C9517" s="18" t="n">
        <v>0</v>
      </c>
      <c r="D9517" s="0" t="n">
        <v>0</v>
      </c>
      <c r="E9517" s="19" t="n">
        <v>36.9166666666667</v>
      </c>
    </row>
    <row r="9518" customFormat="false" ht="15" hidden="false" customHeight="false" outlineLevel="0" collapsed="false">
      <c r="A9518" s="0" t="n">
        <v>9517</v>
      </c>
      <c r="B9518" s="18" t="n">
        <v>443613.126757977</v>
      </c>
      <c r="C9518" s="18" t="n">
        <v>0</v>
      </c>
      <c r="D9518" s="0" t="n">
        <v>0</v>
      </c>
      <c r="E9518" s="19" t="n">
        <v>35</v>
      </c>
    </row>
    <row r="9519" customFormat="false" ht="15" hidden="false" customHeight="false" outlineLevel="0" collapsed="false">
      <c r="A9519" s="0" t="n">
        <v>9518</v>
      </c>
      <c r="B9519" s="18" t="n">
        <v>1365355.62466414</v>
      </c>
      <c r="C9519" s="18" t="n">
        <v>4301319.13829796</v>
      </c>
      <c r="D9519" s="0" t="n">
        <v>1</v>
      </c>
    </row>
    <row r="9520" customFormat="false" ht="15" hidden="false" customHeight="false" outlineLevel="0" collapsed="false">
      <c r="A9520" s="0" t="n">
        <v>9519</v>
      </c>
      <c r="B9520" s="18" t="n">
        <v>1159130.99150455</v>
      </c>
      <c r="C9520" s="18" t="n">
        <v>0</v>
      </c>
      <c r="D9520" s="0" t="n">
        <v>0</v>
      </c>
      <c r="E9520" s="19" t="n">
        <v>40</v>
      </c>
    </row>
    <row r="9521" customFormat="false" ht="15" hidden="false" customHeight="false" outlineLevel="0" collapsed="false">
      <c r="A9521" s="0" t="n">
        <v>9520</v>
      </c>
      <c r="B9521" s="18" t="n">
        <v>1035937.03344664</v>
      </c>
      <c r="C9521" s="18" t="n">
        <v>12219801.6051262</v>
      </c>
      <c r="D9521" s="0" t="n">
        <v>1</v>
      </c>
    </row>
    <row r="9522" customFormat="false" ht="15" hidden="false" customHeight="false" outlineLevel="0" collapsed="false">
      <c r="A9522" s="0" t="n">
        <v>9521</v>
      </c>
      <c r="B9522" s="18" t="n">
        <v>343479.564221188</v>
      </c>
      <c r="C9522" s="18" t="n">
        <v>0</v>
      </c>
      <c r="D9522" s="0" t="n">
        <v>0</v>
      </c>
      <c r="E9522" s="19" t="n">
        <v>30.5833333333333</v>
      </c>
    </row>
    <row r="9523" customFormat="false" ht="15" hidden="false" customHeight="false" outlineLevel="0" collapsed="false">
      <c r="A9523" s="0" t="n">
        <v>9522</v>
      </c>
      <c r="B9523" s="18" t="n">
        <v>317831.278593008</v>
      </c>
      <c r="C9523" s="18" t="n">
        <v>0</v>
      </c>
      <c r="D9523" s="0" t="n">
        <v>0</v>
      </c>
      <c r="E9523" s="19" t="n">
        <v>31</v>
      </c>
    </row>
    <row r="9524" customFormat="false" ht="15" hidden="false" customHeight="false" outlineLevel="0" collapsed="false">
      <c r="A9524" s="0" t="n">
        <v>9523</v>
      </c>
      <c r="B9524" s="18" t="n">
        <v>742009.790231733</v>
      </c>
      <c r="C9524" s="18" t="n">
        <v>0</v>
      </c>
      <c r="D9524" s="0" t="n">
        <v>0</v>
      </c>
      <c r="E9524" s="19" t="n">
        <v>43.0833333333333</v>
      </c>
    </row>
    <row r="9525" customFormat="false" ht="15" hidden="false" customHeight="false" outlineLevel="0" collapsed="false">
      <c r="A9525" s="0" t="n">
        <v>9524</v>
      </c>
      <c r="B9525" s="18" t="n">
        <v>569524.734945075</v>
      </c>
      <c r="C9525" s="18" t="n">
        <v>0</v>
      </c>
      <c r="D9525" s="0" t="n">
        <v>0</v>
      </c>
      <c r="E9525" s="19" t="n">
        <v>36.3333333333333</v>
      </c>
    </row>
    <row r="9526" customFormat="false" ht="15" hidden="false" customHeight="false" outlineLevel="0" collapsed="false">
      <c r="A9526" s="0" t="n">
        <v>9525</v>
      </c>
      <c r="B9526" s="18" t="n">
        <v>817935.433149525</v>
      </c>
      <c r="C9526" s="18" t="n">
        <v>0</v>
      </c>
      <c r="D9526" s="0" t="n">
        <v>0</v>
      </c>
      <c r="E9526" s="19" t="n">
        <v>47.8333333333333</v>
      </c>
    </row>
    <row r="9527" customFormat="false" ht="15" hidden="false" customHeight="false" outlineLevel="0" collapsed="false">
      <c r="A9527" s="0" t="n">
        <v>9526</v>
      </c>
      <c r="B9527" s="18" t="n">
        <v>553471.858147523</v>
      </c>
      <c r="C9527" s="18" t="n">
        <v>0</v>
      </c>
      <c r="D9527" s="0" t="n">
        <v>0</v>
      </c>
      <c r="E9527" s="19" t="n">
        <v>32.25</v>
      </c>
    </row>
    <row r="9528" customFormat="false" ht="15" hidden="false" customHeight="false" outlineLevel="0" collapsed="false">
      <c r="A9528" s="0" t="n">
        <v>9527</v>
      </c>
      <c r="B9528" s="18" t="n">
        <v>462557.015478762</v>
      </c>
      <c r="C9528" s="18" t="n">
        <v>0</v>
      </c>
      <c r="D9528" s="0" t="n">
        <v>0</v>
      </c>
      <c r="E9528" s="19" t="n">
        <v>38.8333333333333</v>
      </c>
    </row>
    <row r="9529" customFormat="false" ht="15" hidden="false" customHeight="false" outlineLevel="0" collapsed="false">
      <c r="A9529" s="0" t="n">
        <v>9528</v>
      </c>
      <c r="B9529" s="18" t="n">
        <v>477651.518276937</v>
      </c>
      <c r="C9529" s="18" t="n">
        <v>0</v>
      </c>
      <c r="D9529" s="0" t="n">
        <v>0</v>
      </c>
      <c r="E9529" s="19" t="n">
        <v>32.5833333333333</v>
      </c>
    </row>
    <row r="9530" customFormat="false" ht="15" hidden="false" customHeight="false" outlineLevel="0" collapsed="false">
      <c r="A9530" s="0" t="n">
        <v>9529</v>
      </c>
      <c r="B9530" s="18" t="n">
        <v>866613.690830872</v>
      </c>
      <c r="C9530" s="18" t="n">
        <v>1028869.48892754</v>
      </c>
      <c r="D9530" s="0" t="n">
        <v>1</v>
      </c>
    </row>
    <row r="9531" customFormat="false" ht="15" hidden="false" customHeight="false" outlineLevel="0" collapsed="false">
      <c r="A9531" s="0" t="n">
        <v>9530</v>
      </c>
      <c r="B9531" s="18" t="n">
        <v>468215.258401628</v>
      </c>
      <c r="C9531" s="18" t="n">
        <v>0</v>
      </c>
      <c r="D9531" s="0" t="n">
        <v>0</v>
      </c>
      <c r="E9531" s="19" t="n">
        <v>35</v>
      </c>
    </row>
    <row r="9532" customFormat="false" ht="15" hidden="false" customHeight="false" outlineLevel="0" collapsed="false">
      <c r="A9532" s="0" t="n">
        <v>9531</v>
      </c>
      <c r="B9532" s="18" t="n">
        <v>2374615.44903508</v>
      </c>
      <c r="C9532" s="18" t="n">
        <v>28746438.3723609</v>
      </c>
      <c r="D9532" s="0" t="n">
        <v>1</v>
      </c>
    </row>
    <row r="9533" customFormat="false" ht="15" hidden="false" customHeight="false" outlineLevel="0" collapsed="false">
      <c r="A9533" s="0" t="n">
        <v>9532</v>
      </c>
      <c r="B9533" s="18" t="n">
        <v>440250.264049059</v>
      </c>
      <c r="C9533" s="18" t="n">
        <v>0</v>
      </c>
      <c r="D9533" s="0" t="n">
        <v>0</v>
      </c>
      <c r="E9533" s="19" t="n">
        <v>36.25</v>
      </c>
    </row>
    <row r="9534" customFormat="false" ht="15" hidden="false" customHeight="false" outlineLevel="0" collapsed="false">
      <c r="A9534" s="0" t="n">
        <v>9533</v>
      </c>
      <c r="B9534" s="18" t="n">
        <v>3063855.72923445</v>
      </c>
      <c r="C9534" s="18" t="n">
        <v>38259356.3247288</v>
      </c>
      <c r="D9534" s="0" t="n">
        <v>1</v>
      </c>
    </row>
    <row r="9535" customFormat="false" ht="15" hidden="false" customHeight="false" outlineLevel="0" collapsed="false">
      <c r="A9535" s="0" t="n">
        <v>9534</v>
      </c>
      <c r="B9535" s="18" t="n">
        <v>578043.423419137</v>
      </c>
      <c r="C9535" s="18" t="n">
        <v>0</v>
      </c>
      <c r="D9535" s="0" t="n">
        <v>0</v>
      </c>
      <c r="E9535" s="19" t="n">
        <v>32.9166666666667</v>
      </c>
    </row>
    <row r="9536" customFormat="false" ht="15" hidden="false" customHeight="false" outlineLevel="0" collapsed="false">
      <c r="A9536" s="0" t="n">
        <v>9535</v>
      </c>
      <c r="B9536" s="18" t="n">
        <v>1504959.63410442</v>
      </c>
      <c r="C9536" s="18" t="n">
        <v>0</v>
      </c>
      <c r="D9536" s="0" t="n">
        <v>0</v>
      </c>
      <c r="E9536" s="19" t="n">
        <v>45.0833333333333</v>
      </c>
    </row>
    <row r="9537" customFormat="false" ht="15" hidden="false" customHeight="false" outlineLevel="0" collapsed="false">
      <c r="A9537" s="0" t="n">
        <v>9536</v>
      </c>
      <c r="B9537" s="18" t="n">
        <v>552623.210140006</v>
      </c>
      <c r="C9537" s="18" t="n">
        <v>0</v>
      </c>
      <c r="D9537" s="0" t="n">
        <v>0</v>
      </c>
      <c r="E9537" s="19" t="n">
        <v>35.75</v>
      </c>
    </row>
    <row r="9538" customFormat="false" ht="15" hidden="false" customHeight="false" outlineLevel="0" collapsed="false">
      <c r="A9538" s="0" t="n">
        <v>9537</v>
      </c>
      <c r="B9538" s="18" t="n">
        <v>1333131.12951709</v>
      </c>
      <c r="C9538" s="18" t="n">
        <v>394323.743416411</v>
      </c>
      <c r="D9538" s="0" t="n">
        <v>1</v>
      </c>
    </row>
    <row r="9539" customFormat="false" ht="15" hidden="false" customHeight="false" outlineLevel="0" collapsed="false">
      <c r="A9539" s="0" t="n">
        <v>9538</v>
      </c>
      <c r="B9539" s="18" t="n">
        <v>844852.388672135</v>
      </c>
      <c r="C9539" s="18" t="n">
        <v>0</v>
      </c>
      <c r="D9539" s="0" t="n">
        <v>0</v>
      </c>
      <c r="E9539" s="19" t="n">
        <v>39.5</v>
      </c>
    </row>
    <row r="9540" customFormat="false" ht="15" hidden="false" customHeight="false" outlineLevel="0" collapsed="false">
      <c r="A9540" s="0" t="n">
        <v>9539</v>
      </c>
      <c r="B9540" s="18" t="n">
        <v>1844657.58186595</v>
      </c>
      <c r="C9540" s="18" t="n">
        <v>9090159.25952669</v>
      </c>
      <c r="D9540" s="0" t="n">
        <v>1</v>
      </c>
    </row>
    <row r="9541" customFormat="false" ht="15" hidden="false" customHeight="false" outlineLevel="0" collapsed="false">
      <c r="A9541" s="0" t="n">
        <v>9540</v>
      </c>
      <c r="B9541" s="18" t="n">
        <v>408106.960007635</v>
      </c>
      <c r="C9541" s="18" t="n">
        <v>0</v>
      </c>
      <c r="D9541" s="0" t="n">
        <v>0</v>
      </c>
      <c r="E9541" s="19" t="n">
        <v>33.5833333333333</v>
      </c>
    </row>
    <row r="9542" customFormat="false" ht="15" hidden="false" customHeight="false" outlineLevel="0" collapsed="false">
      <c r="A9542" s="0" t="n">
        <v>9541</v>
      </c>
      <c r="B9542" s="18" t="n">
        <v>893977.186457491</v>
      </c>
      <c r="C9542" s="18" t="n">
        <v>0</v>
      </c>
      <c r="D9542" s="0" t="n">
        <v>0</v>
      </c>
      <c r="E9542" s="19" t="n">
        <v>44.4166666666667</v>
      </c>
    </row>
    <row r="9543" customFormat="false" ht="15" hidden="false" customHeight="false" outlineLevel="0" collapsed="false">
      <c r="A9543" s="0" t="n">
        <v>9542</v>
      </c>
      <c r="B9543" s="18" t="n">
        <v>699156.577771836</v>
      </c>
      <c r="C9543" s="18" t="n">
        <v>0</v>
      </c>
      <c r="D9543" s="0" t="n">
        <v>0</v>
      </c>
      <c r="E9543" s="19" t="n">
        <v>39.4166666666667</v>
      </c>
    </row>
    <row r="9544" customFormat="false" ht="15" hidden="false" customHeight="false" outlineLevel="0" collapsed="false">
      <c r="A9544" s="0" t="n">
        <v>9543</v>
      </c>
      <c r="B9544" s="18" t="n">
        <v>1206380.6088199</v>
      </c>
      <c r="C9544" s="18" t="n">
        <v>6000945.10686552</v>
      </c>
      <c r="D9544" s="0" t="n">
        <v>1</v>
      </c>
    </row>
    <row r="9545" customFormat="false" ht="15" hidden="false" customHeight="false" outlineLevel="0" collapsed="false">
      <c r="A9545" s="0" t="n">
        <v>9544</v>
      </c>
      <c r="B9545" s="18" t="n">
        <v>348490.444736256</v>
      </c>
      <c r="C9545" s="18" t="n">
        <v>0</v>
      </c>
      <c r="D9545" s="0" t="n">
        <v>0</v>
      </c>
      <c r="E9545" s="19" t="n">
        <v>34.1666666666667</v>
      </c>
    </row>
    <row r="9546" customFormat="false" ht="15" hidden="false" customHeight="false" outlineLevel="0" collapsed="false">
      <c r="A9546" s="0" t="n">
        <v>9545</v>
      </c>
      <c r="B9546" s="18" t="n">
        <v>779896.643176253</v>
      </c>
      <c r="C9546" s="18" t="n">
        <v>0</v>
      </c>
      <c r="D9546" s="0" t="n">
        <v>0</v>
      </c>
      <c r="E9546" s="19" t="n">
        <v>41.0833333333333</v>
      </c>
    </row>
    <row r="9547" customFormat="false" ht="15" hidden="false" customHeight="false" outlineLevel="0" collapsed="false">
      <c r="A9547" s="0" t="n">
        <v>9546</v>
      </c>
      <c r="B9547" s="18" t="n">
        <v>460305.243747978</v>
      </c>
      <c r="C9547" s="18" t="n">
        <v>0</v>
      </c>
      <c r="D9547" s="0" t="n">
        <v>0</v>
      </c>
      <c r="E9547" s="19" t="n">
        <v>31.3333333333333</v>
      </c>
    </row>
    <row r="9548" customFormat="false" ht="15" hidden="false" customHeight="false" outlineLevel="0" collapsed="false">
      <c r="A9548" s="0" t="n">
        <v>9547</v>
      </c>
      <c r="B9548" s="18" t="n">
        <v>879982.189042855</v>
      </c>
      <c r="C9548" s="18" t="n">
        <v>0</v>
      </c>
      <c r="D9548" s="0" t="n">
        <v>0</v>
      </c>
      <c r="E9548" s="19" t="n">
        <v>37.6666666666667</v>
      </c>
    </row>
    <row r="9549" customFormat="false" ht="15" hidden="false" customHeight="false" outlineLevel="0" collapsed="false">
      <c r="A9549" s="0" t="n">
        <v>9548</v>
      </c>
      <c r="B9549" s="18" t="n">
        <v>523414.163056826</v>
      </c>
      <c r="C9549" s="18" t="n">
        <v>0</v>
      </c>
      <c r="D9549" s="0" t="n">
        <v>0</v>
      </c>
      <c r="E9549" s="19" t="n">
        <v>36.5</v>
      </c>
    </row>
    <row r="9550" customFormat="false" ht="15" hidden="false" customHeight="false" outlineLevel="0" collapsed="false">
      <c r="A9550" s="0" t="n">
        <v>9549</v>
      </c>
      <c r="B9550" s="18" t="n">
        <v>2868676.22547155</v>
      </c>
      <c r="C9550" s="18" t="n">
        <v>4918197.42019505</v>
      </c>
      <c r="D9550" s="0" t="n">
        <v>1</v>
      </c>
    </row>
    <row r="9551" customFormat="false" ht="15" hidden="false" customHeight="false" outlineLevel="0" collapsed="false">
      <c r="A9551" s="0" t="n">
        <v>9550</v>
      </c>
      <c r="B9551" s="18" t="n">
        <v>759326.684673606</v>
      </c>
      <c r="C9551" s="18" t="n">
        <v>0</v>
      </c>
      <c r="D9551" s="0" t="n">
        <v>0</v>
      </c>
      <c r="E9551" s="19" t="n">
        <v>37.8333333333333</v>
      </c>
    </row>
    <row r="9552" customFormat="false" ht="15" hidden="false" customHeight="false" outlineLevel="0" collapsed="false">
      <c r="A9552" s="0" t="n">
        <v>9551</v>
      </c>
      <c r="B9552" s="18" t="n">
        <v>1784816.25347786</v>
      </c>
      <c r="C9552" s="18" t="n">
        <v>4344225.13989498</v>
      </c>
      <c r="D9552" s="0" t="n">
        <v>1</v>
      </c>
    </row>
    <row r="9553" customFormat="false" ht="15" hidden="false" customHeight="false" outlineLevel="0" collapsed="false">
      <c r="A9553" s="0" t="n">
        <v>9552</v>
      </c>
      <c r="B9553" s="18" t="n">
        <v>465573.141711246</v>
      </c>
      <c r="C9553" s="18" t="n">
        <v>0</v>
      </c>
      <c r="D9553" s="0" t="n">
        <v>0</v>
      </c>
      <c r="E9553" s="19" t="n">
        <v>34.1666666666667</v>
      </c>
    </row>
    <row r="9554" customFormat="false" ht="15" hidden="false" customHeight="false" outlineLevel="0" collapsed="false">
      <c r="A9554" s="0" t="n">
        <v>9553</v>
      </c>
      <c r="B9554" s="18" t="n">
        <v>886209.889773051</v>
      </c>
      <c r="C9554" s="18" t="n">
        <v>0</v>
      </c>
      <c r="D9554" s="0" t="n">
        <v>0</v>
      </c>
      <c r="E9554" s="19" t="n">
        <v>39.8333333333333</v>
      </c>
    </row>
    <row r="9555" customFormat="false" ht="15" hidden="false" customHeight="false" outlineLevel="0" collapsed="false">
      <c r="A9555" s="0" t="n">
        <v>9554</v>
      </c>
      <c r="B9555" s="18" t="n">
        <v>548006.870113295</v>
      </c>
      <c r="C9555" s="18" t="n">
        <v>0</v>
      </c>
      <c r="D9555" s="0" t="n">
        <v>0</v>
      </c>
      <c r="E9555" s="19" t="n">
        <v>39.0833333333333</v>
      </c>
    </row>
    <row r="9556" customFormat="false" ht="15" hidden="false" customHeight="false" outlineLevel="0" collapsed="false">
      <c r="A9556" s="0" t="n">
        <v>9555</v>
      </c>
      <c r="B9556" s="18" t="n">
        <v>1636304.31587289</v>
      </c>
      <c r="C9556" s="18" t="n">
        <v>4264751.88499545</v>
      </c>
      <c r="D9556" s="0" t="n">
        <v>1</v>
      </c>
    </row>
    <row r="9557" customFormat="false" ht="15" hidden="false" customHeight="false" outlineLevel="0" collapsed="false">
      <c r="A9557" s="0" t="n">
        <v>9556</v>
      </c>
      <c r="B9557" s="18" t="n">
        <v>1865639.26333974</v>
      </c>
      <c r="C9557" s="18" t="n">
        <v>3481393.02797953</v>
      </c>
      <c r="D9557" s="0" t="n">
        <v>1</v>
      </c>
    </row>
    <row r="9558" customFormat="false" ht="15" hidden="false" customHeight="false" outlineLevel="0" collapsed="false">
      <c r="A9558" s="0" t="n">
        <v>9557</v>
      </c>
      <c r="B9558" s="18" t="n">
        <v>980690.935318332</v>
      </c>
      <c r="C9558" s="18" t="n">
        <v>8434905.00544927</v>
      </c>
      <c r="D9558" s="0" t="n">
        <v>1</v>
      </c>
    </row>
    <row r="9559" customFormat="false" ht="15" hidden="false" customHeight="false" outlineLevel="0" collapsed="false">
      <c r="A9559" s="0" t="n">
        <v>9558</v>
      </c>
      <c r="B9559" s="18" t="n">
        <v>296311.033709666</v>
      </c>
      <c r="C9559" s="18" t="n">
        <v>0</v>
      </c>
      <c r="D9559" s="0" t="n">
        <v>0</v>
      </c>
      <c r="E9559" s="19" t="n">
        <v>29.6666666666667</v>
      </c>
    </row>
    <row r="9560" customFormat="false" ht="15" hidden="false" customHeight="false" outlineLevel="0" collapsed="false">
      <c r="A9560" s="0" t="n">
        <v>9559</v>
      </c>
      <c r="B9560" s="18" t="n">
        <v>805859.045532086</v>
      </c>
      <c r="C9560" s="18" t="n">
        <v>0</v>
      </c>
      <c r="D9560" s="0" t="n">
        <v>0</v>
      </c>
      <c r="E9560" s="19" t="n">
        <v>39.1666666666667</v>
      </c>
    </row>
    <row r="9561" customFormat="false" ht="15" hidden="false" customHeight="false" outlineLevel="0" collapsed="false">
      <c r="A9561" s="0" t="n">
        <v>9560</v>
      </c>
      <c r="B9561" s="18" t="n">
        <v>702735.609112351</v>
      </c>
      <c r="C9561" s="18" t="n">
        <v>0</v>
      </c>
      <c r="D9561" s="0" t="n">
        <v>0</v>
      </c>
      <c r="E9561" s="19" t="n">
        <v>43</v>
      </c>
    </row>
    <row r="9562" customFormat="false" ht="15" hidden="false" customHeight="false" outlineLevel="0" collapsed="false">
      <c r="A9562" s="0" t="n">
        <v>9561</v>
      </c>
      <c r="B9562" s="18" t="n">
        <v>2369852.53268831</v>
      </c>
      <c r="C9562" s="18" t="n">
        <v>287190.786860146</v>
      </c>
      <c r="D9562" s="0" t="n">
        <v>1</v>
      </c>
    </row>
    <row r="9563" customFormat="false" ht="15" hidden="false" customHeight="false" outlineLevel="0" collapsed="false">
      <c r="A9563" s="0" t="n">
        <v>9562</v>
      </c>
      <c r="B9563" s="18" t="n">
        <v>555747.717265076</v>
      </c>
      <c r="C9563" s="18" t="n">
        <v>0</v>
      </c>
      <c r="D9563" s="0" t="n">
        <v>0</v>
      </c>
      <c r="E9563" s="19" t="n">
        <v>35.3333333333333</v>
      </c>
    </row>
    <row r="9564" customFormat="false" ht="15" hidden="false" customHeight="false" outlineLevel="0" collapsed="false">
      <c r="A9564" s="0" t="n">
        <v>9563</v>
      </c>
      <c r="B9564" s="18" t="n">
        <v>1890441.71883134</v>
      </c>
      <c r="C9564" s="18" t="n">
        <v>32950810.8187626</v>
      </c>
      <c r="D9564" s="0" t="n">
        <v>1</v>
      </c>
    </row>
    <row r="9565" customFormat="false" ht="15" hidden="false" customHeight="false" outlineLevel="0" collapsed="false">
      <c r="A9565" s="0" t="n">
        <v>9564</v>
      </c>
      <c r="B9565" s="18" t="n">
        <v>1105231.82248673</v>
      </c>
      <c r="C9565" s="18" t="n">
        <v>0</v>
      </c>
      <c r="D9565" s="0" t="n">
        <v>0</v>
      </c>
      <c r="E9565" s="19" t="n">
        <v>49</v>
      </c>
    </row>
    <row r="9566" customFormat="false" ht="15" hidden="false" customHeight="false" outlineLevel="0" collapsed="false">
      <c r="A9566" s="0" t="n">
        <v>9565</v>
      </c>
      <c r="B9566" s="18" t="n">
        <v>1895963.47389277</v>
      </c>
      <c r="C9566" s="18" t="n">
        <v>1878724.77878087</v>
      </c>
      <c r="D9566" s="0" t="n">
        <v>1</v>
      </c>
    </row>
    <row r="9567" customFormat="false" ht="15" hidden="false" customHeight="false" outlineLevel="0" collapsed="false">
      <c r="A9567" s="0" t="n">
        <v>9566</v>
      </c>
      <c r="B9567" s="18" t="n">
        <v>1255557.89364553</v>
      </c>
      <c r="C9567" s="18" t="n">
        <v>0</v>
      </c>
      <c r="D9567" s="0" t="n">
        <v>0</v>
      </c>
      <c r="E9567" s="19" t="n">
        <v>46.6666666666667</v>
      </c>
    </row>
    <row r="9568" customFormat="false" ht="15" hidden="false" customHeight="false" outlineLevel="0" collapsed="false">
      <c r="A9568" s="0" t="n">
        <v>9567</v>
      </c>
      <c r="B9568" s="18" t="n">
        <v>1602618.46272086</v>
      </c>
      <c r="C9568" s="18" t="n">
        <v>3073092.15076733</v>
      </c>
      <c r="D9568" s="0" t="n">
        <v>1</v>
      </c>
    </row>
    <row r="9569" customFormat="false" ht="15" hidden="false" customHeight="false" outlineLevel="0" collapsed="false">
      <c r="A9569" s="0" t="n">
        <v>9568</v>
      </c>
      <c r="B9569" s="18" t="n">
        <v>1074582.12426204</v>
      </c>
      <c r="C9569" s="18" t="n">
        <v>0</v>
      </c>
      <c r="D9569" s="0" t="n">
        <v>0</v>
      </c>
      <c r="E9569" s="19" t="n">
        <v>37.75</v>
      </c>
    </row>
    <row r="9570" customFormat="false" ht="15" hidden="false" customHeight="false" outlineLevel="0" collapsed="false">
      <c r="A9570" s="0" t="n">
        <v>9569</v>
      </c>
      <c r="B9570" s="18" t="n">
        <v>581604.547638901</v>
      </c>
      <c r="C9570" s="18" t="n">
        <v>0</v>
      </c>
      <c r="D9570" s="0" t="n">
        <v>0</v>
      </c>
      <c r="E9570" s="19" t="n">
        <v>41.6666666666667</v>
      </c>
    </row>
    <row r="9571" customFormat="false" ht="15" hidden="false" customHeight="false" outlineLevel="0" collapsed="false">
      <c r="A9571" s="0" t="n">
        <v>9570</v>
      </c>
      <c r="B9571" s="18" t="n">
        <v>255029.083690818</v>
      </c>
      <c r="C9571" s="18" t="n">
        <v>0</v>
      </c>
      <c r="D9571" s="0" t="n">
        <v>0</v>
      </c>
      <c r="E9571" s="19" t="n">
        <v>28.1666666666667</v>
      </c>
    </row>
    <row r="9572" customFormat="false" ht="15" hidden="false" customHeight="false" outlineLevel="0" collapsed="false">
      <c r="A9572" s="0" t="n">
        <v>9571</v>
      </c>
      <c r="B9572" s="18" t="n">
        <v>581497.421373475</v>
      </c>
      <c r="C9572" s="18" t="n">
        <v>0</v>
      </c>
      <c r="D9572" s="0" t="n">
        <v>0</v>
      </c>
      <c r="E9572" s="19" t="n">
        <v>36.8333333333333</v>
      </c>
    </row>
    <row r="9573" customFormat="false" ht="15" hidden="false" customHeight="false" outlineLevel="0" collapsed="false">
      <c r="A9573" s="0" t="n">
        <v>9572</v>
      </c>
      <c r="B9573" s="18" t="n">
        <v>1222534.90572923</v>
      </c>
      <c r="C9573" s="18" t="n">
        <v>1186075.06652522</v>
      </c>
      <c r="D9573" s="0" t="n">
        <v>1</v>
      </c>
    </row>
    <row r="9574" customFormat="false" ht="15" hidden="false" customHeight="false" outlineLevel="0" collapsed="false">
      <c r="A9574" s="0" t="n">
        <v>9573</v>
      </c>
      <c r="B9574" s="18" t="n">
        <v>878169.948916073</v>
      </c>
      <c r="C9574" s="18" t="n">
        <v>1352211.37702793</v>
      </c>
      <c r="D9574" s="0" t="n">
        <v>1</v>
      </c>
    </row>
    <row r="9575" customFormat="false" ht="15" hidden="false" customHeight="false" outlineLevel="0" collapsed="false">
      <c r="A9575" s="0" t="n">
        <v>9574</v>
      </c>
      <c r="B9575" s="18" t="n">
        <v>627146.973360169</v>
      </c>
      <c r="C9575" s="18" t="n">
        <v>0</v>
      </c>
      <c r="D9575" s="0" t="n">
        <v>0</v>
      </c>
      <c r="E9575" s="19" t="n">
        <v>38.9166666666667</v>
      </c>
    </row>
    <row r="9576" customFormat="false" ht="15" hidden="false" customHeight="false" outlineLevel="0" collapsed="false">
      <c r="A9576" s="0" t="n">
        <v>9575</v>
      </c>
      <c r="B9576" s="18" t="n">
        <v>1360035.46577507</v>
      </c>
      <c r="C9576" s="18" t="n">
        <v>0</v>
      </c>
      <c r="D9576" s="0" t="n">
        <v>0</v>
      </c>
      <c r="E9576" s="19" t="n">
        <v>48.25</v>
      </c>
    </row>
    <row r="9577" customFormat="false" ht="15" hidden="false" customHeight="false" outlineLevel="0" collapsed="false">
      <c r="A9577" s="0" t="n">
        <v>9576</v>
      </c>
      <c r="B9577" s="18" t="n">
        <v>406542.019265865</v>
      </c>
      <c r="C9577" s="18" t="n">
        <v>0</v>
      </c>
      <c r="D9577" s="0" t="n">
        <v>0</v>
      </c>
      <c r="E9577" s="19" t="n">
        <v>32</v>
      </c>
    </row>
    <row r="9578" customFormat="false" ht="15" hidden="false" customHeight="false" outlineLevel="0" collapsed="false">
      <c r="A9578" s="0" t="n">
        <v>9577</v>
      </c>
      <c r="B9578" s="18" t="n">
        <v>481162.581111708</v>
      </c>
      <c r="C9578" s="18" t="n">
        <v>0</v>
      </c>
      <c r="D9578" s="0" t="n">
        <v>0</v>
      </c>
      <c r="E9578" s="19" t="n">
        <v>37.25</v>
      </c>
    </row>
    <row r="9579" customFormat="false" ht="15" hidden="false" customHeight="false" outlineLevel="0" collapsed="false">
      <c r="A9579" s="0" t="n">
        <v>9578</v>
      </c>
      <c r="B9579" s="18" t="n">
        <v>999568.595599669</v>
      </c>
      <c r="C9579" s="18" t="n">
        <v>0</v>
      </c>
      <c r="D9579" s="0" t="n">
        <v>0</v>
      </c>
      <c r="E9579" s="19" t="n">
        <v>42</v>
      </c>
    </row>
    <row r="9580" customFormat="false" ht="15" hidden="false" customHeight="false" outlineLevel="0" collapsed="false">
      <c r="A9580" s="0" t="n">
        <v>9579</v>
      </c>
      <c r="B9580" s="18" t="n">
        <v>1219676.61389403</v>
      </c>
      <c r="C9580" s="18" t="n">
        <v>2947218.65612224</v>
      </c>
      <c r="D9580" s="0" t="n">
        <v>1</v>
      </c>
    </row>
    <row r="9581" customFormat="false" ht="15" hidden="false" customHeight="false" outlineLevel="0" collapsed="false">
      <c r="A9581" s="0" t="n">
        <v>9580</v>
      </c>
      <c r="B9581" s="18" t="n">
        <v>894884.323778154</v>
      </c>
      <c r="C9581" s="18" t="n">
        <v>0</v>
      </c>
      <c r="D9581" s="0" t="n">
        <v>0</v>
      </c>
      <c r="E9581" s="19" t="n">
        <v>46.5</v>
      </c>
    </row>
    <row r="9582" customFormat="false" ht="15" hidden="false" customHeight="false" outlineLevel="0" collapsed="false">
      <c r="A9582" s="0" t="n">
        <v>9581</v>
      </c>
      <c r="B9582" s="18" t="n">
        <v>469225.137384013</v>
      </c>
      <c r="C9582" s="18" t="n">
        <v>0</v>
      </c>
      <c r="D9582" s="0" t="n">
        <v>0</v>
      </c>
      <c r="E9582" s="19" t="n">
        <v>31.0833333333333</v>
      </c>
    </row>
    <row r="9583" customFormat="false" ht="15" hidden="false" customHeight="false" outlineLevel="0" collapsed="false">
      <c r="A9583" s="0" t="n">
        <v>9582</v>
      </c>
      <c r="B9583" s="18" t="n">
        <v>654358.025875226</v>
      </c>
      <c r="C9583" s="18" t="n">
        <v>0</v>
      </c>
      <c r="D9583" s="0" t="n">
        <v>0</v>
      </c>
      <c r="E9583" s="19" t="n">
        <v>39.0833333333333</v>
      </c>
    </row>
    <row r="9584" customFormat="false" ht="15" hidden="false" customHeight="false" outlineLevel="0" collapsed="false">
      <c r="A9584" s="0" t="n">
        <v>9583</v>
      </c>
      <c r="B9584" s="18" t="n">
        <v>668318.632700663</v>
      </c>
      <c r="C9584" s="18" t="n">
        <v>0</v>
      </c>
      <c r="D9584" s="0" t="n">
        <v>0</v>
      </c>
      <c r="E9584" s="19" t="n">
        <v>40.25</v>
      </c>
    </row>
    <row r="9585" customFormat="false" ht="15" hidden="false" customHeight="false" outlineLevel="0" collapsed="false">
      <c r="A9585" s="0" t="n">
        <v>9584</v>
      </c>
      <c r="B9585" s="18" t="n">
        <v>695842.353123286</v>
      </c>
      <c r="C9585" s="18" t="n">
        <v>0</v>
      </c>
      <c r="D9585" s="0" t="n">
        <v>0</v>
      </c>
      <c r="E9585" s="19" t="n">
        <v>37.9166666666667</v>
      </c>
    </row>
    <row r="9586" customFormat="false" ht="15" hidden="false" customHeight="false" outlineLevel="0" collapsed="false">
      <c r="A9586" s="0" t="n">
        <v>9585</v>
      </c>
      <c r="B9586" s="18" t="n">
        <v>1079991.65395472</v>
      </c>
      <c r="C9586" s="18" t="n">
        <v>0</v>
      </c>
      <c r="D9586" s="0" t="n">
        <v>0</v>
      </c>
      <c r="E9586" s="19" t="n">
        <v>46.4166666666667</v>
      </c>
    </row>
    <row r="9587" customFormat="false" ht="15" hidden="false" customHeight="false" outlineLevel="0" collapsed="false">
      <c r="A9587" s="0" t="n">
        <v>9586</v>
      </c>
      <c r="B9587" s="18" t="n">
        <v>1139212.50749813</v>
      </c>
      <c r="C9587" s="18" t="n">
        <v>2645133.43532467</v>
      </c>
      <c r="D9587" s="0" t="n">
        <v>1</v>
      </c>
    </row>
    <row r="9588" customFormat="false" ht="15" hidden="false" customHeight="false" outlineLevel="0" collapsed="false">
      <c r="A9588" s="0" t="n">
        <v>9587</v>
      </c>
      <c r="B9588" s="18" t="n">
        <v>1271842.62702778</v>
      </c>
      <c r="C9588" s="18" t="n">
        <v>0</v>
      </c>
      <c r="D9588" s="0" t="n">
        <v>0</v>
      </c>
      <c r="E9588" s="19" t="n">
        <v>51.8333333333333</v>
      </c>
    </row>
    <row r="9589" customFormat="false" ht="15" hidden="false" customHeight="false" outlineLevel="0" collapsed="false">
      <c r="A9589" s="0" t="n">
        <v>9588</v>
      </c>
      <c r="B9589" s="18" t="n">
        <v>2619630.04372677</v>
      </c>
      <c r="C9589" s="18" t="n">
        <v>8442465.45925601</v>
      </c>
      <c r="D9589" s="0" t="n">
        <v>1</v>
      </c>
    </row>
    <row r="9590" customFormat="false" ht="15" hidden="false" customHeight="false" outlineLevel="0" collapsed="false">
      <c r="A9590" s="0" t="n">
        <v>9589</v>
      </c>
      <c r="B9590" s="18" t="n">
        <v>1171944.36181406</v>
      </c>
      <c r="C9590" s="18" t="n">
        <v>510316.272841062</v>
      </c>
      <c r="D9590" s="0" t="n">
        <v>1</v>
      </c>
    </row>
    <row r="9591" customFormat="false" ht="15" hidden="false" customHeight="false" outlineLevel="0" collapsed="false">
      <c r="A9591" s="0" t="n">
        <v>9590</v>
      </c>
      <c r="B9591" s="18" t="n">
        <v>1539997.75968493</v>
      </c>
      <c r="C9591" s="18" t="n">
        <v>198191.838768908</v>
      </c>
      <c r="D9591" s="0" t="n">
        <v>1</v>
      </c>
    </row>
    <row r="9592" customFormat="false" ht="15" hidden="false" customHeight="false" outlineLevel="0" collapsed="false">
      <c r="A9592" s="0" t="n">
        <v>9591</v>
      </c>
      <c r="B9592" s="18" t="n">
        <v>1592070.29159726</v>
      </c>
      <c r="C9592" s="18" t="n">
        <v>110484.808523776</v>
      </c>
      <c r="D9592" s="0" t="n">
        <v>1</v>
      </c>
    </row>
    <row r="9593" customFormat="false" ht="15" hidden="false" customHeight="false" outlineLevel="0" collapsed="false">
      <c r="A9593" s="0" t="n">
        <v>9592</v>
      </c>
      <c r="B9593" s="18" t="n">
        <v>767504.2342377</v>
      </c>
      <c r="C9593" s="18" t="n">
        <v>0</v>
      </c>
      <c r="D9593" s="0" t="n">
        <v>0</v>
      </c>
      <c r="E9593" s="19" t="n">
        <v>48.3333333333333</v>
      </c>
    </row>
    <row r="9594" customFormat="false" ht="15" hidden="false" customHeight="false" outlineLevel="0" collapsed="false">
      <c r="A9594" s="0" t="n">
        <v>9593</v>
      </c>
      <c r="B9594" s="18" t="n">
        <v>716169.570049146</v>
      </c>
      <c r="C9594" s="18" t="n">
        <v>0</v>
      </c>
      <c r="D9594" s="0" t="n">
        <v>0</v>
      </c>
      <c r="E9594" s="19" t="n">
        <v>51.4166666666667</v>
      </c>
    </row>
    <row r="9595" customFormat="false" ht="15" hidden="false" customHeight="false" outlineLevel="0" collapsed="false">
      <c r="A9595" s="0" t="n">
        <v>9594</v>
      </c>
      <c r="B9595" s="18" t="n">
        <v>1126778.91253715</v>
      </c>
      <c r="C9595" s="18" t="n">
        <v>0</v>
      </c>
      <c r="D9595" s="0" t="n">
        <v>0</v>
      </c>
      <c r="E9595" s="19" t="n">
        <v>48.25</v>
      </c>
    </row>
    <row r="9596" customFormat="false" ht="15" hidden="false" customHeight="false" outlineLevel="0" collapsed="false">
      <c r="A9596" s="0" t="n">
        <v>9595</v>
      </c>
      <c r="B9596" s="18" t="n">
        <v>385583.560832273</v>
      </c>
      <c r="C9596" s="18" t="n">
        <v>0</v>
      </c>
      <c r="D9596" s="0" t="n">
        <v>0</v>
      </c>
      <c r="E9596" s="19" t="n">
        <v>32.1666666666667</v>
      </c>
    </row>
    <row r="9597" customFormat="false" ht="15" hidden="false" customHeight="false" outlineLevel="0" collapsed="false">
      <c r="A9597" s="0" t="n">
        <v>9596</v>
      </c>
      <c r="B9597" s="18" t="n">
        <v>710736.947449012</v>
      </c>
      <c r="C9597" s="18" t="n">
        <v>8302351.23999189</v>
      </c>
      <c r="D9597" s="0" t="n">
        <v>1</v>
      </c>
    </row>
    <row r="9598" customFormat="false" ht="15" hidden="false" customHeight="false" outlineLevel="0" collapsed="false">
      <c r="A9598" s="0" t="n">
        <v>9597</v>
      </c>
      <c r="B9598" s="18" t="n">
        <v>581644.059823759</v>
      </c>
      <c r="C9598" s="18" t="n">
        <v>0</v>
      </c>
      <c r="D9598" s="0" t="n">
        <v>0</v>
      </c>
      <c r="E9598" s="19" t="n">
        <v>35.0833333333333</v>
      </c>
    </row>
    <row r="9599" customFormat="false" ht="15" hidden="false" customHeight="false" outlineLevel="0" collapsed="false">
      <c r="A9599" s="0" t="n">
        <v>9598</v>
      </c>
      <c r="B9599" s="18" t="n">
        <v>1270186.72184778</v>
      </c>
      <c r="C9599" s="18" t="n">
        <v>54906.6438471882</v>
      </c>
      <c r="D9599" s="0" t="n">
        <v>1</v>
      </c>
    </row>
    <row r="9600" customFormat="false" ht="15" hidden="false" customHeight="false" outlineLevel="0" collapsed="false">
      <c r="A9600" s="0" t="n">
        <v>9599</v>
      </c>
      <c r="B9600" s="18" t="n">
        <v>1433543.92164895</v>
      </c>
      <c r="C9600" s="18" t="n">
        <v>18051958.2137096</v>
      </c>
      <c r="D9600" s="0" t="n">
        <v>1</v>
      </c>
    </row>
    <row r="9601" customFormat="false" ht="15" hidden="false" customHeight="false" outlineLevel="0" collapsed="false">
      <c r="A9601" s="0" t="n">
        <v>9600</v>
      </c>
      <c r="B9601" s="18" t="n">
        <v>1244022.18991297</v>
      </c>
      <c r="C9601" s="18" t="n">
        <v>0</v>
      </c>
      <c r="D9601" s="0" t="n">
        <v>0</v>
      </c>
      <c r="E9601" s="19" t="n">
        <v>40.4166666666667</v>
      </c>
    </row>
    <row r="9602" customFormat="false" ht="15" hidden="false" customHeight="false" outlineLevel="0" collapsed="false">
      <c r="A9602" s="0" t="n">
        <v>9601</v>
      </c>
      <c r="B9602" s="18" t="n">
        <v>945715.919408422</v>
      </c>
      <c r="C9602" s="18" t="n">
        <v>2946736.45700886</v>
      </c>
      <c r="D9602" s="0" t="n">
        <v>1</v>
      </c>
    </row>
    <row r="9603" customFormat="false" ht="15" hidden="false" customHeight="false" outlineLevel="0" collapsed="false">
      <c r="A9603" s="0" t="n">
        <v>9602</v>
      </c>
      <c r="B9603" s="18" t="n">
        <v>598524.940725973</v>
      </c>
      <c r="C9603" s="18" t="n">
        <v>0</v>
      </c>
      <c r="D9603" s="0" t="n">
        <v>0</v>
      </c>
      <c r="E9603" s="19" t="n">
        <v>34.8333333333333</v>
      </c>
    </row>
    <row r="9604" customFormat="false" ht="15" hidden="false" customHeight="false" outlineLevel="0" collapsed="false">
      <c r="A9604" s="0" t="n">
        <v>9603</v>
      </c>
      <c r="B9604" s="18" t="n">
        <v>1119531.05517811</v>
      </c>
      <c r="C9604" s="18" t="n">
        <v>5896016.39793038</v>
      </c>
      <c r="D9604" s="0" t="n">
        <v>1</v>
      </c>
    </row>
    <row r="9605" customFormat="false" ht="15" hidden="false" customHeight="false" outlineLevel="0" collapsed="false">
      <c r="A9605" s="0" t="n">
        <v>9604</v>
      </c>
      <c r="B9605" s="18" t="n">
        <v>770163.218039046</v>
      </c>
      <c r="C9605" s="18" t="n">
        <v>0</v>
      </c>
      <c r="D9605" s="0" t="n">
        <v>0</v>
      </c>
      <c r="E9605" s="19" t="n">
        <v>43.0833333333333</v>
      </c>
    </row>
    <row r="9606" customFormat="false" ht="15" hidden="false" customHeight="false" outlineLevel="0" collapsed="false">
      <c r="A9606" s="0" t="n">
        <v>9605</v>
      </c>
      <c r="B9606" s="18" t="n">
        <v>1434128.41508357</v>
      </c>
      <c r="C9606" s="18" t="n">
        <v>282420.768431472</v>
      </c>
      <c r="D9606" s="0" t="n">
        <v>1</v>
      </c>
    </row>
    <row r="9607" customFormat="false" ht="15" hidden="false" customHeight="false" outlineLevel="0" collapsed="false">
      <c r="A9607" s="0" t="n">
        <v>9606</v>
      </c>
      <c r="B9607" s="18" t="n">
        <v>1628263.97242089</v>
      </c>
      <c r="C9607" s="18" t="n">
        <v>27252725.4550756</v>
      </c>
      <c r="D9607" s="0" t="n">
        <v>1</v>
      </c>
    </row>
    <row r="9608" customFormat="false" ht="15" hidden="false" customHeight="false" outlineLevel="0" collapsed="false">
      <c r="A9608" s="0" t="n">
        <v>9607</v>
      </c>
      <c r="B9608" s="18" t="n">
        <v>652982.488694252</v>
      </c>
      <c r="C9608" s="18" t="n">
        <v>0</v>
      </c>
      <c r="D9608" s="0" t="n">
        <v>0</v>
      </c>
      <c r="E9608" s="19" t="n">
        <v>36</v>
      </c>
    </row>
    <row r="9609" customFormat="false" ht="15" hidden="false" customHeight="false" outlineLevel="0" collapsed="false">
      <c r="A9609" s="0" t="n">
        <v>9608</v>
      </c>
      <c r="B9609" s="18" t="n">
        <v>1102834.33467866</v>
      </c>
      <c r="C9609" s="18" t="n">
        <v>2702421.70625682</v>
      </c>
      <c r="D9609" s="0" t="n">
        <v>1</v>
      </c>
    </row>
    <row r="9610" customFormat="false" ht="15" hidden="false" customHeight="false" outlineLevel="0" collapsed="false">
      <c r="A9610" s="0" t="n">
        <v>9609</v>
      </c>
      <c r="B9610" s="18" t="n">
        <v>809789.81520276</v>
      </c>
      <c r="C9610" s="18" t="n">
        <v>432104.609275184</v>
      </c>
      <c r="D9610" s="0" t="n">
        <v>1</v>
      </c>
    </row>
    <row r="9611" customFormat="false" ht="15" hidden="false" customHeight="false" outlineLevel="0" collapsed="false">
      <c r="A9611" s="0" t="n">
        <v>9610</v>
      </c>
      <c r="B9611" s="18" t="n">
        <v>775310.472321667</v>
      </c>
      <c r="C9611" s="18" t="n">
        <v>0</v>
      </c>
      <c r="D9611" s="0" t="n">
        <v>0</v>
      </c>
      <c r="E9611" s="19" t="n">
        <v>43</v>
      </c>
    </row>
    <row r="9612" customFormat="false" ht="15" hidden="false" customHeight="false" outlineLevel="0" collapsed="false">
      <c r="A9612" s="0" t="n">
        <v>9611</v>
      </c>
      <c r="B9612" s="18" t="n">
        <v>1070142.61990537</v>
      </c>
      <c r="C9612" s="18" t="n">
        <v>0</v>
      </c>
      <c r="D9612" s="0" t="n">
        <v>0</v>
      </c>
      <c r="E9612" s="19" t="n">
        <v>50.25</v>
      </c>
    </row>
    <row r="9613" customFormat="false" ht="15" hidden="false" customHeight="false" outlineLevel="0" collapsed="false">
      <c r="A9613" s="0" t="n">
        <v>9612</v>
      </c>
      <c r="B9613" s="18" t="n">
        <v>818321.595423837</v>
      </c>
      <c r="C9613" s="18" t="n">
        <v>0</v>
      </c>
      <c r="D9613" s="0" t="n">
        <v>0</v>
      </c>
      <c r="E9613" s="19" t="n">
        <v>44.8333333333333</v>
      </c>
    </row>
    <row r="9614" customFormat="false" ht="15" hidden="false" customHeight="false" outlineLevel="0" collapsed="false">
      <c r="A9614" s="0" t="n">
        <v>9613</v>
      </c>
      <c r="B9614" s="18" t="n">
        <v>1251756.29329071</v>
      </c>
      <c r="C9614" s="18" t="n">
        <v>0</v>
      </c>
      <c r="D9614" s="0" t="n">
        <v>0</v>
      </c>
      <c r="E9614" s="19" t="n">
        <v>53.5833333333333</v>
      </c>
    </row>
    <row r="9615" customFormat="false" ht="15" hidden="false" customHeight="false" outlineLevel="0" collapsed="false">
      <c r="A9615" s="0" t="n">
        <v>9614</v>
      </c>
      <c r="B9615" s="18" t="n">
        <v>403114.279353075</v>
      </c>
      <c r="C9615" s="18" t="n">
        <v>0</v>
      </c>
      <c r="D9615" s="0" t="n">
        <v>0</v>
      </c>
      <c r="E9615" s="19" t="n">
        <v>29.75</v>
      </c>
    </row>
    <row r="9616" customFormat="false" ht="15" hidden="false" customHeight="false" outlineLevel="0" collapsed="false">
      <c r="A9616" s="0" t="n">
        <v>9615</v>
      </c>
      <c r="B9616" s="18" t="n">
        <v>727998.282814863</v>
      </c>
      <c r="C9616" s="18" t="n">
        <v>0</v>
      </c>
      <c r="D9616" s="0" t="n">
        <v>0</v>
      </c>
      <c r="E9616" s="19" t="n">
        <v>37.75</v>
      </c>
    </row>
    <row r="9617" customFormat="false" ht="15" hidden="false" customHeight="false" outlineLevel="0" collapsed="false">
      <c r="A9617" s="0" t="n">
        <v>9616</v>
      </c>
      <c r="B9617" s="18" t="n">
        <v>701330.888286096</v>
      </c>
      <c r="C9617" s="18" t="n">
        <v>2077418.59030932</v>
      </c>
      <c r="D9617" s="0" t="n">
        <v>1</v>
      </c>
    </row>
    <row r="9618" customFormat="false" ht="15" hidden="false" customHeight="false" outlineLevel="0" collapsed="false">
      <c r="A9618" s="0" t="n">
        <v>9617</v>
      </c>
      <c r="B9618" s="18" t="n">
        <v>671021.847262676</v>
      </c>
      <c r="C9618" s="18" t="n">
        <v>0</v>
      </c>
      <c r="D9618" s="0" t="n">
        <v>0</v>
      </c>
      <c r="E9618" s="19" t="n">
        <v>39.8333333333333</v>
      </c>
    </row>
    <row r="9619" customFormat="false" ht="15" hidden="false" customHeight="false" outlineLevel="0" collapsed="false">
      <c r="A9619" s="0" t="n">
        <v>9618</v>
      </c>
      <c r="B9619" s="18" t="n">
        <v>425574.102130355</v>
      </c>
      <c r="C9619" s="18" t="n">
        <v>0</v>
      </c>
      <c r="D9619" s="0" t="n">
        <v>0</v>
      </c>
      <c r="E9619" s="19" t="n">
        <v>34.75</v>
      </c>
    </row>
    <row r="9620" customFormat="false" ht="15" hidden="false" customHeight="false" outlineLevel="0" collapsed="false">
      <c r="A9620" s="0" t="n">
        <v>9619</v>
      </c>
      <c r="B9620" s="18" t="n">
        <v>598603.814895629</v>
      </c>
      <c r="C9620" s="18" t="n">
        <v>0</v>
      </c>
      <c r="D9620" s="0" t="n">
        <v>0</v>
      </c>
      <c r="E9620" s="19" t="n">
        <v>40</v>
      </c>
    </row>
    <row r="9621" customFormat="false" ht="15" hidden="false" customHeight="false" outlineLevel="0" collapsed="false">
      <c r="A9621" s="0" t="n">
        <v>9620</v>
      </c>
      <c r="B9621" s="18" t="n">
        <v>1328756.50651512</v>
      </c>
      <c r="C9621" s="18" t="n">
        <v>0</v>
      </c>
      <c r="D9621" s="0" t="n">
        <v>0</v>
      </c>
      <c r="E9621" s="19" t="n">
        <v>54.3333333333333</v>
      </c>
    </row>
    <row r="9622" customFormat="false" ht="15" hidden="false" customHeight="false" outlineLevel="0" collapsed="false">
      <c r="A9622" s="0" t="n">
        <v>9621</v>
      </c>
      <c r="B9622" s="18" t="n">
        <v>1071073.84173302</v>
      </c>
      <c r="C9622" s="18" t="n">
        <v>0</v>
      </c>
      <c r="D9622" s="0" t="n">
        <v>0</v>
      </c>
      <c r="E9622" s="19" t="n">
        <v>41.5</v>
      </c>
    </row>
    <row r="9623" customFormat="false" ht="15" hidden="false" customHeight="false" outlineLevel="0" collapsed="false">
      <c r="A9623" s="0" t="n">
        <v>9622</v>
      </c>
      <c r="B9623" s="18" t="n">
        <v>737941.674826807</v>
      </c>
      <c r="C9623" s="18" t="n">
        <v>0</v>
      </c>
      <c r="D9623" s="0" t="n">
        <v>0</v>
      </c>
      <c r="E9623" s="19" t="n">
        <v>34.1666666666667</v>
      </c>
    </row>
    <row r="9624" customFormat="false" ht="15" hidden="false" customHeight="false" outlineLevel="0" collapsed="false">
      <c r="A9624" s="0" t="n">
        <v>9623</v>
      </c>
      <c r="B9624" s="18" t="n">
        <v>2167812.9604453</v>
      </c>
      <c r="C9624" s="18" t="n">
        <v>3670572.83096208</v>
      </c>
      <c r="D9624" s="0" t="n">
        <v>1</v>
      </c>
    </row>
    <row r="9625" customFormat="false" ht="15" hidden="false" customHeight="false" outlineLevel="0" collapsed="false">
      <c r="A9625" s="0" t="n">
        <v>9624</v>
      </c>
      <c r="B9625" s="18" t="n">
        <v>612572.771932301</v>
      </c>
      <c r="C9625" s="18" t="n">
        <v>0</v>
      </c>
      <c r="D9625" s="0" t="n">
        <v>0</v>
      </c>
      <c r="E9625" s="19" t="n">
        <v>38.75</v>
      </c>
    </row>
    <row r="9626" customFormat="false" ht="15" hidden="false" customHeight="false" outlineLevel="0" collapsed="false">
      <c r="A9626" s="0" t="n">
        <v>9625</v>
      </c>
      <c r="B9626" s="18" t="n">
        <v>411331.441727858</v>
      </c>
      <c r="C9626" s="18" t="n">
        <v>0</v>
      </c>
      <c r="D9626" s="0" t="n">
        <v>0</v>
      </c>
      <c r="E9626" s="19" t="n">
        <v>31</v>
      </c>
    </row>
    <row r="9627" customFormat="false" ht="15" hidden="false" customHeight="false" outlineLevel="0" collapsed="false">
      <c r="A9627" s="0" t="n">
        <v>9626</v>
      </c>
      <c r="B9627" s="18" t="n">
        <v>1163183.95645552</v>
      </c>
      <c r="C9627" s="18" t="n">
        <v>0</v>
      </c>
      <c r="D9627" s="0" t="n">
        <v>0</v>
      </c>
      <c r="E9627" s="19" t="n">
        <v>47.5833333333333</v>
      </c>
    </row>
    <row r="9628" customFormat="false" ht="15" hidden="false" customHeight="false" outlineLevel="0" collapsed="false">
      <c r="A9628" s="0" t="n">
        <v>9627</v>
      </c>
      <c r="B9628" s="18" t="n">
        <v>1150602.61893809</v>
      </c>
      <c r="C9628" s="18" t="n">
        <v>0</v>
      </c>
      <c r="D9628" s="0" t="n">
        <v>0</v>
      </c>
      <c r="E9628" s="19" t="n">
        <v>43.25</v>
      </c>
    </row>
    <row r="9629" customFormat="false" ht="15" hidden="false" customHeight="false" outlineLevel="0" collapsed="false">
      <c r="A9629" s="0" t="n">
        <v>9628</v>
      </c>
      <c r="B9629" s="18" t="n">
        <v>1071786.11838122</v>
      </c>
      <c r="C9629" s="18" t="n">
        <v>0</v>
      </c>
      <c r="D9629" s="0" t="n">
        <v>0</v>
      </c>
      <c r="E9629" s="19" t="n">
        <v>44.4166666666667</v>
      </c>
    </row>
    <row r="9630" customFormat="false" ht="15" hidden="false" customHeight="false" outlineLevel="0" collapsed="false">
      <c r="A9630" s="0" t="n">
        <v>9629</v>
      </c>
      <c r="B9630" s="18" t="n">
        <v>895952.246846369</v>
      </c>
      <c r="C9630" s="18" t="n">
        <v>1429712.86748438</v>
      </c>
      <c r="D9630" s="0" t="n">
        <v>1</v>
      </c>
    </row>
    <row r="9631" customFormat="false" ht="15" hidden="false" customHeight="false" outlineLevel="0" collapsed="false">
      <c r="A9631" s="0" t="n">
        <v>9630</v>
      </c>
      <c r="B9631" s="18" t="n">
        <v>794879.229065065</v>
      </c>
      <c r="C9631" s="18" t="n">
        <v>0</v>
      </c>
      <c r="D9631" s="0" t="n">
        <v>0</v>
      </c>
      <c r="E9631" s="19" t="n">
        <v>46</v>
      </c>
    </row>
    <row r="9632" customFormat="false" ht="15" hidden="false" customHeight="false" outlineLevel="0" collapsed="false">
      <c r="A9632" s="0" t="n">
        <v>9631</v>
      </c>
      <c r="B9632" s="18" t="n">
        <v>1283885.20442016</v>
      </c>
      <c r="C9632" s="18" t="n">
        <v>5228482.32927433</v>
      </c>
      <c r="D9632" s="0" t="n">
        <v>1</v>
      </c>
    </row>
    <row r="9633" customFormat="false" ht="15" hidden="false" customHeight="false" outlineLevel="0" collapsed="false">
      <c r="A9633" s="0" t="n">
        <v>9632</v>
      </c>
      <c r="B9633" s="18" t="n">
        <v>799833.673310213</v>
      </c>
      <c r="C9633" s="18" t="n">
        <v>0</v>
      </c>
      <c r="D9633" s="0" t="n">
        <v>0</v>
      </c>
      <c r="E9633" s="19" t="n">
        <v>49.3333333333333</v>
      </c>
    </row>
    <row r="9634" customFormat="false" ht="15" hidden="false" customHeight="false" outlineLevel="0" collapsed="false">
      <c r="A9634" s="0" t="n">
        <v>9633</v>
      </c>
      <c r="B9634" s="18" t="n">
        <v>581526.267214966</v>
      </c>
      <c r="C9634" s="18" t="n">
        <v>0</v>
      </c>
      <c r="D9634" s="0" t="n">
        <v>0</v>
      </c>
      <c r="E9634" s="19" t="n">
        <v>36.5833333333333</v>
      </c>
    </row>
    <row r="9635" customFormat="false" ht="15" hidden="false" customHeight="false" outlineLevel="0" collapsed="false">
      <c r="A9635" s="0" t="n">
        <v>9634</v>
      </c>
      <c r="B9635" s="18" t="n">
        <v>3860980.12530601</v>
      </c>
      <c r="C9635" s="18" t="n">
        <v>42353532.6304597</v>
      </c>
      <c r="D9635" s="0" t="n">
        <v>1</v>
      </c>
    </row>
    <row r="9636" customFormat="false" ht="15" hidden="false" customHeight="false" outlineLevel="0" collapsed="false">
      <c r="A9636" s="0" t="n">
        <v>9635</v>
      </c>
      <c r="B9636" s="18" t="n">
        <v>1197908.08868552</v>
      </c>
      <c r="C9636" s="18" t="n">
        <v>10839164.8813617</v>
      </c>
      <c r="D9636" s="0" t="n">
        <v>1</v>
      </c>
    </row>
    <row r="9637" customFormat="false" ht="15" hidden="false" customHeight="false" outlineLevel="0" collapsed="false">
      <c r="A9637" s="0" t="n">
        <v>9636</v>
      </c>
      <c r="B9637" s="18" t="n">
        <v>1554410.78063514</v>
      </c>
      <c r="C9637" s="18" t="n">
        <v>1130242.20520304</v>
      </c>
      <c r="D9637" s="0" t="n">
        <v>1</v>
      </c>
    </row>
    <row r="9638" customFormat="false" ht="15" hidden="false" customHeight="false" outlineLevel="0" collapsed="false">
      <c r="A9638" s="0" t="n">
        <v>9637</v>
      </c>
      <c r="B9638" s="18" t="n">
        <v>982536.728861037</v>
      </c>
      <c r="C9638" s="18" t="n">
        <v>9795631.7699884</v>
      </c>
      <c r="D9638" s="0" t="n">
        <v>1</v>
      </c>
    </row>
    <row r="9639" customFormat="false" ht="15" hidden="false" customHeight="false" outlineLevel="0" collapsed="false">
      <c r="A9639" s="0" t="n">
        <v>9638</v>
      </c>
      <c r="B9639" s="18" t="n">
        <v>1253454.09598383</v>
      </c>
      <c r="C9639" s="18" t="n">
        <v>0</v>
      </c>
      <c r="D9639" s="0" t="n">
        <v>0</v>
      </c>
      <c r="E9639" s="19" t="n">
        <v>47.8333333333333</v>
      </c>
    </row>
    <row r="9640" customFormat="false" ht="15" hidden="false" customHeight="false" outlineLevel="0" collapsed="false">
      <c r="A9640" s="0" t="n">
        <v>9639</v>
      </c>
      <c r="B9640" s="18" t="n">
        <v>563413.569026793</v>
      </c>
      <c r="C9640" s="18" t="n">
        <v>0</v>
      </c>
      <c r="D9640" s="0" t="n">
        <v>0</v>
      </c>
      <c r="E9640" s="19" t="n">
        <v>34.75</v>
      </c>
    </row>
    <row r="9641" customFormat="false" ht="15" hidden="false" customHeight="false" outlineLevel="0" collapsed="false">
      <c r="A9641" s="0" t="n">
        <v>9640</v>
      </c>
      <c r="B9641" s="18" t="n">
        <v>2141016.80499272</v>
      </c>
      <c r="C9641" s="18" t="n">
        <v>2775369.82999617</v>
      </c>
      <c r="D9641" s="0" t="n">
        <v>1</v>
      </c>
    </row>
    <row r="9642" customFormat="false" ht="15" hidden="false" customHeight="false" outlineLevel="0" collapsed="false">
      <c r="A9642" s="0" t="n">
        <v>9641</v>
      </c>
      <c r="B9642" s="18" t="n">
        <v>1202995.37853479</v>
      </c>
      <c r="C9642" s="18" t="n">
        <v>3184914.78986464</v>
      </c>
      <c r="D9642" s="0" t="n">
        <v>1</v>
      </c>
    </row>
    <row r="9643" customFormat="false" ht="15" hidden="false" customHeight="false" outlineLevel="0" collapsed="false">
      <c r="A9643" s="0" t="n">
        <v>9642</v>
      </c>
      <c r="B9643" s="18" t="n">
        <v>1932795.75804786</v>
      </c>
      <c r="C9643" s="18" t="n">
        <v>6746447.15076387</v>
      </c>
      <c r="D9643" s="0" t="n">
        <v>1</v>
      </c>
    </row>
    <row r="9644" customFormat="false" ht="15" hidden="false" customHeight="false" outlineLevel="0" collapsed="false">
      <c r="A9644" s="0" t="n">
        <v>9643</v>
      </c>
      <c r="B9644" s="18" t="n">
        <v>789595.239100179</v>
      </c>
      <c r="C9644" s="18" t="n">
        <v>0</v>
      </c>
      <c r="D9644" s="0" t="n">
        <v>0</v>
      </c>
      <c r="E9644" s="19" t="n">
        <v>38.4166666666667</v>
      </c>
    </row>
    <row r="9645" customFormat="false" ht="15" hidden="false" customHeight="false" outlineLevel="0" collapsed="false">
      <c r="A9645" s="0" t="n">
        <v>9644</v>
      </c>
      <c r="B9645" s="18" t="n">
        <v>2370191.4827648</v>
      </c>
      <c r="C9645" s="18" t="n">
        <v>11878451.8707899</v>
      </c>
      <c r="D9645" s="0" t="n">
        <v>1</v>
      </c>
    </row>
    <row r="9646" customFormat="false" ht="15" hidden="false" customHeight="false" outlineLevel="0" collapsed="false">
      <c r="A9646" s="0" t="n">
        <v>9645</v>
      </c>
      <c r="B9646" s="18" t="n">
        <v>294238.599409381</v>
      </c>
      <c r="C9646" s="18" t="n">
        <v>0</v>
      </c>
      <c r="D9646" s="0" t="n">
        <v>0</v>
      </c>
      <c r="E9646" s="19" t="n">
        <v>29.5833333333333</v>
      </c>
    </row>
    <row r="9647" customFormat="false" ht="15" hidden="false" customHeight="false" outlineLevel="0" collapsed="false">
      <c r="A9647" s="0" t="n">
        <v>9646</v>
      </c>
      <c r="B9647" s="18" t="n">
        <v>495012.137618642</v>
      </c>
      <c r="C9647" s="18" t="n">
        <v>0</v>
      </c>
      <c r="D9647" s="0" t="n">
        <v>0</v>
      </c>
      <c r="E9647" s="19" t="n">
        <v>34.8333333333333</v>
      </c>
    </row>
    <row r="9648" customFormat="false" ht="15" hidden="false" customHeight="false" outlineLevel="0" collapsed="false">
      <c r="A9648" s="0" t="n">
        <v>9647</v>
      </c>
      <c r="B9648" s="18" t="n">
        <v>609841.651600729</v>
      </c>
      <c r="C9648" s="18" t="n">
        <v>0</v>
      </c>
      <c r="D9648" s="0" t="n">
        <v>0</v>
      </c>
      <c r="E9648" s="19" t="n">
        <v>44.75</v>
      </c>
    </row>
    <row r="9649" customFormat="false" ht="15" hidden="false" customHeight="false" outlineLevel="0" collapsed="false">
      <c r="A9649" s="0" t="n">
        <v>9648</v>
      </c>
      <c r="B9649" s="18" t="n">
        <v>835207.785362487</v>
      </c>
      <c r="C9649" s="18" t="n">
        <v>0</v>
      </c>
      <c r="D9649" s="0" t="n">
        <v>0</v>
      </c>
      <c r="E9649" s="19" t="n">
        <v>36.8333333333333</v>
      </c>
    </row>
    <row r="9650" customFormat="false" ht="15" hidden="false" customHeight="false" outlineLevel="0" collapsed="false">
      <c r="A9650" s="0" t="n">
        <v>9649</v>
      </c>
      <c r="B9650" s="18" t="n">
        <v>980901.959200359</v>
      </c>
      <c r="C9650" s="18" t="n">
        <v>0</v>
      </c>
      <c r="D9650" s="0" t="n">
        <v>0</v>
      </c>
      <c r="E9650" s="19" t="n">
        <v>44.1666666666667</v>
      </c>
    </row>
    <row r="9651" customFormat="false" ht="15" hidden="false" customHeight="false" outlineLevel="0" collapsed="false">
      <c r="A9651" s="0" t="n">
        <v>9650</v>
      </c>
      <c r="B9651" s="18" t="n">
        <v>301711.89077303</v>
      </c>
      <c r="C9651" s="18" t="n">
        <v>0</v>
      </c>
      <c r="D9651" s="0" t="n">
        <v>0</v>
      </c>
      <c r="E9651" s="19" t="n">
        <v>29.25</v>
      </c>
    </row>
    <row r="9652" customFormat="false" ht="15" hidden="false" customHeight="false" outlineLevel="0" collapsed="false">
      <c r="A9652" s="0" t="n">
        <v>9651</v>
      </c>
      <c r="B9652" s="18" t="n">
        <v>1566146.69394782</v>
      </c>
      <c r="C9652" s="18" t="n">
        <v>8043677.15018552</v>
      </c>
      <c r="D9652" s="0" t="n">
        <v>1</v>
      </c>
    </row>
    <row r="9653" customFormat="false" ht="15" hidden="false" customHeight="false" outlineLevel="0" collapsed="false">
      <c r="A9653" s="0" t="n">
        <v>9652</v>
      </c>
      <c r="B9653" s="18" t="n">
        <v>462727.383359176</v>
      </c>
      <c r="C9653" s="18" t="n">
        <v>0</v>
      </c>
      <c r="D9653" s="0" t="n">
        <v>0</v>
      </c>
      <c r="E9653" s="19" t="n">
        <v>32</v>
      </c>
    </row>
    <row r="9654" customFormat="false" ht="15" hidden="false" customHeight="false" outlineLevel="0" collapsed="false">
      <c r="A9654" s="0" t="n">
        <v>9653</v>
      </c>
      <c r="B9654" s="18" t="n">
        <v>418563.611623452</v>
      </c>
      <c r="C9654" s="18" t="n">
        <v>0</v>
      </c>
      <c r="D9654" s="0" t="n">
        <v>0</v>
      </c>
      <c r="E9654" s="19" t="n">
        <v>37.8333333333333</v>
      </c>
    </row>
    <row r="9655" customFormat="false" ht="15" hidden="false" customHeight="false" outlineLevel="0" collapsed="false">
      <c r="A9655" s="0" t="n">
        <v>9654</v>
      </c>
      <c r="B9655" s="18" t="n">
        <v>830130.61638236</v>
      </c>
      <c r="C9655" s="18" t="n">
        <v>0</v>
      </c>
      <c r="D9655" s="0" t="n">
        <v>0</v>
      </c>
      <c r="E9655" s="19" t="n">
        <v>40.3333333333333</v>
      </c>
    </row>
    <row r="9656" customFormat="false" ht="15" hidden="false" customHeight="false" outlineLevel="0" collapsed="false">
      <c r="A9656" s="0" t="n">
        <v>9655</v>
      </c>
      <c r="B9656" s="18" t="n">
        <v>1213336.41906635</v>
      </c>
      <c r="C9656" s="18" t="n">
        <v>772505.263573616</v>
      </c>
      <c r="D9656" s="0" t="n">
        <v>1</v>
      </c>
    </row>
    <row r="9657" customFormat="false" ht="15" hidden="false" customHeight="false" outlineLevel="0" collapsed="false">
      <c r="A9657" s="0" t="n">
        <v>9656</v>
      </c>
      <c r="B9657" s="18" t="n">
        <v>966542.39852375</v>
      </c>
      <c r="C9657" s="18" t="n">
        <v>0</v>
      </c>
      <c r="D9657" s="0" t="n">
        <v>0</v>
      </c>
      <c r="E9657" s="19" t="n">
        <v>34.5833333333333</v>
      </c>
    </row>
    <row r="9658" customFormat="false" ht="15" hidden="false" customHeight="false" outlineLevel="0" collapsed="false">
      <c r="A9658" s="0" t="n">
        <v>9657</v>
      </c>
      <c r="B9658" s="18" t="n">
        <v>709119.855785458</v>
      </c>
      <c r="C9658" s="18" t="n">
        <v>0</v>
      </c>
      <c r="D9658" s="0" t="n">
        <v>0</v>
      </c>
      <c r="E9658" s="19" t="n">
        <v>34.75</v>
      </c>
    </row>
    <row r="9659" customFormat="false" ht="15" hidden="false" customHeight="false" outlineLevel="0" collapsed="false">
      <c r="A9659" s="0" t="n">
        <v>9658</v>
      </c>
      <c r="B9659" s="18" t="n">
        <v>590668.412357091</v>
      </c>
      <c r="C9659" s="18" t="n">
        <v>1761446.36936428</v>
      </c>
      <c r="D9659" s="0" t="n">
        <v>1</v>
      </c>
    </row>
    <row r="9660" customFormat="false" ht="15" hidden="false" customHeight="false" outlineLevel="0" collapsed="false">
      <c r="A9660" s="0" t="n">
        <v>9659</v>
      </c>
      <c r="B9660" s="18" t="n">
        <v>1413468.34583634</v>
      </c>
      <c r="C9660" s="18" t="n">
        <v>0</v>
      </c>
      <c r="D9660" s="0" t="n">
        <v>0</v>
      </c>
      <c r="E9660" s="19" t="n">
        <v>40.8333333333333</v>
      </c>
    </row>
    <row r="9661" customFormat="false" ht="15" hidden="false" customHeight="false" outlineLevel="0" collapsed="false">
      <c r="A9661" s="0" t="n">
        <v>9660</v>
      </c>
      <c r="B9661" s="18" t="n">
        <v>1769676.92472259</v>
      </c>
      <c r="C9661" s="18" t="n">
        <v>1036328.75832465</v>
      </c>
      <c r="D9661" s="0" t="n">
        <v>1</v>
      </c>
    </row>
    <row r="9662" customFormat="false" ht="15" hidden="false" customHeight="false" outlineLevel="0" collapsed="false">
      <c r="A9662" s="0" t="n">
        <v>9661</v>
      </c>
      <c r="B9662" s="18" t="n">
        <v>426327.912230345</v>
      </c>
      <c r="C9662" s="18" t="n">
        <v>0</v>
      </c>
      <c r="D9662" s="0" t="n">
        <v>0</v>
      </c>
      <c r="E9662" s="19" t="n">
        <v>36.0833333333333</v>
      </c>
    </row>
    <row r="9663" customFormat="false" ht="15" hidden="false" customHeight="false" outlineLevel="0" collapsed="false">
      <c r="A9663" s="0" t="n">
        <v>9662</v>
      </c>
      <c r="B9663" s="18" t="n">
        <v>727046.923599664</v>
      </c>
      <c r="C9663" s="18" t="n">
        <v>0</v>
      </c>
      <c r="D9663" s="0" t="n">
        <v>0</v>
      </c>
      <c r="E9663" s="19" t="n">
        <v>46.5</v>
      </c>
    </row>
    <row r="9664" customFormat="false" ht="15" hidden="false" customHeight="false" outlineLevel="0" collapsed="false">
      <c r="A9664" s="0" t="n">
        <v>9663</v>
      </c>
      <c r="B9664" s="18" t="n">
        <v>928971.306850756</v>
      </c>
      <c r="C9664" s="18" t="n">
        <v>0</v>
      </c>
      <c r="D9664" s="0" t="n">
        <v>0</v>
      </c>
      <c r="E9664" s="19" t="n">
        <v>37.1666666666667</v>
      </c>
    </row>
    <row r="9665" customFormat="false" ht="15" hidden="false" customHeight="false" outlineLevel="0" collapsed="false">
      <c r="A9665" s="0" t="n">
        <v>9664</v>
      </c>
      <c r="B9665" s="18" t="n">
        <v>871108.603229096</v>
      </c>
      <c r="C9665" s="18" t="n">
        <v>1389125.0266249</v>
      </c>
      <c r="D9665" s="0" t="n">
        <v>1</v>
      </c>
    </row>
    <row r="9666" customFormat="false" ht="15" hidden="false" customHeight="false" outlineLevel="0" collapsed="false">
      <c r="A9666" s="0" t="n">
        <v>9665</v>
      </c>
      <c r="B9666" s="18" t="n">
        <v>570337.574436581</v>
      </c>
      <c r="C9666" s="18" t="n">
        <v>0</v>
      </c>
      <c r="D9666" s="0" t="n">
        <v>0</v>
      </c>
      <c r="E9666" s="19" t="n">
        <v>52.25</v>
      </c>
    </row>
    <row r="9667" customFormat="false" ht="15" hidden="false" customHeight="false" outlineLevel="0" collapsed="false">
      <c r="A9667" s="0" t="n">
        <v>9666</v>
      </c>
      <c r="B9667" s="18" t="n">
        <v>1003272.77210729</v>
      </c>
      <c r="C9667" s="18" t="n">
        <v>0</v>
      </c>
      <c r="D9667" s="0" t="n">
        <v>0</v>
      </c>
      <c r="E9667" s="19" t="n">
        <v>49.3333333333333</v>
      </c>
    </row>
    <row r="9668" customFormat="false" ht="15" hidden="false" customHeight="false" outlineLevel="0" collapsed="false">
      <c r="A9668" s="0" t="n">
        <v>9667</v>
      </c>
      <c r="B9668" s="18" t="n">
        <v>812211.070729542</v>
      </c>
      <c r="C9668" s="18" t="n">
        <v>0</v>
      </c>
      <c r="D9668" s="0" t="n">
        <v>0</v>
      </c>
      <c r="E9668" s="19" t="n">
        <v>41.0833333333333</v>
      </c>
    </row>
    <row r="9669" customFormat="false" ht="15" hidden="false" customHeight="false" outlineLevel="0" collapsed="false">
      <c r="A9669" s="0" t="n">
        <v>9668</v>
      </c>
      <c r="B9669" s="18" t="n">
        <v>1115027.0313989</v>
      </c>
      <c r="C9669" s="18" t="n">
        <v>237389.311938986</v>
      </c>
      <c r="D9669" s="0" t="n">
        <v>1</v>
      </c>
    </row>
    <row r="9670" customFormat="false" ht="15" hidden="false" customHeight="false" outlineLevel="0" collapsed="false">
      <c r="A9670" s="0" t="n">
        <v>9669</v>
      </c>
      <c r="B9670" s="18" t="n">
        <v>929415.071110114</v>
      </c>
      <c r="C9670" s="18" t="n">
        <v>0</v>
      </c>
      <c r="D9670" s="0" t="n">
        <v>0</v>
      </c>
      <c r="E9670" s="19" t="n">
        <v>53.9166666666667</v>
      </c>
    </row>
    <row r="9671" customFormat="false" ht="15" hidden="false" customHeight="false" outlineLevel="0" collapsed="false">
      <c r="A9671" s="0" t="n">
        <v>9670</v>
      </c>
      <c r="B9671" s="18" t="n">
        <v>1234363.47005287</v>
      </c>
      <c r="C9671" s="18" t="n">
        <v>2313514.74723824</v>
      </c>
      <c r="D9671" s="0" t="n">
        <v>1</v>
      </c>
    </row>
    <row r="9672" customFormat="false" ht="15" hidden="false" customHeight="false" outlineLevel="0" collapsed="false">
      <c r="A9672" s="0" t="n">
        <v>9671</v>
      </c>
      <c r="B9672" s="18" t="n">
        <v>917674.488585328</v>
      </c>
      <c r="C9672" s="18" t="n">
        <v>7007415.13049044</v>
      </c>
      <c r="D9672" s="0" t="n">
        <v>1</v>
      </c>
    </row>
    <row r="9673" customFormat="false" ht="15" hidden="false" customHeight="false" outlineLevel="0" collapsed="false">
      <c r="A9673" s="0" t="n">
        <v>9672</v>
      </c>
      <c r="B9673" s="18" t="n">
        <v>1194169.85891514</v>
      </c>
      <c r="C9673" s="18" t="n">
        <v>0</v>
      </c>
      <c r="D9673" s="0" t="n">
        <v>0</v>
      </c>
      <c r="E9673" s="19" t="n">
        <v>50</v>
      </c>
    </row>
    <row r="9674" customFormat="false" ht="15" hidden="false" customHeight="false" outlineLevel="0" collapsed="false">
      <c r="A9674" s="0" t="n">
        <v>9673</v>
      </c>
      <c r="B9674" s="18" t="n">
        <v>471769.912620918</v>
      </c>
      <c r="C9674" s="18" t="n">
        <v>0</v>
      </c>
      <c r="D9674" s="0" t="n">
        <v>0</v>
      </c>
      <c r="E9674" s="19" t="n">
        <v>34.5833333333333</v>
      </c>
    </row>
    <row r="9675" customFormat="false" ht="15" hidden="false" customHeight="false" outlineLevel="0" collapsed="false">
      <c r="A9675" s="0" t="n">
        <v>9674</v>
      </c>
      <c r="B9675" s="18" t="n">
        <v>749638.468004027</v>
      </c>
      <c r="C9675" s="18" t="n">
        <v>0</v>
      </c>
      <c r="D9675" s="0" t="n">
        <v>0</v>
      </c>
      <c r="E9675" s="19" t="n">
        <v>34.5</v>
      </c>
    </row>
    <row r="9676" customFormat="false" ht="15" hidden="false" customHeight="false" outlineLevel="0" collapsed="false">
      <c r="A9676" s="0" t="n">
        <v>9675</v>
      </c>
      <c r="B9676" s="18" t="n">
        <v>496269.407285392</v>
      </c>
      <c r="C9676" s="18" t="n">
        <v>0</v>
      </c>
      <c r="D9676" s="0" t="n">
        <v>0</v>
      </c>
      <c r="E9676" s="19" t="n">
        <v>33.75</v>
      </c>
    </row>
    <row r="9677" customFormat="false" ht="15" hidden="false" customHeight="false" outlineLevel="0" collapsed="false">
      <c r="A9677" s="0" t="n">
        <v>9676</v>
      </c>
      <c r="B9677" s="18" t="n">
        <v>432468.334054011</v>
      </c>
      <c r="C9677" s="18" t="n">
        <v>0</v>
      </c>
      <c r="D9677" s="0" t="n">
        <v>0</v>
      </c>
      <c r="E9677" s="19" t="n">
        <v>41.3333333333333</v>
      </c>
    </row>
    <row r="9678" customFormat="false" ht="15" hidden="false" customHeight="false" outlineLevel="0" collapsed="false">
      <c r="A9678" s="0" t="n">
        <v>9677</v>
      </c>
      <c r="B9678" s="18" t="n">
        <v>531810.362177941</v>
      </c>
      <c r="C9678" s="18" t="n">
        <v>0</v>
      </c>
      <c r="D9678" s="0" t="n">
        <v>0</v>
      </c>
      <c r="E9678" s="19" t="n">
        <v>34.3333333333333</v>
      </c>
    </row>
    <row r="9679" customFormat="false" ht="15" hidden="false" customHeight="false" outlineLevel="0" collapsed="false">
      <c r="A9679" s="0" t="n">
        <v>9678</v>
      </c>
      <c r="B9679" s="18" t="n">
        <v>962026.424290153</v>
      </c>
      <c r="C9679" s="18" t="n">
        <v>0</v>
      </c>
      <c r="D9679" s="0" t="n">
        <v>0</v>
      </c>
      <c r="E9679" s="19" t="n">
        <v>40.0833333333333</v>
      </c>
    </row>
    <row r="9680" customFormat="false" ht="15" hidden="false" customHeight="false" outlineLevel="0" collapsed="false">
      <c r="A9680" s="0" t="n">
        <v>9679</v>
      </c>
      <c r="B9680" s="18" t="n">
        <v>627018.961070614</v>
      </c>
      <c r="C9680" s="18" t="n">
        <v>0</v>
      </c>
      <c r="D9680" s="0" t="n">
        <v>0</v>
      </c>
      <c r="E9680" s="19" t="n">
        <v>45.4166666666667</v>
      </c>
    </row>
    <row r="9681" customFormat="false" ht="15" hidden="false" customHeight="false" outlineLevel="0" collapsed="false">
      <c r="A9681" s="0" t="n">
        <v>9680</v>
      </c>
      <c r="B9681" s="18" t="n">
        <v>910707.093990667</v>
      </c>
      <c r="C9681" s="18" t="n">
        <v>0</v>
      </c>
      <c r="D9681" s="0" t="n">
        <v>0</v>
      </c>
      <c r="E9681" s="19" t="n">
        <v>44.25</v>
      </c>
    </row>
    <row r="9682" customFormat="false" ht="15" hidden="false" customHeight="false" outlineLevel="0" collapsed="false">
      <c r="A9682" s="0" t="n">
        <v>9681</v>
      </c>
      <c r="B9682" s="18" t="n">
        <v>1734118.4057707</v>
      </c>
      <c r="C9682" s="18" t="n">
        <v>0</v>
      </c>
      <c r="D9682" s="0" t="n">
        <v>0</v>
      </c>
      <c r="E9682" s="19" t="n">
        <v>51.4166666666667</v>
      </c>
    </row>
    <row r="9683" customFormat="false" ht="15" hidden="false" customHeight="false" outlineLevel="0" collapsed="false">
      <c r="A9683" s="0" t="n">
        <v>9682</v>
      </c>
      <c r="B9683" s="18" t="n">
        <v>1222101.77891965</v>
      </c>
      <c r="C9683" s="18" t="n">
        <v>0</v>
      </c>
      <c r="D9683" s="0" t="n">
        <v>0</v>
      </c>
      <c r="E9683" s="19" t="n">
        <v>36.9166666666667</v>
      </c>
    </row>
    <row r="9684" customFormat="false" ht="15" hidden="false" customHeight="false" outlineLevel="0" collapsed="false">
      <c r="A9684" s="0" t="n">
        <v>9683</v>
      </c>
      <c r="B9684" s="18" t="n">
        <v>575841.270916211</v>
      </c>
      <c r="C9684" s="18" t="n">
        <v>0</v>
      </c>
      <c r="D9684" s="0" t="n">
        <v>0</v>
      </c>
      <c r="E9684" s="19" t="n">
        <v>35.6666666666667</v>
      </c>
    </row>
    <row r="9685" customFormat="false" ht="15" hidden="false" customHeight="false" outlineLevel="0" collapsed="false">
      <c r="A9685" s="0" t="n">
        <v>9684</v>
      </c>
      <c r="B9685" s="18" t="n">
        <v>1005949.61408809</v>
      </c>
      <c r="C9685" s="18" t="n">
        <v>0</v>
      </c>
      <c r="D9685" s="0" t="n">
        <v>0</v>
      </c>
      <c r="E9685" s="19" t="n">
        <v>39.25</v>
      </c>
    </row>
    <row r="9686" customFormat="false" ht="15" hidden="false" customHeight="false" outlineLevel="0" collapsed="false">
      <c r="A9686" s="0" t="n">
        <v>9685</v>
      </c>
      <c r="B9686" s="18" t="n">
        <v>2370038.40069339</v>
      </c>
      <c r="C9686" s="18" t="n">
        <v>18441746.7370444</v>
      </c>
      <c r="D9686" s="0" t="n">
        <v>1</v>
      </c>
    </row>
    <row r="9687" customFormat="false" ht="15" hidden="false" customHeight="false" outlineLevel="0" collapsed="false">
      <c r="A9687" s="0" t="n">
        <v>9686</v>
      </c>
      <c r="B9687" s="18" t="n">
        <v>954491.405436496</v>
      </c>
      <c r="C9687" s="18" t="n">
        <v>0</v>
      </c>
      <c r="D9687" s="0" t="n">
        <v>0</v>
      </c>
      <c r="E9687" s="19" t="n">
        <v>47.0833333333333</v>
      </c>
    </row>
    <row r="9688" customFormat="false" ht="15" hidden="false" customHeight="false" outlineLevel="0" collapsed="false">
      <c r="A9688" s="0" t="n">
        <v>9687</v>
      </c>
      <c r="B9688" s="18" t="n">
        <v>680079.050525069</v>
      </c>
      <c r="C9688" s="18" t="n">
        <v>0</v>
      </c>
      <c r="D9688" s="0" t="n">
        <v>0</v>
      </c>
      <c r="E9688" s="19" t="n">
        <v>40.6666666666667</v>
      </c>
    </row>
    <row r="9689" customFormat="false" ht="15" hidden="false" customHeight="false" outlineLevel="0" collapsed="false">
      <c r="A9689" s="0" t="n">
        <v>9688</v>
      </c>
      <c r="B9689" s="18" t="n">
        <v>2138889.0568174</v>
      </c>
      <c r="C9689" s="18" t="n">
        <v>29416257.7461814</v>
      </c>
      <c r="D9689" s="0" t="n">
        <v>1</v>
      </c>
    </row>
    <row r="9690" customFormat="false" ht="15" hidden="false" customHeight="false" outlineLevel="0" collapsed="false">
      <c r="A9690" s="0" t="n">
        <v>9689</v>
      </c>
      <c r="B9690" s="18" t="n">
        <v>503414.493170919</v>
      </c>
      <c r="C9690" s="18" t="n">
        <v>0</v>
      </c>
      <c r="D9690" s="0" t="n">
        <v>0</v>
      </c>
      <c r="E9690" s="19" t="n">
        <v>37.5</v>
      </c>
    </row>
    <row r="9691" customFormat="false" ht="15" hidden="false" customHeight="false" outlineLevel="0" collapsed="false">
      <c r="A9691" s="0" t="n">
        <v>9690</v>
      </c>
      <c r="B9691" s="18" t="n">
        <v>858269.735066571</v>
      </c>
      <c r="C9691" s="18" t="n">
        <v>0</v>
      </c>
      <c r="D9691" s="0" t="n">
        <v>0</v>
      </c>
      <c r="E9691" s="19" t="n">
        <v>37.4166666666667</v>
      </c>
    </row>
    <row r="9692" customFormat="false" ht="15" hidden="false" customHeight="false" outlineLevel="0" collapsed="false">
      <c r="A9692" s="0" t="n">
        <v>9691</v>
      </c>
      <c r="B9692" s="18" t="n">
        <v>656277.10733841</v>
      </c>
      <c r="C9692" s="18" t="n">
        <v>0</v>
      </c>
      <c r="D9692" s="0" t="n">
        <v>0</v>
      </c>
      <c r="E9692" s="19" t="n">
        <v>42.75</v>
      </c>
    </row>
    <row r="9693" customFormat="false" ht="15" hidden="false" customHeight="false" outlineLevel="0" collapsed="false">
      <c r="A9693" s="0" t="n">
        <v>9692</v>
      </c>
      <c r="B9693" s="18" t="n">
        <v>813593.06213152</v>
      </c>
      <c r="C9693" s="18" t="n">
        <v>0</v>
      </c>
      <c r="D9693" s="0" t="n">
        <v>0</v>
      </c>
      <c r="E9693" s="19" t="n">
        <v>39.5</v>
      </c>
    </row>
    <row r="9694" customFormat="false" ht="15" hidden="false" customHeight="false" outlineLevel="0" collapsed="false">
      <c r="A9694" s="0" t="n">
        <v>9693</v>
      </c>
      <c r="B9694" s="18" t="n">
        <v>1700401.62848543</v>
      </c>
      <c r="C9694" s="18" t="n">
        <v>0</v>
      </c>
      <c r="D9694" s="0" t="n">
        <v>0</v>
      </c>
      <c r="E9694" s="19" t="n">
        <v>51.1666666666667</v>
      </c>
    </row>
    <row r="9695" customFormat="false" ht="15" hidden="false" customHeight="false" outlineLevel="0" collapsed="false">
      <c r="A9695" s="0" t="n">
        <v>9694</v>
      </c>
      <c r="B9695" s="18" t="n">
        <v>820468.224142057</v>
      </c>
      <c r="C9695" s="18" t="n">
        <v>0</v>
      </c>
      <c r="D9695" s="0" t="n">
        <v>0</v>
      </c>
      <c r="E9695" s="19" t="n">
        <v>36.25</v>
      </c>
    </row>
    <row r="9696" customFormat="false" ht="15" hidden="false" customHeight="false" outlineLevel="0" collapsed="false">
      <c r="A9696" s="0" t="n">
        <v>9695</v>
      </c>
      <c r="B9696" s="18" t="n">
        <v>1508285.96558634</v>
      </c>
      <c r="C9696" s="18" t="n">
        <v>11692251.7661491</v>
      </c>
      <c r="D9696" s="0" t="n">
        <v>1</v>
      </c>
    </row>
    <row r="9697" customFormat="false" ht="15" hidden="false" customHeight="false" outlineLevel="0" collapsed="false">
      <c r="A9697" s="0" t="n">
        <v>9696</v>
      </c>
      <c r="B9697" s="18" t="n">
        <v>752999.808300543</v>
      </c>
      <c r="C9697" s="18" t="n">
        <v>0</v>
      </c>
      <c r="D9697" s="0" t="n">
        <v>0</v>
      </c>
      <c r="E9697" s="19" t="n">
        <v>42.9166666666667</v>
      </c>
    </row>
    <row r="9698" customFormat="false" ht="15" hidden="false" customHeight="false" outlineLevel="0" collapsed="false">
      <c r="A9698" s="0" t="n">
        <v>9697</v>
      </c>
      <c r="B9698" s="18" t="n">
        <v>995243.760849648</v>
      </c>
      <c r="C9698" s="18" t="n">
        <v>0</v>
      </c>
      <c r="D9698" s="0" t="n">
        <v>0</v>
      </c>
      <c r="E9698" s="19" t="n">
        <v>46.6666666666667</v>
      </c>
    </row>
    <row r="9699" customFormat="false" ht="15" hidden="false" customHeight="false" outlineLevel="0" collapsed="false">
      <c r="A9699" s="0" t="n">
        <v>9698</v>
      </c>
      <c r="B9699" s="18" t="n">
        <v>975323.98953384</v>
      </c>
      <c r="C9699" s="18" t="n">
        <v>0</v>
      </c>
      <c r="D9699" s="0" t="n">
        <v>0</v>
      </c>
      <c r="E9699" s="19" t="n">
        <v>38.9166666666667</v>
      </c>
    </row>
    <row r="9700" customFormat="false" ht="15" hidden="false" customHeight="false" outlineLevel="0" collapsed="false">
      <c r="A9700" s="0" t="n">
        <v>9699</v>
      </c>
      <c r="B9700" s="18" t="n">
        <v>916382.641433464</v>
      </c>
      <c r="C9700" s="18" t="n">
        <v>3355044.0160222</v>
      </c>
      <c r="D9700" s="0" t="n">
        <v>1</v>
      </c>
    </row>
    <row r="9701" customFormat="false" ht="15" hidden="false" customHeight="false" outlineLevel="0" collapsed="false">
      <c r="A9701" s="0" t="n">
        <v>9700</v>
      </c>
      <c r="B9701" s="18" t="n">
        <v>3963165.8238834</v>
      </c>
      <c r="C9701" s="18" t="n">
        <v>4382748.37399915</v>
      </c>
      <c r="D9701" s="0" t="n">
        <v>1</v>
      </c>
    </row>
    <row r="9702" customFormat="false" ht="15" hidden="false" customHeight="false" outlineLevel="0" collapsed="false">
      <c r="A9702" s="0" t="n">
        <v>9701</v>
      </c>
      <c r="B9702" s="18" t="n">
        <v>1600449.77301693</v>
      </c>
      <c r="C9702" s="18" t="n">
        <v>0</v>
      </c>
      <c r="D9702" s="0" t="n">
        <v>0</v>
      </c>
      <c r="E9702" s="19" t="n">
        <v>51.0833333333333</v>
      </c>
    </row>
    <row r="9703" customFormat="false" ht="15" hidden="false" customHeight="false" outlineLevel="0" collapsed="false">
      <c r="A9703" s="0" t="n">
        <v>9702</v>
      </c>
      <c r="B9703" s="18" t="n">
        <v>568446.213477786</v>
      </c>
      <c r="C9703" s="18" t="n">
        <v>0</v>
      </c>
      <c r="D9703" s="0" t="n">
        <v>0</v>
      </c>
      <c r="E9703" s="19" t="n">
        <v>32.9166666666667</v>
      </c>
    </row>
    <row r="9704" customFormat="false" ht="15" hidden="false" customHeight="false" outlineLevel="0" collapsed="false">
      <c r="A9704" s="0" t="n">
        <v>9703</v>
      </c>
      <c r="B9704" s="18" t="n">
        <v>409461.103889392</v>
      </c>
      <c r="C9704" s="18" t="n">
        <v>0</v>
      </c>
      <c r="D9704" s="0" t="n">
        <v>0</v>
      </c>
      <c r="E9704" s="19" t="n">
        <v>35.25</v>
      </c>
    </row>
    <row r="9705" customFormat="false" ht="15" hidden="false" customHeight="false" outlineLevel="0" collapsed="false">
      <c r="A9705" s="0" t="n">
        <v>9704</v>
      </c>
      <c r="B9705" s="18" t="n">
        <v>2854992.72907294</v>
      </c>
      <c r="C9705" s="18" t="n">
        <v>12120793.7363058</v>
      </c>
      <c r="D9705" s="0" t="n">
        <v>1</v>
      </c>
    </row>
    <row r="9706" customFormat="false" ht="15" hidden="false" customHeight="false" outlineLevel="0" collapsed="false">
      <c r="A9706" s="0" t="n">
        <v>9705</v>
      </c>
      <c r="B9706" s="18" t="n">
        <v>1282627.24871739</v>
      </c>
      <c r="C9706" s="18" t="n">
        <v>0</v>
      </c>
      <c r="D9706" s="0" t="n">
        <v>0</v>
      </c>
      <c r="E9706" s="19" t="n">
        <v>42.5833333333333</v>
      </c>
    </row>
    <row r="9707" customFormat="false" ht="15" hidden="false" customHeight="false" outlineLevel="0" collapsed="false">
      <c r="A9707" s="0" t="n">
        <v>9706</v>
      </c>
      <c r="B9707" s="18" t="n">
        <v>893373.086913768</v>
      </c>
      <c r="C9707" s="18" t="n">
        <v>324072.9427636</v>
      </c>
      <c r="D9707" s="0" t="n">
        <v>1</v>
      </c>
    </row>
    <row r="9708" customFormat="false" ht="15" hidden="false" customHeight="false" outlineLevel="0" collapsed="false">
      <c r="A9708" s="0" t="n">
        <v>9707</v>
      </c>
      <c r="B9708" s="18" t="n">
        <v>2530092.44597973</v>
      </c>
      <c r="C9708" s="18" t="n">
        <v>2587420.67842496</v>
      </c>
      <c r="D9708" s="0" t="n">
        <v>1</v>
      </c>
    </row>
    <row r="9709" customFormat="false" ht="15" hidden="false" customHeight="false" outlineLevel="0" collapsed="false">
      <c r="A9709" s="0" t="n">
        <v>9708</v>
      </c>
      <c r="B9709" s="18" t="n">
        <v>560462.593814836</v>
      </c>
      <c r="C9709" s="18" t="n">
        <v>0</v>
      </c>
      <c r="D9709" s="0" t="n">
        <v>0</v>
      </c>
      <c r="E9709" s="19" t="n">
        <v>39.0833333333333</v>
      </c>
    </row>
    <row r="9710" customFormat="false" ht="15" hidden="false" customHeight="false" outlineLevel="0" collapsed="false">
      <c r="A9710" s="0" t="n">
        <v>9709</v>
      </c>
      <c r="B9710" s="18" t="n">
        <v>381434.627440896</v>
      </c>
      <c r="C9710" s="18" t="n">
        <v>0</v>
      </c>
      <c r="D9710" s="0" t="n">
        <v>0</v>
      </c>
      <c r="E9710" s="19" t="n">
        <v>34.8333333333333</v>
      </c>
    </row>
    <row r="9711" customFormat="false" ht="15" hidden="false" customHeight="false" outlineLevel="0" collapsed="false">
      <c r="A9711" s="0" t="n">
        <v>9710</v>
      </c>
      <c r="B9711" s="18" t="n">
        <v>2660901.9831473</v>
      </c>
      <c r="C9711" s="18" t="n">
        <v>8298727.35521719</v>
      </c>
      <c r="D9711" s="0" t="n">
        <v>1</v>
      </c>
    </row>
    <row r="9712" customFormat="false" ht="15" hidden="false" customHeight="false" outlineLevel="0" collapsed="false">
      <c r="A9712" s="0" t="n">
        <v>9711</v>
      </c>
      <c r="B9712" s="18" t="n">
        <v>2976682.46006193</v>
      </c>
      <c r="C9712" s="18" t="n">
        <v>1611286.87750796</v>
      </c>
      <c r="D9712" s="0" t="n">
        <v>1</v>
      </c>
    </row>
    <row r="9713" customFormat="false" ht="15" hidden="false" customHeight="false" outlineLevel="0" collapsed="false">
      <c r="A9713" s="0" t="n">
        <v>9712</v>
      </c>
      <c r="B9713" s="18" t="n">
        <v>891930.001091896</v>
      </c>
      <c r="C9713" s="18" t="n">
        <v>0</v>
      </c>
      <c r="D9713" s="0" t="n">
        <v>0</v>
      </c>
      <c r="E9713" s="19" t="n">
        <v>47.4166666666667</v>
      </c>
    </row>
    <row r="9714" customFormat="false" ht="15" hidden="false" customHeight="false" outlineLevel="0" collapsed="false">
      <c r="A9714" s="0" t="n">
        <v>9713</v>
      </c>
      <c r="B9714" s="18" t="n">
        <v>2592792.86279149</v>
      </c>
      <c r="C9714" s="18" t="n">
        <v>639521.910540751</v>
      </c>
      <c r="D9714" s="0" t="n">
        <v>1</v>
      </c>
    </row>
    <row r="9715" customFormat="false" ht="15" hidden="false" customHeight="false" outlineLevel="0" collapsed="false">
      <c r="A9715" s="0" t="n">
        <v>9714</v>
      </c>
      <c r="B9715" s="18" t="n">
        <v>733346.32403727</v>
      </c>
      <c r="C9715" s="18" t="n">
        <v>0</v>
      </c>
      <c r="D9715" s="0" t="n">
        <v>0</v>
      </c>
      <c r="E9715" s="19" t="n">
        <v>33.5833333333333</v>
      </c>
    </row>
    <row r="9716" customFormat="false" ht="15" hidden="false" customHeight="false" outlineLevel="0" collapsed="false">
      <c r="A9716" s="0" t="n">
        <v>9715</v>
      </c>
      <c r="B9716" s="18" t="n">
        <v>652167.804710856</v>
      </c>
      <c r="C9716" s="18" t="n">
        <v>0</v>
      </c>
      <c r="D9716" s="0" t="n">
        <v>0</v>
      </c>
      <c r="E9716" s="19" t="n">
        <v>41.25</v>
      </c>
    </row>
    <row r="9717" customFormat="false" ht="15" hidden="false" customHeight="false" outlineLevel="0" collapsed="false">
      <c r="A9717" s="0" t="n">
        <v>9716</v>
      </c>
      <c r="B9717" s="18" t="n">
        <v>1232617.06864105</v>
      </c>
      <c r="C9717" s="18" t="n">
        <v>6668886.11516294</v>
      </c>
      <c r="D9717" s="0" t="n">
        <v>1</v>
      </c>
    </row>
    <row r="9718" customFormat="false" ht="15" hidden="false" customHeight="false" outlineLevel="0" collapsed="false">
      <c r="A9718" s="0" t="n">
        <v>9717</v>
      </c>
      <c r="B9718" s="18" t="n">
        <v>1256379.21823067</v>
      </c>
      <c r="C9718" s="18" t="n">
        <v>5065909.27766728</v>
      </c>
      <c r="D9718" s="0" t="n">
        <v>1</v>
      </c>
    </row>
    <row r="9719" customFormat="false" ht="15" hidden="false" customHeight="false" outlineLevel="0" collapsed="false">
      <c r="A9719" s="0" t="n">
        <v>9718</v>
      </c>
      <c r="B9719" s="18" t="n">
        <v>1063048.69356663</v>
      </c>
      <c r="C9719" s="18" t="n">
        <v>0</v>
      </c>
      <c r="D9719" s="0" t="n">
        <v>0</v>
      </c>
      <c r="E9719" s="19" t="n">
        <v>50</v>
      </c>
    </row>
    <row r="9720" customFormat="false" ht="15" hidden="false" customHeight="false" outlineLevel="0" collapsed="false">
      <c r="A9720" s="0" t="n">
        <v>9719</v>
      </c>
      <c r="B9720" s="18" t="n">
        <v>755342.973066006</v>
      </c>
      <c r="C9720" s="18" t="n">
        <v>0</v>
      </c>
      <c r="D9720" s="0" t="n">
        <v>0</v>
      </c>
      <c r="E9720" s="19" t="n">
        <v>34.9166666666667</v>
      </c>
    </row>
    <row r="9721" customFormat="false" ht="15" hidden="false" customHeight="false" outlineLevel="0" collapsed="false">
      <c r="A9721" s="0" t="n">
        <v>9720</v>
      </c>
      <c r="B9721" s="18" t="n">
        <v>1231986.4011623</v>
      </c>
      <c r="C9721" s="18" t="n">
        <v>0</v>
      </c>
      <c r="D9721" s="0" t="n">
        <v>0</v>
      </c>
      <c r="E9721" s="19" t="n">
        <v>35.8333333333333</v>
      </c>
    </row>
    <row r="9722" customFormat="false" ht="15" hidden="false" customHeight="false" outlineLevel="0" collapsed="false">
      <c r="A9722" s="0" t="n">
        <v>9721</v>
      </c>
      <c r="B9722" s="18" t="n">
        <v>1256026.41779295</v>
      </c>
      <c r="C9722" s="18" t="n">
        <v>0</v>
      </c>
      <c r="D9722" s="0" t="n">
        <v>0</v>
      </c>
      <c r="E9722" s="19" t="n">
        <v>52.9166666666667</v>
      </c>
    </row>
    <row r="9723" customFormat="false" ht="15" hidden="false" customHeight="false" outlineLevel="0" collapsed="false">
      <c r="A9723" s="0" t="n">
        <v>9722</v>
      </c>
      <c r="B9723" s="18" t="n">
        <v>1233607.94391617</v>
      </c>
      <c r="C9723" s="18" t="n">
        <v>0</v>
      </c>
      <c r="D9723" s="0" t="n">
        <v>0</v>
      </c>
      <c r="E9723" s="19" t="n">
        <v>54.3333333333333</v>
      </c>
    </row>
    <row r="9724" customFormat="false" ht="15" hidden="false" customHeight="false" outlineLevel="0" collapsed="false">
      <c r="A9724" s="0" t="n">
        <v>9723</v>
      </c>
      <c r="B9724" s="18" t="n">
        <v>1792152.86036621</v>
      </c>
      <c r="C9724" s="18" t="n">
        <v>6921967.01648141</v>
      </c>
      <c r="D9724" s="0" t="n">
        <v>1</v>
      </c>
    </row>
    <row r="9725" customFormat="false" ht="15" hidden="false" customHeight="false" outlineLevel="0" collapsed="false">
      <c r="A9725" s="0" t="n">
        <v>9724</v>
      </c>
      <c r="B9725" s="18" t="n">
        <v>971386.302856949</v>
      </c>
      <c r="C9725" s="18" t="n">
        <v>214766.797716399</v>
      </c>
      <c r="D9725" s="0" t="n">
        <v>1</v>
      </c>
    </row>
    <row r="9726" customFormat="false" ht="15" hidden="false" customHeight="false" outlineLevel="0" collapsed="false">
      <c r="A9726" s="0" t="n">
        <v>9725</v>
      </c>
      <c r="B9726" s="18" t="n">
        <v>812061.284813985</v>
      </c>
      <c r="C9726" s="18" t="n">
        <v>607421.817203541</v>
      </c>
      <c r="D9726" s="0" t="n">
        <v>1</v>
      </c>
    </row>
    <row r="9727" customFormat="false" ht="15" hidden="false" customHeight="false" outlineLevel="0" collapsed="false">
      <c r="A9727" s="0" t="n">
        <v>9726</v>
      </c>
      <c r="B9727" s="18" t="n">
        <v>860794.195736934</v>
      </c>
      <c r="C9727" s="18" t="n">
        <v>4105584.13204065</v>
      </c>
      <c r="D9727" s="0" t="n">
        <v>1</v>
      </c>
    </row>
    <row r="9728" customFormat="false" ht="15" hidden="false" customHeight="false" outlineLevel="0" collapsed="false">
      <c r="A9728" s="0" t="n">
        <v>9727</v>
      </c>
      <c r="B9728" s="18" t="n">
        <v>653662.009408744</v>
      </c>
      <c r="C9728" s="18" t="n">
        <v>0</v>
      </c>
      <c r="D9728" s="0" t="n">
        <v>0</v>
      </c>
      <c r="E9728" s="19" t="n">
        <v>42.6666666666667</v>
      </c>
    </row>
    <row r="9729" customFormat="false" ht="15" hidden="false" customHeight="false" outlineLevel="0" collapsed="false">
      <c r="A9729" s="0" t="n">
        <v>9728</v>
      </c>
      <c r="B9729" s="18" t="n">
        <v>639519.104141496</v>
      </c>
      <c r="C9729" s="18" t="n">
        <v>0</v>
      </c>
      <c r="D9729" s="0" t="n">
        <v>0</v>
      </c>
      <c r="E9729" s="19" t="n">
        <v>36.6666666666667</v>
      </c>
    </row>
    <row r="9730" customFormat="false" ht="15" hidden="false" customHeight="false" outlineLevel="0" collapsed="false">
      <c r="A9730" s="0" t="n">
        <v>9729</v>
      </c>
      <c r="B9730" s="18" t="n">
        <v>886926.085490577</v>
      </c>
      <c r="C9730" s="18" t="n">
        <v>0</v>
      </c>
      <c r="D9730" s="0" t="n">
        <v>0</v>
      </c>
      <c r="E9730" s="19" t="n">
        <v>38.25</v>
      </c>
    </row>
    <row r="9731" customFormat="false" ht="15" hidden="false" customHeight="false" outlineLevel="0" collapsed="false">
      <c r="A9731" s="0" t="n">
        <v>9730</v>
      </c>
      <c r="B9731" s="18" t="n">
        <v>696371.069246237</v>
      </c>
      <c r="C9731" s="18" t="n">
        <v>0</v>
      </c>
      <c r="D9731" s="0" t="n">
        <v>0</v>
      </c>
      <c r="E9731" s="19" t="n">
        <v>37.75</v>
      </c>
    </row>
    <row r="9732" customFormat="false" ht="15" hidden="false" customHeight="false" outlineLevel="0" collapsed="false">
      <c r="A9732" s="0" t="n">
        <v>9731</v>
      </c>
      <c r="B9732" s="18" t="n">
        <v>528172.721651997</v>
      </c>
      <c r="C9732" s="18" t="n">
        <v>0</v>
      </c>
      <c r="D9732" s="0" t="n">
        <v>0</v>
      </c>
      <c r="E9732" s="19" t="n">
        <v>37.25</v>
      </c>
    </row>
    <row r="9733" customFormat="false" ht="15" hidden="false" customHeight="false" outlineLevel="0" collapsed="false">
      <c r="A9733" s="0" t="n">
        <v>9732</v>
      </c>
      <c r="B9733" s="18" t="n">
        <v>518977.786471129</v>
      </c>
      <c r="C9733" s="18" t="n">
        <v>0</v>
      </c>
      <c r="D9733" s="0" t="n">
        <v>0</v>
      </c>
      <c r="E9733" s="19" t="n">
        <v>30.8333333333333</v>
      </c>
    </row>
    <row r="9734" customFormat="false" ht="15" hidden="false" customHeight="false" outlineLevel="0" collapsed="false">
      <c r="A9734" s="0" t="n">
        <v>9733</v>
      </c>
      <c r="B9734" s="18" t="n">
        <v>556740.549154421</v>
      </c>
      <c r="C9734" s="18" t="n">
        <v>3568983.42612451</v>
      </c>
      <c r="D9734" s="0" t="n">
        <v>1</v>
      </c>
    </row>
    <row r="9735" customFormat="false" ht="15" hidden="false" customHeight="false" outlineLevel="0" collapsed="false">
      <c r="A9735" s="0" t="n">
        <v>9734</v>
      </c>
      <c r="B9735" s="18" t="n">
        <v>1175724.37409797</v>
      </c>
      <c r="C9735" s="18" t="n">
        <v>0</v>
      </c>
      <c r="D9735" s="0" t="n">
        <v>0</v>
      </c>
      <c r="E9735" s="19" t="n">
        <v>47.25</v>
      </c>
    </row>
    <row r="9736" customFormat="false" ht="15" hidden="false" customHeight="false" outlineLevel="0" collapsed="false">
      <c r="A9736" s="0" t="n">
        <v>9735</v>
      </c>
      <c r="B9736" s="18" t="n">
        <v>1028265.36106324</v>
      </c>
      <c r="C9736" s="18" t="n">
        <v>0</v>
      </c>
      <c r="D9736" s="0" t="n">
        <v>0</v>
      </c>
      <c r="E9736" s="19" t="n">
        <v>50.3333333333333</v>
      </c>
    </row>
    <row r="9737" customFormat="false" ht="15" hidden="false" customHeight="false" outlineLevel="0" collapsed="false">
      <c r="A9737" s="0" t="n">
        <v>9736</v>
      </c>
      <c r="B9737" s="18" t="n">
        <v>1453197.38713668</v>
      </c>
      <c r="C9737" s="18" t="n">
        <v>736225.57546012</v>
      </c>
      <c r="D9737" s="0" t="n">
        <v>1</v>
      </c>
    </row>
    <row r="9738" customFormat="false" ht="15" hidden="false" customHeight="false" outlineLevel="0" collapsed="false">
      <c r="A9738" s="0" t="n">
        <v>9737</v>
      </c>
      <c r="B9738" s="18" t="n">
        <v>893266.955246937</v>
      </c>
      <c r="C9738" s="18" t="n">
        <v>0</v>
      </c>
      <c r="D9738" s="0" t="n">
        <v>0</v>
      </c>
      <c r="E9738" s="19" t="n">
        <v>44.9166666666667</v>
      </c>
    </row>
    <row r="9739" customFormat="false" ht="15" hidden="false" customHeight="false" outlineLevel="0" collapsed="false">
      <c r="A9739" s="0" t="n">
        <v>9738</v>
      </c>
      <c r="B9739" s="18" t="n">
        <v>496558.806404541</v>
      </c>
      <c r="C9739" s="18" t="n">
        <v>0</v>
      </c>
      <c r="D9739" s="0" t="n">
        <v>0</v>
      </c>
      <c r="E9739" s="19" t="n">
        <v>34.4166666666667</v>
      </c>
    </row>
    <row r="9740" customFormat="false" ht="15" hidden="false" customHeight="false" outlineLevel="0" collapsed="false">
      <c r="A9740" s="0" t="n">
        <v>9739</v>
      </c>
      <c r="B9740" s="18" t="n">
        <v>600065.342903181</v>
      </c>
      <c r="C9740" s="18" t="n">
        <v>0</v>
      </c>
      <c r="D9740" s="0" t="n">
        <v>0</v>
      </c>
      <c r="E9740" s="19" t="n">
        <v>33.25</v>
      </c>
    </row>
    <row r="9741" customFormat="false" ht="15" hidden="false" customHeight="false" outlineLevel="0" collapsed="false">
      <c r="A9741" s="0" t="n">
        <v>9740</v>
      </c>
      <c r="B9741" s="18" t="n">
        <v>1860313.80400029</v>
      </c>
      <c r="C9741" s="18" t="n">
        <v>0</v>
      </c>
      <c r="D9741" s="0" t="n">
        <v>0</v>
      </c>
      <c r="E9741" s="19" t="n">
        <v>53</v>
      </c>
    </row>
    <row r="9742" customFormat="false" ht="15" hidden="false" customHeight="false" outlineLevel="0" collapsed="false">
      <c r="A9742" s="0" t="n">
        <v>9741</v>
      </c>
      <c r="B9742" s="18" t="n">
        <v>1227746.98633471</v>
      </c>
      <c r="C9742" s="18" t="n">
        <v>1786208.02992552</v>
      </c>
      <c r="D9742" s="0" t="n">
        <v>1</v>
      </c>
    </row>
    <row r="9743" customFormat="false" ht="15" hidden="false" customHeight="false" outlineLevel="0" collapsed="false">
      <c r="A9743" s="0" t="n">
        <v>9742</v>
      </c>
      <c r="B9743" s="18" t="n">
        <v>3368059.07615157</v>
      </c>
      <c r="C9743" s="18" t="n">
        <v>12472511.024112</v>
      </c>
      <c r="D9743" s="0" t="n">
        <v>1</v>
      </c>
    </row>
    <row r="9744" customFormat="false" ht="15" hidden="false" customHeight="false" outlineLevel="0" collapsed="false">
      <c r="A9744" s="0" t="n">
        <v>9743</v>
      </c>
      <c r="B9744" s="18" t="n">
        <v>540988.04392616</v>
      </c>
      <c r="C9744" s="18" t="n">
        <v>0</v>
      </c>
      <c r="D9744" s="0" t="n">
        <v>0</v>
      </c>
      <c r="E9744" s="19" t="n">
        <v>33</v>
      </c>
    </row>
    <row r="9745" customFormat="false" ht="15" hidden="false" customHeight="false" outlineLevel="0" collapsed="false">
      <c r="A9745" s="0" t="n">
        <v>9744</v>
      </c>
      <c r="B9745" s="18" t="n">
        <v>1453196.21584941</v>
      </c>
      <c r="C9745" s="18" t="n">
        <v>0</v>
      </c>
      <c r="D9745" s="0" t="n">
        <v>0</v>
      </c>
      <c r="E9745" s="19" t="n">
        <v>53.4166666666667</v>
      </c>
    </row>
    <row r="9746" customFormat="false" ht="15" hidden="false" customHeight="false" outlineLevel="0" collapsed="false">
      <c r="A9746" s="0" t="n">
        <v>9745</v>
      </c>
      <c r="B9746" s="18" t="n">
        <v>768671.796517682</v>
      </c>
      <c r="C9746" s="18" t="n">
        <v>0</v>
      </c>
      <c r="D9746" s="0" t="n">
        <v>0</v>
      </c>
      <c r="E9746" s="19" t="n">
        <v>39.5</v>
      </c>
    </row>
    <row r="9747" customFormat="false" ht="15" hidden="false" customHeight="false" outlineLevel="0" collapsed="false">
      <c r="A9747" s="0" t="n">
        <v>9746</v>
      </c>
      <c r="B9747" s="18" t="n">
        <v>1122046.8217244</v>
      </c>
      <c r="C9747" s="18" t="n">
        <v>0</v>
      </c>
      <c r="D9747" s="0" t="n">
        <v>0</v>
      </c>
      <c r="E9747" s="19" t="n">
        <v>46.3333333333333</v>
      </c>
    </row>
    <row r="9748" customFormat="false" ht="15" hidden="false" customHeight="false" outlineLevel="0" collapsed="false">
      <c r="A9748" s="0" t="n">
        <v>9747</v>
      </c>
      <c r="B9748" s="18" t="n">
        <v>390724.856714342</v>
      </c>
      <c r="C9748" s="18" t="n">
        <v>0</v>
      </c>
      <c r="D9748" s="0" t="n">
        <v>0</v>
      </c>
      <c r="E9748" s="19" t="n">
        <v>33</v>
      </c>
    </row>
    <row r="9749" customFormat="false" ht="15" hidden="false" customHeight="false" outlineLevel="0" collapsed="false">
      <c r="A9749" s="0" t="n">
        <v>9748</v>
      </c>
      <c r="B9749" s="18" t="n">
        <v>1469000.28301375</v>
      </c>
      <c r="C9749" s="18" t="n">
        <v>6913448.99932793</v>
      </c>
      <c r="D9749" s="0" t="n">
        <v>1</v>
      </c>
    </row>
    <row r="9750" customFormat="false" ht="15" hidden="false" customHeight="false" outlineLevel="0" collapsed="false">
      <c r="A9750" s="0" t="n">
        <v>9749</v>
      </c>
      <c r="B9750" s="18" t="n">
        <v>850349.778011652</v>
      </c>
      <c r="C9750" s="18" t="n">
        <v>0</v>
      </c>
      <c r="D9750" s="0" t="n">
        <v>0</v>
      </c>
      <c r="E9750" s="19" t="n">
        <v>48.4166666666667</v>
      </c>
    </row>
    <row r="9751" customFormat="false" ht="15" hidden="false" customHeight="false" outlineLevel="0" collapsed="false">
      <c r="A9751" s="0" t="n">
        <v>9750</v>
      </c>
      <c r="B9751" s="18" t="n">
        <v>553635.553386509</v>
      </c>
      <c r="C9751" s="18" t="n">
        <v>0</v>
      </c>
      <c r="D9751" s="0" t="n">
        <v>0</v>
      </c>
      <c r="E9751" s="19" t="n">
        <v>37.6666666666667</v>
      </c>
    </row>
    <row r="9752" customFormat="false" ht="15" hidden="false" customHeight="false" outlineLevel="0" collapsed="false">
      <c r="A9752" s="0" t="n">
        <v>9751</v>
      </c>
      <c r="B9752" s="18" t="n">
        <v>1515105.16444613</v>
      </c>
      <c r="C9752" s="18" t="n">
        <v>1777189.66164141</v>
      </c>
      <c r="D9752" s="0" t="n">
        <v>1</v>
      </c>
    </row>
    <row r="9753" customFormat="false" ht="15" hidden="false" customHeight="false" outlineLevel="0" collapsed="false">
      <c r="A9753" s="0" t="n">
        <v>9752</v>
      </c>
      <c r="B9753" s="18" t="n">
        <v>511622.689121118</v>
      </c>
      <c r="C9753" s="18" t="n">
        <v>0</v>
      </c>
      <c r="D9753" s="0" t="n">
        <v>0</v>
      </c>
      <c r="E9753" s="19" t="n">
        <v>30.25</v>
      </c>
    </row>
    <row r="9754" customFormat="false" ht="15" hidden="false" customHeight="false" outlineLevel="0" collapsed="false">
      <c r="A9754" s="0" t="n">
        <v>9753</v>
      </c>
      <c r="B9754" s="18" t="n">
        <v>726672.276888506</v>
      </c>
      <c r="C9754" s="18" t="n">
        <v>0</v>
      </c>
      <c r="D9754" s="0" t="n">
        <v>0</v>
      </c>
      <c r="E9754" s="19" t="n">
        <v>36.1666666666667</v>
      </c>
    </row>
    <row r="9755" customFormat="false" ht="15" hidden="false" customHeight="false" outlineLevel="0" collapsed="false">
      <c r="A9755" s="0" t="n">
        <v>9754</v>
      </c>
      <c r="B9755" s="18" t="n">
        <v>2469672.08682383</v>
      </c>
      <c r="C9755" s="18" t="n">
        <v>0</v>
      </c>
      <c r="D9755" s="0" t="n">
        <v>0</v>
      </c>
      <c r="E9755" s="19" t="n">
        <v>46.5</v>
      </c>
    </row>
    <row r="9756" customFormat="false" ht="15" hidden="false" customHeight="false" outlineLevel="0" collapsed="false">
      <c r="A9756" s="0" t="n">
        <v>9755</v>
      </c>
      <c r="B9756" s="18" t="n">
        <v>594534.270108985</v>
      </c>
      <c r="C9756" s="18" t="n">
        <v>0</v>
      </c>
      <c r="D9756" s="0" t="n">
        <v>0</v>
      </c>
      <c r="E9756" s="19" t="n">
        <v>39.5833333333333</v>
      </c>
    </row>
    <row r="9757" customFormat="false" ht="15" hidden="false" customHeight="false" outlineLevel="0" collapsed="false">
      <c r="A9757" s="0" t="n">
        <v>9756</v>
      </c>
      <c r="B9757" s="18" t="n">
        <v>489933.181382704</v>
      </c>
      <c r="C9757" s="18" t="n">
        <v>0</v>
      </c>
      <c r="D9757" s="0" t="n">
        <v>0</v>
      </c>
      <c r="E9757" s="19" t="n">
        <v>36.5833333333333</v>
      </c>
    </row>
    <row r="9758" customFormat="false" ht="15" hidden="false" customHeight="false" outlineLevel="0" collapsed="false">
      <c r="A9758" s="0" t="n">
        <v>9757</v>
      </c>
      <c r="B9758" s="18" t="n">
        <v>1512319.28415884</v>
      </c>
      <c r="C9758" s="18" t="n">
        <v>19126832.6231427</v>
      </c>
      <c r="D9758" s="0" t="n">
        <v>1</v>
      </c>
    </row>
    <row r="9759" customFormat="false" ht="15" hidden="false" customHeight="false" outlineLevel="0" collapsed="false">
      <c r="A9759" s="0" t="n">
        <v>9758</v>
      </c>
      <c r="B9759" s="18" t="n">
        <v>1742792.70708021</v>
      </c>
      <c r="C9759" s="18" t="n">
        <v>3979910.06194545</v>
      </c>
      <c r="D9759" s="0" t="n">
        <v>1</v>
      </c>
    </row>
    <row r="9760" customFormat="false" ht="15" hidden="false" customHeight="false" outlineLevel="0" collapsed="false">
      <c r="A9760" s="0" t="n">
        <v>9759</v>
      </c>
      <c r="B9760" s="18" t="n">
        <v>422777.358223408</v>
      </c>
      <c r="C9760" s="18" t="n">
        <v>0</v>
      </c>
      <c r="D9760" s="0" t="n">
        <v>0</v>
      </c>
      <c r="E9760" s="19" t="n">
        <v>35.6666666666667</v>
      </c>
    </row>
    <row r="9761" customFormat="false" ht="15" hidden="false" customHeight="false" outlineLevel="0" collapsed="false">
      <c r="A9761" s="0" t="n">
        <v>9760</v>
      </c>
      <c r="B9761" s="18" t="n">
        <v>736461.551910167</v>
      </c>
      <c r="C9761" s="18" t="n">
        <v>0</v>
      </c>
      <c r="D9761" s="0" t="n">
        <v>0</v>
      </c>
      <c r="E9761" s="19" t="n">
        <v>54.5</v>
      </c>
    </row>
    <row r="9762" customFormat="false" ht="15" hidden="false" customHeight="false" outlineLevel="0" collapsed="false">
      <c r="A9762" s="0" t="n">
        <v>9761</v>
      </c>
      <c r="B9762" s="18" t="n">
        <v>474515.219110732</v>
      </c>
      <c r="C9762" s="18" t="n">
        <v>0</v>
      </c>
      <c r="D9762" s="0" t="n">
        <v>0</v>
      </c>
      <c r="E9762" s="19" t="n">
        <v>35</v>
      </c>
    </row>
    <row r="9763" customFormat="false" ht="15" hidden="false" customHeight="false" outlineLevel="0" collapsed="false">
      <c r="A9763" s="0" t="n">
        <v>9762</v>
      </c>
      <c r="B9763" s="18" t="n">
        <v>499622.162130069</v>
      </c>
      <c r="C9763" s="18" t="n">
        <v>0</v>
      </c>
      <c r="D9763" s="0" t="n">
        <v>0</v>
      </c>
      <c r="E9763" s="19" t="n">
        <v>32.6666666666667</v>
      </c>
    </row>
    <row r="9764" customFormat="false" ht="15" hidden="false" customHeight="false" outlineLevel="0" collapsed="false">
      <c r="A9764" s="0" t="n">
        <v>9763</v>
      </c>
      <c r="B9764" s="18" t="n">
        <v>807534.958167252</v>
      </c>
      <c r="C9764" s="18" t="n">
        <v>0</v>
      </c>
      <c r="D9764" s="0" t="n">
        <v>0</v>
      </c>
      <c r="E9764" s="19" t="n">
        <v>54</v>
      </c>
    </row>
    <row r="9765" customFormat="false" ht="15" hidden="false" customHeight="false" outlineLevel="0" collapsed="false">
      <c r="A9765" s="0" t="n">
        <v>9764</v>
      </c>
      <c r="B9765" s="18" t="n">
        <v>559713.899300998</v>
      </c>
      <c r="C9765" s="18" t="n">
        <v>0</v>
      </c>
      <c r="D9765" s="0" t="n">
        <v>0</v>
      </c>
      <c r="E9765" s="19" t="n">
        <v>36.3333333333333</v>
      </c>
    </row>
    <row r="9766" customFormat="false" ht="15" hidden="false" customHeight="false" outlineLevel="0" collapsed="false">
      <c r="A9766" s="0" t="n">
        <v>9765</v>
      </c>
      <c r="B9766" s="18" t="n">
        <v>780311.110494695</v>
      </c>
      <c r="C9766" s="18" t="n">
        <v>293488.477010257</v>
      </c>
      <c r="D9766" s="0" t="n">
        <v>1</v>
      </c>
    </row>
    <row r="9767" customFormat="false" ht="15" hidden="false" customHeight="false" outlineLevel="0" collapsed="false">
      <c r="A9767" s="0" t="n">
        <v>9766</v>
      </c>
      <c r="B9767" s="18" t="n">
        <v>730272.092229683</v>
      </c>
      <c r="C9767" s="18" t="n">
        <v>0</v>
      </c>
      <c r="D9767" s="0" t="n">
        <v>0</v>
      </c>
      <c r="E9767" s="19" t="n">
        <v>41.9166666666667</v>
      </c>
    </row>
    <row r="9768" customFormat="false" ht="15" hidden="false" customHeight="false" outlineLevel="0" collapsed="false">
      <c r="A9768" s="0" t="n">
        <v>9767</v>
      </c>
      <c r="B9768" s="18" t="n">
        <v>766738.169543821</v>
      </c>
      <c r="C9768" s="18" t="n">
        <v>0</v>
      </c>
      <c r="D9768" s="0" t="n">
        <v>0</v>
      </c>
      <c r="E9768" s="19" t="n">
        <v>34.3333333333333</v>
      </c>
    </row>
    <row r="9769" customFormat="false" ht="15" hidden="false" customHeight="false" outlineLevel="0" collapsed="false">
      <c r="A9769" s="0" t="n">
        <v>9768</v>
      </c>
      <c r="B9769" s="18" t="n">
        <v>489180.477901353</v>
      </c>
      <c r="C9769" s="18" t="n">
        <v>0</v>
      </c>
      <c r="D9769" s="0" t="n">
        <v>0</v>
      </c>
      <c r="E9769" s="19" t="n">
        <v>33.6666666666667</v>
      </c>
    </row>
    <row r="9770" customFormat="false" ht="15" hidden="false" customHeight="false" outlineLevel="0" collapsed="false">
      <c r="A9770" s="0" t="n">
        <v>9769</v>
      </c>
      <c r="B9770" s="18" t="n">
        <v>735111.887131126</v>
      </c>
      <c r="C9770" s="18" t="n">
        <v>0</v>
      </c>
      <c r="D9770" s="0" t="n">
        <v>0</v>
      </c>
      <c r="E9770" s="19" t="n">
        <v>52.5833333333333</v>
      </c>
    </row>
    <row r="9771" customFormat="false" ht="15" hidden="false" customHeight="false" outlineLevel="0" collapsed="false">
      <c r="A9771" s="0" t="n">
        <v>9770</v>
      </c>
      <c r="B9771" s="18" t="n">
        <v>1819900.33186857</v>
      </c>
      <c r="C9771" s="18" t="n">
        <v>258794.368619494</v>
      </c>
      <c r="D9771" s="0" t="n">
        <v>1</v>
      </c>
    </row>
    <row r="9772" customFormat="false" ht="15" hidden="false" customHeight="false" outlineLevel="0" collapsed="false">
      <c r="A9772" s="0" t="n">
        <v>9771</v>
      </c>
      <c r="B9772" s="18" t="n">
        <v>2996073.196077</v>
      </c>
      <c r="C9772" s="18" t="n">
        <v>7849797.43040159</v>
      </c>
      <c r="D9772" s="0" t="n">
        <v>1</v>
      </c>
    </row>
    <row r="9773" customFormat="false" ht="15" hidden="false" customHeight="false" outlineLevel="0" collapsed="false">
      <c r="A9773" s="0" t="n">
        <v>9772</v>
      </c>
      <c r="B9773" s="18" t="n">
        <v>629914.424421707</v>
      </c>
      <c r="C9773" s="18" t="n">
        <v>0</v>
      </c>
      <c r="D9773" s="0" t="n">
        <v>0</v>
      </c>
      <c r="E9773" s="19" t="n">
        <v>37.25</v>
      </c>
    </row>
    <row r="9774" customFormat="false" ht="15" hidden="false" customHeight="false" outlineLevel="0" collapsed="false">
      <c r="A9774" s="0" t="n">
        <v>9773</v>
      </c>
      <c r="B9774" s="18" t="n">
        <v>694996.544411387</v>
      </c>
      <c r="C9774" s="18" t="n">
        <v>0</v>
      </c>
      <c r="D9774" s="0" t="n">
        <v>0</v>
      </c>
      <c r="E9774" s="19" t="n">
        <v>39.25</v>
      </c>
    </row>
    <row r="9775" customFormat="false" ht="15" hidden="false" customHeight="false" outlineLevel="0" collapsed="false">
      <c r="A9775" s="0" t="n">
        <v>9774</v>
      </c>
      <c r="B9775" s="18" t="n">
        <v>498496.028889209</v>
      </c>
      <c r="C9775" s="18" t="n">
        <v>0</v>
      </c>
      <c r="D9775" s="0" t="n">
        <v>0</v>
      </c>
      <c r="E9775" s="19" t="n">
        <v>31.8333333333333</v>
      </c>
    </row>
    <row r="9776" customFormat="false" ht="15" hidden="false" customHeight="false" outlineLevel="0" collapsed="false">
      <c r="A9776" s="0" t="n">
        <v>9775</v>
      </c>
      <c r="B9776" s="18" t="n">
        <v>3015657.02010625</v>
      </c>
      <c r="C9776" s="18" t="n">
        <v>104919132.82919</v>
      </c>
      <c r="D9776" s="0" t="n">
        <v>1</v>
      </c>
    </row>
    <row r="9777" customFormat="false" ht="15" hidden="false" customHeight="false" outlineLevel="0" collapsed="false">
      <c r="A9777" s="0" t="n">
        <v>9776</v>
      </c>
      <c r="B9777" s="18" t="n">
        <v>535029.79028411</v>
      </c>
      <c r="C9777" s="18" t="n">
        <v>0</v>
      </c>
      <c r="D9777" s="0" t="n">
        <v>0</v>
      </c>
      <c r="E9777" s="19" t="n">
        <v>33.9166666666667</v>
      </c>
    </row>
    <row r="9778" customFormat="false" ht="15" hidden="false" customHeight="false" outlineLevel="0" collapsed="false">
      <c r="A9778" s="0" t="n">
        <v>9777</v>
      </c>
      <c r="B9778" s="18" t="n">
        <v>1003957.95646329</v>
      </c>
      <c r="C9778" s="18" t="n">
        <v>0</v>
      </c>
      <c r="D9778" s="0" t="n">
        <v>0</v>
      </c>
      <c r="E9778" s="19" t="n">
        <v>43.3333333333333</v>
      </c>
    </row>
    <row r="9779" customFormat="false" ht="15" hidden="false" customHeight="false" outlineLevel="0" collapsed="false">
      <c r="A9779" s="0" t="n">
        <v>9778</v>
      </c>
      <c r="B9779" s="18" t="n">
        <v>1077433.0806398</v>
      </c>
      <c r="C9779" s="18" t="n">
        <v>220437.818450544</v>
      </c>
      <c r="D9779" s="0" t="n">
        <v>1</v>
      </c>
    </row>
    <row r="9780" customFormat="false" ht="15" hidden="false" customHeight="false" outlineLevel="0" collapsed="false">
      <c r="A9780" s="0" t="n">
        <v>9779</v>
      </c>
      <c r="B9780" s="18" t="n">
        <v>796496.799360645</v>
      </c>
      <c r="C9780" s="18" t="n">
        <v>0</v>
      </c>
      <c r="D9780" s="0" t="n">
        <v>0</v>
      </c>
      <c r="E9780" s="19" t="n">
        <v>40.1666666666667</v>
      </c>
    </row>
    <row r="9781" customFormat="false" ht="15" hidden="false" customHeight="false" outlineLevel="0" collapsed="false">
      <c r="A9781" s="0" t="n">
        <v>9780</v>
      </c>
      <c r="B9781" s="18" t="n">
        <v>959192.507123954</v>
      </c>
      <c r="C9781" s="18" t="n">
        <v>860602.209641444</v>
      </c>
      <c r="D9781" s="0" t="n">
        <v>1</v>
      </c>
    </row>
    <row r="9782" customFormat="false" ht="15" hidden="false" customHeight="false" outlineLevel="0" collapsed="false">
      <c r="A9782" s="0" t="n">
        <v>9781</v>
      </c>
      <c r="B9782" s="18" t="n">
        <v>1368153.41415862</v>
      </c>
      <c r="C9782" s="18" t="n">
        <v>429157.437696806</v>
      </c>
      <c r="D9782" s="0" t="n">
        <v>1</v>
      </c>
    </row>
    <row r="9783" customFormat="false" ht="15" hidden="false" customHeight="false" outlineLevel="0" collapsed="false">
      <c r="A9783" s="0" t="n">
        <v>9782</v>
      </c>
      <c r="B9783" s="18" t="n">
        <v>2203511.18658363</v>
      </c>
      <c r="C9783" s="18" t="n">
        <v>11913318.2684109</v>
      </c>
      <c r="D9783" s="0" t="n">
        <v>1</v>
      </c>
    </row>
    <row r="9784" customFormat="false" ht="15" hidden="false" customHeight="false" outlineLevel="0" collapsed="false">
      <c r="A9784" s="0" t="n">
        <v>9783</v>
      </c>
      <c r="B9784" s="18" t="n">
        <v>905918.183320184</v>
      </c>
      <c r="C9784" s="18" t="n">
        <v>0</v>
      </c>
      <c r="D9784" s="0" t="n">
        <v>0</v>
      </c>
      <c r="E9784" s="19" t="n">
        <v>42.8333333333333</v>
      </c>
    </row>
    <row r="9785" customFormat="false" ht="15" hidden="false" customHeight="false" outlineLevel="0" collapsed="false">
      <c r="A9785" s="0" t="n">
        <v>9784</v>
      </c>
      <c r="B9785" s="18" t="n">
        <v>835598.961424528</v>
      </c>
      <c r="C9785" s="18" t="n">
        <v>0</v>
      </c>
      <c r="D9785" s="0" t="n">
        <v>0</v>
      </c>
      <c r="E9785" s="19" t="n">
        <v>39.9166666666667</v>
      </c>
    </row>
    <row r="9786" customFormat="false" ht="15" hidden="false" customHeight="false" outlineLevel="0" collapsed="false">
      <c r="A9786" s="0" t="n">
        <v>9785</v>
      </c>
      <c r="B9786" s="18" t="n">
        <v>979160.226405861</v>
      </c>
      <c r="C9786" s="18" t="n">
        <v>2083501.06500859</v>
      </c>
      <c r="D9786" s="0" t="n">
        <v>1</v>
      </c>
    </row>
    <row r="9787" customFormat="false" ht="15" hidden="false" customHeight="false" outlineLevel="0" collapsed="false">
      <c r="A9787" s="0" t="n">
        <v>9786</v>
      </c>
      <c r="B9787" s="18" t="n">
        <v>1156821.61980274</v>
      </c>
      <c r="C9787" s="18" t="n">
        <v>3400778.70170651</v>
      </c>
      <c r="D9787" s="0" t="n">
        <v>1</v>
      </c>
    </row>
    <row r="9788" customFormat="false" ht="15" hidden="false" customHeight="false" outlineLevel="0" collapsed="false">
      <c r="A9788" s="0" t="n">
        <v>9787</v>
      </c>
      <c r="B9788" s="18" t="n">
        <v>998106.149963777</v>
      </c>
      <c r="C9788" s="18" t="n">
        <v>0</v>
      </c>
      <c r="D9788" s="0" t="n">
        <v>0</v>
      </c>
      <c r="E9788" s="19" t="n">
        <v>53.3333333333333</v>
      </c>
    </row>
    <row r="9789" customFormat="false" ht="15" hidden="false" customHeight="false" outlineLevel="0" collapsed="false">
      <c r="A9789" s="0" t="n">
        <v>9788</v>
      </c>
      <c r="B9789" s="18" t="n">
        <v>1880574.7919093</v>
      </c>
      <c r="C9789" s="18" t="n">
        <v>8760352.82147861</v>
      </c>
      <c r="D9789" s="0" t="n">
        <v>1</v>
      </c>
    </row>
    <row r="9790" customFormat="false" ht="15" hidden="false" customHeight="false" outlineLevel="0" collapsed="false">
      <c r="A9790" s="0" t="n">
        <v>9789</v>
      </c>
      <c r="B9790" s="18" t="n">
        <v>921404.039957263</v>
      </c>
      <c r="C9790" s="18" t="n">
        <v>0</v>
      </c>
      <c r="D9790" s="0" t="n">
        <v>0</v>
      </c>
      <c r="E9790" s="19" t="n">
        <v>43.8333333333333</v>
      </c>
    </row>
    <row r="9791" customFormat="false" ht="15" hidden="false" customHeight="false" outlineLevel="0" collapsed="false">
      <c r="A9791" s="0" t="n">
        <v>9790</v>
      </c>
      <c r="B9791" s="18" t="n">
        <v>376502.502060103</v>
      </c>
      <c r="C9791" s="18" t="n">
        <v>0</v>
      </c>
      <c r="D9791" s="0" t="n">
        <v>0</v>
      </c>
      <c r="E9791" s="19" t="n">
        <v>31.6666666666667</v>
      </c>
    </row>
    <row r="9792" customFormat="false" ht="15" hidden="false" customHeight="false" outlineLevel="0" collapsed="false">
      <c r="A9792" s="0" t="n">
        <v>9791</v>
      </c>
      <c r="B9792" s="18" t="n">
        <v>661776.966575285</v>
      </c>
      <c r="C9792" s="18" t="n">
        <v>0</v>
      </c>
      <c r="D9792" s="0" t="n">
        <v>0</v>
      </c>
      <c r="E9792" s="19" t="n">
        <v>46.0833333333333</v>
      </c>
    </row>
    <row r="9793" customFormat="false" ht="15" hidden="false" customHeight="false" outlineLevel="0" collapsed="false">
      <c r="A9793" s="0" t="n">
        <v>9792</v>
      </c>
      <c r="B9793" s="18" t="n">
        <v>513023.286151023</v>
      </c>
      <c r="C9793" s="18" t="n">
        <v>0</v>
      </c>
      <c r="D9793" s="0" t="n">
        <v>0</v>
      </c>
      <c r="E9793" s="19" t="n">
        <v>42.5</v>
      </c>
    </row>
    <row r="9794" customFormat="false" ht="15" hidden="false" customHeight="false" outlineLevel="0" collapsed="false">
      <c r="A9794" s="0" t="n">
        <v>9793</v>
      </c>
      <c r="B9794" s="18" t="n">
        <v>3203400.04039656</v>
      </c>
      <c r="C9794" s="18" t="n">
        <v>6998544.4923811</v>
      </c>
      <c r="D9794" s="0" t="n">
        <v>1</v>
      </c>
    </row>
    <row r="9795" customFormat="false" ht="15" hidden="false" customHeight="false" outlineLevel="0" collapsed="false">
      <c r="A9795" s="0" t="n">
        <v>9794</v>
      </c>
      <c r="B9795" s="18" t="n">
        <v>370330.177255158</v>
      </c>
      <c r="C9795" s="18" t="n">
        <v>0</v>
      </c>
      <c r="D9795" s="0" t="n">
        <v>0</v>
      </c>
      <c r="E9795" s="19" t="n">
        <v>30.5</v>
      </c>
    </row>
    <row r="9796" customFormat="false" ht="15" hidden="false" customHeight="false" outlineLevel="0" collapsed="false">
      <c r="A9796" s="0" t="n">
        <v>9795</v>
      </c>
      <c r="B9796" s="18" t="n">
        <v>748187.91474513</v>
      </c>
      <c r="C9796" s="18" t="n">
        <v>0</v>
      </c>
      <c r="D9796" s="0" t="n">
        <v>0</v>
      </c>
      <c r="E9796" s="19" t="n">
        <v>41.25</v>
      </c>
    </row>
    <row r="9797" customFormat="false" ht="15" hidden="false" customHeight="false" outlineLevel="0" collapsed="false">
      <c r="A9797" s="0" t="n">
        <v>9796</v>
      </c>
      <c r="B9797" s="18" t="n">
        <v>491669.418930953</v>
      </c>
      <c r="C9797" s="18" t="n">
        <v>0</v>
      </c>
      <c r="D9797" s="0" t="n">
        <v>0</v>
      </c>
      <c r="E9797" s="19" t="n">
        <v>31.9166666666667</v>
      </c>
    </row>
    <row r="9798" customFormat="false" ht="15" hidden="false" customHeight="false" outlineLevel="0" collapsed="false">
      <c r="A9798" s="0" t="n">
        <v>9797</v>
      </c>
      <c r="B9798" s="18" t="n">
        <v>1107261.58540933</v>
      </c>
      <c r="C9798" s="18" t="n">
        <v>351530.151410717</v>
      </c>
      <c r="D9798" s="0" t="n">
        <v>1</v>
      </c>
    </row>
    <row r="9799" customFormat="false" ht="15" hidden="false" customHeight="false" outlineLevel="0" collapsed="false">
      <c r="A9799" s="0" t="n">
        <v>9798</v>
      </c>
      <c r="B9799" s="18" t="n">
        <v>382270.06405778</v>
      </c>
      <c r="C9799" s="18" t="n">
        <v>0</v>
      </c>
      <c r="D9799" s="0" t="n">
        <v>0</v>
      </c>
      <c r="E9799" s="19" t="n">
        <v>31.8333333333333</v>
      </c>
    </row>
    <row r="9800" customFormat="false" ht="15" hidden="false" customHeight="false" outlineLevel="0" collapsed="false">
      <c r="A9800" s="0" t="n">
        <v>9799</v>
      </c>
      <c r="B9800" s="18" t="n">
        <v>1513095.48186523</v>
      </c>
      <c r="C9800" s="18" t="n">
        <v>0</v>
      </c>
      <c r="D9800" s="0" t="n">
        <v>0</v>
      </c>
      <c r="E9800" s="19" t="n">
        <v>53.25</v>
      </c>
    </row>
    <row r="9801" customFormat="false" ht="15" hidden="false" customHeight="false" outlineLevel="0" collapsed="false">
      <c r="A9801" s="0" t="n">
        <v>9800</v>
      </c>
      <c r="B9801" s="18" t="n">
        <v>341523.42595774</v>
      </c>
      <c r="C9801" s="18" t="n">
        <v>0</v>
      </c>
      <c r="D9801" s="0" t="n">
        <v>0</v>
      </c>
      <c r="E9801" s="19" t="n">
        <v>33.0833333333333</v>
      </c>
    </row>
    <row r="9802" customFormat="false" ht="15" hidden="false" customHeight="false" outlineLevel="0" collapsed="false">
      <c r="A9802" s="0" t="n">
        <v>9801</v>
      </c>
      <c r="B9802" s="18" t="n">
        <v>806017.829556125</v>
      </c>
      <c r="C9802" s="18" t="n">
        <v>0</v>
      </c>
      <c r="D9802" s="0" t="n">
        <v>0</v>
      </c>
      <c r="E9802" s="19" t="n">
        <v>39.8333333333333</v>
      </c>
    </row>
    <row r="9803" customFormat="false" ht="15" hidden="false" customHeight="false" outlineLevel="0" collapsed="false">
      <c r="A9803" s="0" t="n">
        <v>9802</v>
      </c>
      <c r="B9803" s="18" t="n">
        <v>1475549.97173814</v>
      </c>
      <c r="C9803" s="18" t="n">
        <v>1053226.39194854</v>
      </c>
      <c r="D9803" s="0" t="n">
        <v>1</v>
      </c>
    </row>
    <row r="9804" customFormat="false" ht="15" hidden="false" customHeight="false" outlineLevel="0" collapsed="false">
      <c r="A9804" s="0" t="n">
        <v>9803</v>
      </c>
      <c r="B9804" s="18" t="n">
        <v>2042750.14382772</v>
      </c>
      <c r="C9804" s="18" t="n">
        <v>2428697.35017066</v>
      </c>
      <c r="D9804" s="0" t="n">
        <v>1</v>
      </c>
    </row>
    <row r="9805" customFormat="false" ht="15" hidden="false" customHeight="false" outlineLevel="0" collapsed="false">
      <c r="A9805" s="0" t="n">
        <v>9804</v>
      </c>
      <c r="B9805" s="18" t="n">
        <v>848089.160921641</v>
      </c>
      <c r="C9805" s="18" t="n">
        <v>1090458.58750908</v>
      </c>
      <c r="D9805" s="0" t="n">
        <v>1</v>
      </c>
    </row>
    <row r="9806" customFormat="false" ht="15" hidden="false" customHeight="false" outlineLevel="0" collapsed="false">
      <c r="A9806" s="0" t="n">
        <v>9805</v>
      </c>
      <c r="B9806" s="18" t="n">
        <v>611964.185348614</v>
      </c>
      <c r="C9806" s="18" t="n">
        <v>0</v>
      </c>
      <c r="D9806" s="0" t="n">
        <v>0</v>
      </c>
      <c r="E9806" s="19" t="n">
        <v>45.6666666666667</v>
      </c>
    </row>
    <row r="9807" customFormat="false" ht="15" hidden="false" customHeight="false" outlineLevel="0" collapsed="false">
      <c r="A9807" s="0" t="n">
        <v>9806</v>
      </c>
      <c r="B9807" s="18" t="n">
        <v>869555.327831766</v>
      </c>
      <c r="C9807" s="18" t="n">
        <v>0</v>
      </c>
      <c r="D9807" s="0" t="n">
        <v>0</v>
      </c>
      <c r="E9807" s="19" t="n">
        <v>41.3333333333333</v>
      </c>
    </row>
    <row r="9808" customFormat="false" ht="15" hidden="false" customHeight="false" outlineLevel="0" collapsed="false">
      <c r="A9808" s="0" t="n">
        <v>9807</v>
      </c>
      <c r="B9808" s="18" t="n">
        <v>259509.131842888</v>
      </c>
      <c r="C9808" s="18" t="n">
        <v>0</v>
      </c>
      <c r="D9808" s="0" t="n">
        <v>0</v>
      </c>
      <c r="E9808" s="19" t="n">
        <v>29.3333333333333</v>
      </c>
    </row>
    <row r="9809" customFormat="false" ht="15" hidden="false" customHeight="false" outlineLevel="0" collapsed="false">
      <c r="A9809" s="0" t="n">
        <v>9808</v>
      </c>
      <c r="B9809" s="18" t="n">
        <v>497350.452900311</v>
      </c>
      <c r="C9809" s="18" t="n">
        <v>0</v>
      </c>
      <c r="D9809" s="0" t="n">
        <v>0</v>
      </c>
      <c r="E9809" s="19" t="n">
        <v>31.8333333333333</v>
      </c>
    </row>
    <row r="9810" customFormat="false" ht="15" hidden="false" customHeight="false" outlineLevel="0" collapsed="false">
      <c r="A9810" s="0" t="n">
        <v>9809</v>
      </c>
      <c r="B9810" s="18" t="n">
        <v>1848813.33864385</v>
      </c>
      <c r="C9810" s="18" t="n">
        <v>21733627.3623726</v>
      </c>
      <c r="D9810" s="0" t="n">
        <v>1</v>
      </c>
    </row>
    <row r="9811" customFormat="false" ht="15" hidden="false" customHeight="false" outlineLevel="0" collapsed="false">
      <c r="A9811" s="0" t="n">
        <v>9810</v>
      </c>
      <c r="B9811" s="18" t="n">
        <v>2281968.33196429</v>
      </c>
      <c r="C9811" s="18" t="n">
        <v>20389366.5830352</v>
      </c>
      <c r="D9811" s="0" t="n">
        <v>1</v>
      </c>
    </row>
    <row r="9812" customFormat="false" ht="15" hidden="false" customHeight="false" outlineLevel="0" collapsed="false">
      <c r="A9812" s="0" t="n">
        <v>9811</v>
      </c>
      <c r="B9812" s="18" t="n">
        <v>1909466.36251824</v>
      </c>
      <c r="C9812" s="18" t="n">
        <v>36441193.7630208</v>
      </c>
      <c r="D9812" s="0" t="n">
        <v>1</v>
      </c>
    </row>
    <row r="9813" customFormat="false" ht="15" hidden="false" customHeight="false" outlineLevel="0" collapsed="false">
      <c r="A9813" s="0" t="n">
        <v>9812</v>
      </c>
      <c r="B9813" s="18" t="n">
        <v>463165.595182586</v>
      </c>
      <c r="C9813" s="18" t="n">
        <v>0</v>
      </c>
      <c r="D9813" s="0" t="n">
        <v>0</v>
      </c>
      <c r="E9813" s="19" t="n">
        <v>35.0833333333333</v>
      </c>
    </row>
    <row r="9814" customFormat="false" ht="15" hidden="false" customHeight="false" outlineLevel="0" collapsed="false">
      <c r="A9814" s="0" t="n">
        <v>9813</v>
      </c>
      <c r="B9814" s="18" t="n">
        <v>670018.941662172</v>
      </c>
      <c r="C9814" s="18" t="n">
        <v>0</v>
      </c>
      <c r="D9814" s="0" t="n">
        <v>0</v>
      </c>
      <c r="E9814" s="19" t="n">
        <v>42.0833333333333</v>
      </c>
    </row>
    <row r="9815" customFormat="false" ht="15" hidden="false" customHeight="false" outlineLevel="0" collapsed="false">
      <c r="A9815" s="0" t="n">
        <v>9814</v>
      </c>
      <c r="B9815" s="18" t="n">
        <v>500077.994354994</v>
      </c>
      <c r="C9815" s="18" t="n">
        <v>0</v>
      </c>
      <c r="D9815" s="0" t="n">
        <v>0</v>
      </c>
      <c r="E9815" s="19" t="n">
        <v>38.8333333333333</v>
      </c>
    </row>
    <row r="9816" customFormat="false" ht="15" hidden="false" customHeight="false" outlineLevel="0" collapsed="false">
      <c r="A9816" s="0" t="n">
        <v>9815</v>
      </c>
      <c r="B9816" s="18" t="n">
        <v>1174166.80971718</v>
      </c>
      <c r="C9816" s="18" t="n">
        <v>686579.476951839</v>
      </c>
      <c r="D9816" s="0" t="n">
        <v>1</v>
      </c>
    </row>
    <row r="9817" customFormat="false" ht="15" hidden="false" customHeight="false" outlineLevel="0" collapsed="false">
      <c r="A9817" s="0" t="n">
        <v>9816</v>
      </c>
      <c r="B9817" s="18" t="n">
        <v>991611.70396545</v>
      </c>
      <c r="C9817" s="18" t="n">
        <v>0</v>
      </c>
      <c r="D9817" s="0" t="n">
        <v>0</v>
      </c>
      <c r="E9817" s="19" t="n">
        <v>40.3333333333333</v>
      </c>
    </row>
    <row r="9818" customFormat="false" ht="15" hidden="false" customHeight="false" outlineLevel="0" collapsed="false">
      <c r="A9818" s="0" t="n">
        <v>9817</v>
      </c>
      <c r="B9818" s="18" t="n">
        <v>1795818.2599996</v>
      </c>
      <c r="C9818" s="18" t="n">
        <v>1128835.14244343</v>
      </c>
      <c r="D9818" s="0" t="n">
        <v>1</v>
      </c>
    </row>
    <row r="9819" customFormat="false" ht="15" hidden="false" customHeight="false" outlineLevel="0" collapsed="false">
      <c r="A9819" s="0" t="n">
        <v>9818</v>
      </c>
      <c r="B9819" s="18" t="n">
        <v>1492961.96406378</v>
      </c>
      <c r="C9819" s="18" t="n">
        <v>845447.12606415</v>
      </c>
      <c r="D9819" s="0" t="n">
        <v>1</v>
      </c>
    </row>
    <row r="9820" customFormat="false" ht="15" hidden="false" customHeight="false" outlineLevel="0" collapsed="false">
      <c r="A9820" s="0" t="n">
        <v>9819</v>
      </c>
      <c r="B9820" s="18" t="n">
        <v>1319830.86456549</v>
      </c>
      <c r="C9820" s="18" t="n">
        <v>3496987.54753938</v>
      </c>
      <c r="D9820" s="0" t="n">
        <v>1</v>
      </c>
    </row>
    <row r="9821" customFormat="false" ht="15" hidden="false" customHeight="false" outlineLevel="0" collapsed="false">
      <c r="A9821" s="0" t="n">
        <v>9820</v>
      </c>
      <c r="B9821" s="18" t="n">
        <v>605832.61563101</v>
      </c>
      <c r="C9821" s="18" t="n">
        <v>0</v>
      </c>
      <c r="D9821" s="0" t="n">
        <v>0</v>
      </c>
      <c r="E9821" s="19" t="n">
        <v>34.8333333333333</v>
      </c>
    </row>
    <row r="9822" customFormat="false" ht="15" hidden="false" customHeight="false" outlineLevel="0" collapsed="false">
      <c r="A9822" s="0" t="n">
        <v>9821</v>
      </c>
      <c r="B9822" s="18" t="n">
        <v>843263.024045039</v>
      </c>
      <c r="C9822" s="18" t="n">
        <v>0</v>
      </c>
      <c r="D9822" s="0" t="n">
        <v>0</v>
      </c>
      <c r="E9822" s="19" t="n">
        <v>40.9166666666667</v>
      </c>
    </row>
    <row r="9823" customFormat="false" ht="15" hidden="false" customHeight="false" outlineLevel="0" collapsed="false">
      <c r="A9823" s="0" t="n">
        <v>9822</v>
      </c>
      <c r="B9823" s="18" t="n">
        <v>1530844.83912098</v>
      </c>
      <c r="C9823" s="18" t="n">
        <v>0</v>
      </c>
      <c r="D9823" s="0" t="n">
        <v>0</v>
      </c>
      <c r="E9823" s="19" t="n">
        <v>45.5833333333333</v>
      </c>
    </row>
    <row r="9824" customFormat="false" ht="15" hidden="false" customHeight="false" outlineLevel="0" collapsed="false">
      <c r="A9824" s="0" t="n">
        <v>9823</v>
      </c>
      <c r="B9824" s="18" t="n">
        <v>898629.981989979</v>
      </c>
      <c r="C9824" s="18" t="n">
        <v>0</v>
      </c>
      <c r="D9824" s="0" t="n">
        <v>0</v>
      </c>
      <c r="E9824" s="19" t="n">
        <v>41.4166666666667</v>
      </c>
    </row>
    <row r="9825" customFormat="false" ht="15" hidden="false" customHeight="false" outlineLevel="0" collapsed="false">
      <c r="A9825" s="0" t="n">
        <v>9824</v>
      </c>
      <c r="B9825" s="18" t="n">
        <v>678550.91616678</v>
      </c>
      <c r="C9825" s="18" t="n">
        <v>0</v>
      </c>
      <c r="D9825" s="0" t="n">
        <v>0</v>
      </c>
      <c r="E9825" s="19" t="n">
        <v>36</v>
      </c>
    </row>
    <row r="9826" customFormat="false" ht="15" hidden="false" customHeight="false" outlineLevel="0" collapsed="false">
      <c r="A9826" s="0" t="n">
        <v>9825</v>
      </c>
      <c r="B9826" s="18" t="n">
        <v>993834.282822147</v>
      </c>
      <c r="C9826" s="18" t="n">
        <v>0</v>
      </c>
      <c r="D9826" s="0" t="n">
        <v>0</v>
      </c>
      <c r="E9826" s="19" t="n">
        <v>45.3333333333333</v>
      </c>
    </row>
    <row r="9827" customFormat="false" ht="15" hidden="false" customHeight="false" outlineLevel="0" collapsed="false">
      <c r="A9827" s="0" t="n">
        <v>9826</v>
      </c>
      <c r="B9827" s="18" t="n">
        <v>820418.948406906</v>
      </c>
      <c r="C9827" s="18" t="n">
        <v>3182136.12396428</v>
      </c>
      <c r="D9827" s="0" t="n">
        <v>1</v>
      </c>
    </row>
    <row r="9828" customFormat="false" ht="15" hidden="false" customHeight="false" outlineLevel="0" collapsed="false">
      <c r="A9828" s="0" t="n">
        <v>9827</v>
      </c>
      <c r="B9828" s="18" t="n">
        <v>809199.77829561</v>
      </c>
      <c r="C9828" s="18" t="n">
        <v>0</v>
      </c>
      <c r="D9828" s="0" t="n">
        <v>0</v>
      </c>
      <c r="E9828" s="19" t="n">
        <v>35.6666666666667</v>
      </c>
    </row>
    <row r="9829" customFormat="false" ht="15" hidden="false" customHeight="false" outlineLevel="0" collapsed="false">
      <c r="A9829" s="0" t="n">
        <v>9828</v>
      </c>
      <c r="B9829" s="18" t="n">
        <v>471877.208800881</v>
      </c>
      <c r="C9829" s="18" t="n">
        <v>0</v>
      </c>
      <c r="D9829" s="0" t="n">
        <v>0</v>
      </c>
      <c r="E9829" s="19" t="n">
        <v>34.3333333333333</v>
      </c>
    </row>
    <row r="9830" customFormat="false" ht="15" hidden="false" customHeight="false" outlineLevel="0" collapsed="false">
      <c r="A9830" s="0" t="n">
        <v>9829</v>
      </c>
      <c r="B9830" s="18" t="n">
        <v>533576.413531337</v>
      </c>
      <c r="C9830" s="18" t="n">
        <v>0</v>
      </c>
      <c r="D9830" s="0" t="n">
        <v>0</v>
      </c>
      <c r="E9830" s="19" t="n">
        <v>37.3333333333333</v>
      </c>
    </row>
    <row r="9831" customFormat="false" ht="15" hidden="false" customHeight="false" outlineLevel="0" collapsed="false">
      <c r="A9831" s="0" t="n">
        <v>9830</v>
      </c>
      <c r="B9831" s="18" t="n">
        <v>495001.356236564</v>
      </c>
      <c r="C9831" s="18" t="n">
        <v>0</v>
      </c>
      <c r="D9831" s="0" t="n">
        <v>0</v>
      </c>
      <c r="E9831" s="19" t="n">
        <v>32.75</v>
      </c>
    </row>
    <row r="9832" customFormat="false" ht="15" hidden="false" customHeight="false" outlineLevel="0" collapsed="false">
      <c r="A9832" s="0" t="n">
        <v>9831</v>
      </c>
      <c r="B9832" s="18" t="n">
        <v>626088.151624688</v>
      </c>
      <c r="C9832" s="18" t="n">
        <v>0</v>
      </c>
      <c r="D9832" s="0" t="n">
        <v>0</v>
      </c>
      <c r="E9832" s="19" t="n">
        <v>35.25</v>
      </c>
    </row>
    <row r="9833" customFormat="false" ht="15" hidden="false" customHeight="false" outlineLevel="0" collapsed="false">
      <c r="A9833" s="0" t="n">
        <v>9832</v>
      </c>
      <c r="B9833" s="18" t="n">
        <v>1758575.69243837</v>
      </c>
      <c r="C9833" s="18" t="n">
        <v>9847844.11087735</v>
      </c>
      <c r="D9833" s="0" t="n">
        <v>1</v>
      </c>
    </row>
    <row r="9834" customFormat="false" ht="15" hidden="false" customHeight="false" outlineLevel="0" collapsed="false">
      <c r="A9834" s="0" t="n">
        <v>9833</v>
      </c>
      <c r="B9834" s="18" t="n">
        <v>650644.352771662</v>
      </c>
      <c r="C9834" s="18" t="n">
        <v>0</v>
      </c>
      <c r="D9834" s="0" t="n">
        <v>0</v>
      </c>
      <c r="E9834" s="19" t="n">
        <v>48.5</v>
      </c>
    </row>
    <row r="9835" customFormat="false" ht="15" hidden="false" customHeight="false" outlineLevel="0" collapsed="false">
      <c r="A9835" s="0" t="n">
        <v>9834</v>
      </c>
      <c r="B9835" s="18" t="n">
        <v>875041.129425324</v>
      </c>
      <c r="C9835" s="18" t="n">
        <v>0</v>
      </c>
      <c r="D9835" s="0" t="n">
        <v>0</v>
      </c>
      <c r="E9835" s="19" t="n">
        <v>43.1666666666667</v>
      </c>
    </row>
    <row r="9836" customFormat="false" ht="15" hidden="false" customHeight="false" outlineLevel="0" collapsed="false">
      <c r="A9836" s="0" t="n">
        <v>9835</v>
      </c>
      <c r="B9836" s="18" t="n">
        <v>1520729.07094395</v>
      </c>
      <c r="C9836" s="18" t="n">
        <v>9513110.75503585</v>
      </c>
      <c r="D9836" s="0" t="n">
        <v>1</v>
      </c>
    </row>
    <row r="9837" customFormat="false" ht="15" hidden="false" customHeight="false" outlineLevel="0" collapsed="false">
      <c r="A9837" s="0" t="n">
        <v>9836</v>
      </c>
      <c r="B9837" s="18" t="n">
        <v>1026463.78813318</v>
      </c>
      <c r="C9837" s="18" t="n">
        <v>0</v>
      </c>
      <c r="D9837" s="0" t="n">
        <v>0</v>
      </c>
      <c r="E9837" s="19" t="n">
        <v>43.3333333333333</v>
      </c>
    </row>
    <row r="9838" customFormat="false" ht="15" hidden="false" customHeight="false" outlineLevel="0" collapsed="false">
      <c r="A9838" s="0" t="n">
        <v>9837</v>
      </c>
      <c r="B9838" s="18" t="n">
        <v>403502.246798724</v>
      </c>
      <c r="C9838" s="18" t="n">
        <v>0</v>
      </c>
      <c r="D9838" s="0" t="n">
        <v>0</v>
      </c>
      <c r="E9838" s="19" t="n">
        <v>30</v>
      </c>
    </row>
    <row r="9839" customFormat="false" ht="15" hidden="false" customHeight="false" outlineLevel="0" collapsed="false">
      <c r="A9839" s="0" t="n">
        <v>9838</v>
      </c>
      <c r="B9839" s="18" t="n">
        <v>1257825.04819918</v>
      </c>
      <c r="C9839" s="18" t="n">
        <v>903260.313954095</v>
      </c>
      <c r="D9839" s="0" t="n">
        <v>1</v>
      </c>
    </row>
    <row r="9840" customFormat="false" ht="15" hidden="false" customHeight="false" outlineLevel="0" collapsed="false">
      <c r="A9840" s="0" t="n">
        <v>9839</v>
      </c>
      <c r="B9840" s="18" t="n">
        <v>779473.018866429</v>
      </c>
      <c r="C9840" s="18" t="n">
        <v>0</v>
      </c>
      <c r="D9840" s="0" t="n">
        <v>0</v>
      </c>
      <c r="E9840" s="19" t="n">
        <v>37.1666666666667</v>
      </c>
    </row>
    <row r="9841" customFormat="false" ht="15" hidden="false" customHeight="false" outlineLevel="0" collapsed="false">
      <c r="A9841" s="0" t="n">
        <v>9840</v>
      </c>
      <c r="B9841" s="18" t="n">
        <v>401553.042781878</v>
      </c>
      <c r="C9841" s="18" t="n">
        <v>0</v>
      </c>
      <c r="D9841" s="0" t="n">
        <v>0</v>
      </c>
      <c r="E9841" s="19" t="n">
        <v>32.0833333333333</v>
      </c>
    </row>
    <row r="9842" customFormat="false" ht="15" hidden="false" customHeight="false" outlineLevel="0" collapsed="false">
      <c r="A9842" s="0" t="n">
        <v>9841</v>
      </c>
      <c r="B9842" s="18" t="n">
        <v>1031297.8166642</v>
      </c>
      <c r="C9842" s="18" t="n">
        <v>0</v>
      </c>
      <c r="D9842" s="0" t="n">
        <v>0</v>
      </c>
      <c r="E9842" s="19" t="n">
        <v>45.5</v>
      </c>
    </row>
    <row r="9843" customFormat="false" ht="15" hidden="false" customHeight="false" outlineLevel="0" collapsed="false">
      <c r="A9843" s="0" t="n">
        <v>9842</v>
      </c>
      <c r="B9843" s="18" t="n">
        <v>461808.44064427</v>
      </c>
      <c r="C9843" s="18" t="n">
        <v>0</v>
      </c>
      <c r="D9843" s="0" t="n">
        <v>0</v>
      </c>
      <c r="E9843" s="19" t="n">
        <v>43.75</v>
      </c>
    </row>
    <row r="9844" customFormat="false" ht="15" hidden="false" customHeight="false" outlineLevel="0" collapsed="false">
      <c r="A9844" s="0" t="n">
        <v>9843</v>
      </c>
      <c r="B9844" s="18" t="n">
        <v>362850.44446672</v>
      </c>
      <c r="C9844" s="18" t="n">
        <v>0</v>
      </c>
      <c r="D9844" s="0" t="n">
        <v>0</v>
      </c>
      <c r="E9844" s="19" t="n">
        <v>31.5833333333333</v>
      </c>
    </row>
    <row r="9845" customFormat="false" ht="15" hidden="false" customHeight="false" outlineLevel="0" collapsed="false">
      <c r="A9845" s="0" t="n">
        <v>9844</v>
      </c>
      <c r="B9845" s="18" t="n">
        <v>616550.179086466</v>
      </c>
      <c r="C9845" s="18" t="n">
        <v>0</v>
      </c>
      <c r="D9845" s="0" t="n">
        <v>0</v>
      </c>
      <c r="E9845" s="19" t="n">
        <v>32.5</v>
      </c>
    </row>
    <row r="9846" customFormat="false" ht="15" hidden="false" customHeight="false" outlineLevel="0" collapsed="false">
      <c r="A9846" s="0" t="n">
        <v>9845</v>
      </c>
      <c r="B9846" s="18" t="n">
        <v>1512383.06991097</v>
      </c>
      <c r="C9846" s="18" t="n">
        <v>14189444.2140374</v>
      </c>
      <c r="D9846" s="0" t="n">
        <v>1</v>
      </c>
    </row>
    <row r="9847" customFormat="false" ht="15" hidden="false" customHeight="false" outlineLevel="0" collapsed="false">
      <c r="A9847" s="0" t="n">
        <v>9846</v>
      </c>
      <c r="B9847" s="18" t="n">
        <v>553682.862503699</v>
      </c>
      <c r="C9847" s="18" t="n">
        <v>0</v>
      </c>
      <c r="D9847" s="0" t="n">
        <v>0</v>
      </c>
      <c r="E9847" s="19" t="n">
        <v>32.75</v>
      </c>
    </row>
    <row r="9848" customFormat="false" ht="15" hidden="false" customHeight="false" outlineLevel="0" collapsed="false">
      <c r="A9848" s="0" t="n">
        <v>9847</v>
      </c>
      <c r="B9848" s="18" t="n">
        <v>757802.929715497</v>
      </c>
      <c r="C9848" s="18" t="n">
        <v>0</v>
      </c>
      <c r="D9848" s="0" t="n">
        <v>0</v>
      </c>
      <c r="E9848" s="19" t="n">
        <v>42.5833333333333</v>
      </c>
    </row>
    <row r="9849" customFormat="false" ht="15" hidden="false" customHeight="false" outlineLevel="0" collapsed="false">
      <c r="A9849" s="0" t="n">
        <v>9848</v>
      </c>
      <c r="B9849" s="18" t="n">
        <v>1556291.22155669</v>
      </c>
      <c r="C9849" s="18" t="n">
        <v>2679726.90365276</v>
      </c>
      <c r="D9849" s="0" t="n">
        <v>1</v>
      </c>
    </row>
    <row r="9850" customFormat="false" ht="15" hidden="false" customHeight="false" outlineLevel="0" collapsed="false">
      <c r="A9850" s="0" t="n">
        <v>9849</v>
      </c>
      <c r="B9850" s="18" t="n">
        <v>1213904.59636945</v>
      </c>
      <c r="C9850" s="18" t="n">
        <v>1313922.68776887</v>
      </c>
      <c r="D9850" s="0" t="n">
        <v>1</v>
      </c>
    </row>
    <row r="9851" customFormat="false" ht="15" hidden="false" customHeight="false" outlineLevel="0" collapsed="false">
      <c r="A9851" s="0" t="n">
        <v>9850</v>
      </c>
      <c r="B9851" s="18" t="n">
        <v>1323705.971478</v>
      </c>
      <c r="C9851" s="18" t="n">
        <v>0</v>
      </c>
      <c r="D9851" s="0" t="n">
        <v>0</v>
      </c>
      <c r="E9851" s="19" t="n">
        <v>53</v>
      </c>
    </row>
    <row r="9852" customFormat="false" ht="15" hidden="false" customHeight="false" outlineLevel="0" collapsed="false">
      <c r="A9852" s="0" t="n">
        <v>9851</v>
      </c>
      <c r="B9852" s="18" t="n">
        <v>679789.49992202</v>
      </c>
      <c r="C9852" s="18" t="n">
        <v>0</v>
      </c>
      <c r="D9852" s="0" t="n">
        <v>0</v>
      </c>
      <c r="E9852" s="19" t="n">
        <v>52</v>
      </c>
    </row>
    <row r="9853" customFormat="false" ht="15" hidden="false" customHeight="false" outlineLevel="0" collapsed="false">
      <c r="A9853" s="0" t="n">
        <v>9852</v>
      </c>
      <c r="B9853" s="18" t="n">
        <v>529972.618365042</v>
      </c>
      <c r="C9853" s="18" t="n">
        <v>0</v>
      </c>
      <c r="D9853" s="0" t="n">
        <v>0</v>
      </c>
      <c r="E9853" s="19" t="n">
        <v>40.0833333333333</v>
      </c>
    </row>
    <row r="9854" customFormat="false" ht="15" hidden="false" customHeight="false" outlineLevel="0" collapsed="false">
      <c r="A9854" s="0" t="n">
        <v>9853</v>
      </c>
      <c r="B9854" s="18" t="n">
        <v>1974883.10636052</v>
      </c>
      <c r="C9854" s="18" t="n">
        <v>3951262.57699473</v>
      </c>
      <c r="D9854" s="0" t="n">
        <v>1</v>
      </c>
    </row>
    <row r="9855" customFormat="false" ht="15" hidden="false" customHeight="false" outlineLevel="0" collapsed="false">
      <c r="A9855" s="0" t="n">
        <v>9854</v>
      </c>
      <c r="B9855" s="18" t="n">
        <v>1029063.22399348</v>
      </c>
      <c r="C9855" s="18" t="n">
        <v>2267180.94433252</v>
      </c>
      <c r="D9855" s="0" t="n">
        <v>1</v>
      </c>
    </row>
    <row r="9856" customFormat="false" ht="15" hidden="false" customHeight="false" outlineLevel="0" collapsed="false">
      <c r="A9856" s="0" t="n">
        <v>9855</v>
      </c>
      <c r="B9856" s="18" t="n">
        <v>371967.675795974</v>
      </c>
      <c r="C9856" s="18" t="n">
        <v>0</v>
      </c>
      <c r="D9856" s="0" t="n">
        <v>0</v>
      </c>
      <c r="E9856" s="19" t="n">
        <v>34</v>
      </c>
    </row>
    <row r="9857" customFormat="false" ht="15" hidden="false" customHeight="false" outlineLevel="0" collapsed="false">
      <c r="A9857" s="0" t="n">
        <v>9856</v>
      </c>
      <c r="B9857" s="18" t="n">
        <v>1441513.77224906</v>
      </c>
      <c r="C9857" s="18" t="n">
        <v>2338352.58682094</v>
      </c>
      <c r="D9857" s="0" t="n">
        <v>1</v>
      </c>
    </row>
    <row r="9858" customFormat="false" ht="15" hidden="false" customHeight="false" outlineLevel="0" collapsed="false">
      <c r="A9858" s="0" t="n">
        <v>9857</v>
      </c>
      <c r="B9858" s="18" t="n">
        <v>2894379.16318769</v>
      </c>
      <c r="C9858" s="18" t="n">
        <v>28985047.0623303</v>
      </c>
      <c r="D9858" s="0" t="n">
        <v>1</v>
      </c>
    </row>
    <row r="9859" customFormat="false" ht="15" hidden="false" customHeight="false" outlineLevel="0" collapsed="false">
      <c r="A9859" s="0" t="n">
        <v>9858</v>
      </c>
      <c r="B9859" s="18" t="n">
        <v>1371797.95998878</v>
      </c>
      <c r="C9859" s="18" t="n">
        <v>2878376.14428093</v>
      </c>
      <c r="D9859" s="0" t="n">
        <v>1</v>
      </c>
    </row>
    <row r="9860" customFormat="false" ht="15" hidden="false" customHeight="false" outlineLevel="0" collapsed="false">
      <c r="A9860" s="0" t="n">
        <v>9859</v>
      </c>
      <c r="B9860" s="18" t="n">
        <v>948197.028344281</v>
      </c>
      <c r="C9860" s="18" t="n">
        <v>0</v>
      </c>
      <c r="D9860" s="0" t="n">
        <v>0</v>
      </c>
      <c r="E9860" s="19" t="n">
        <v>41.9166666666667</v>
      </c>
    </row>
    <row r="9861" customFormat="false" ht="15" hidden="false" customHeight="false" outlineLevel="0" collapsed="false">
      <c r="A9861" s="0" t="n">
        <v>9860</v>
      </c>
      <c r="B9861" s="18" t="n">
        <v>2388254.23850713</v>
      </c>
      <c r="C9861" s="18" t="n">
        <v>10157529.1103039</v>
      </c>
      <c r="D9861" s="0" t="n">
        <v>1</v>
      </c>
    </row>
    <row r="9862" customFormat="false" ht="15" hidden="false" customHeight="false" outlineLevel="0" collapsed="false">
      <c r="A9862" s="0" t="n">
        <v>9861</v>
      </c>
      <c r="B9862" s="18" t="n">
        <v>531522.620499536</v>
      </c>
      <c r="C9862" s="18" t="n">
        <v>0</v>
      </c>
      <c r="D9862" s="0" t="n">
        <v>0</v>
      </c>
      <c r="E9862" s="19" t="n">
        <v>31.25</v>
      </c>
    </row>
    <row r="9863" customFormat="false" ht="15" hidden="false" customHeight="false" outlineLevel="0" collapsed="false">
      <c r="A9863" s="0" t="n">
        <v>9862</v>
      </c>
      <c r="B9863" s="18" t="n">
        <v>943353.105740544</v>
      </c>
      <c r="C9863" s="18" t="n">
        <v>2330014.14779449</v>
      </c>
      <c r="D9863" s="0" t="n">
        <v>1</v>
      </c>
    </row>
    <row r="9864" customFormat="false" ht="15" hidden="false" customHeight="false" outlineLevel="0" collapsed="false">
      <c r="A9864" s="0" t="n">
        <v>9863</v>
      </c>
      <c r="B9864" s="18" t="n">
        <v>707300.433448687</v>
      </c>
      <c r="C9864" s="18" t="n">
        <v>2370154.25656854</v>
      </c>
      <c r="D9864" s="0" t="n">
        <v>1</v>
      </c>
    </row>
    <row r="9865" customFormat="false" ht="15" hidden="false" customHeight="false" outlineLevel="0" collapsed="false">
      <c r="A9865" s="0" t="n">
        <v>9864</v>
      </c>
      <c r="B9865" s="18" t="n">
        <v>657378.057433921</v>
      </c>
      <c r="C9865" s="18" t="n">
        <v>0</v>
      </c>
      <c r="D9865" s="0" t="n">
        <v>0</v>
      </c>
      <c r="E9865" s="19" t="n">
        <v>42.75</v>
      </c>
    </row>
    <row r="9866" customFormat="false" ht="15" hidden="false" customHeight="false" outlineLevel="0" collapsed="false">
      <c r="A9866" s="0" t="n">
        <v>9865</v>
      </c>
      <c r="B9866" s="18" t="n">
        <v>1925379.04134451</v>
      </c>
      <c r="C9866" s="18" t="n">
        <v>44786540.5852278</v>
      </c>
      <c r="D9866" s="0" t="n">
        <v>1</v>
      </c>
    </row>
    <row r="9867" customFormat="false" ht="15" hidden="false" customHeight="false" outlineLevel="0" collapsed="false">
      <c r="A9867" s="0" t="n">
        <v>9866</v>
      </c>
      <c r="B9867" s="18" t="n">
        <v>1386587.07640989</v>
      </c>
      <c r="C9867" s="18" t="n">
        <v>0</v>
      </c>
      <c r="D9867" s="0" t="n">
        <v>0</v>
      </c>
      <c r="E9867" s="19" t="n">
        <v>53.0833333333333</v>
      </c>
    </row>
    <row r="9868" customFormat="false" ht="15" hidden="false" customHeight="false" outlineLevel="0" collapsed="false">
      <c r="A9868" s="0" t="n">
        <v>9867</v>
      </c>
      <c r="B9868" s="18" t="n">
        <v>421517.312543308</v>
      </c>
      <c r="C9868" s="18" t="n">
        <v>0</v>
      </c>
      <c r="D9868" s="0" t="n">
        <v>0</v>
      </c>
      <c r="E9868" s="19" t="n">
        <v>32.25</v>
      </c>
    </row>
    <row r="9869" customFormat="false" ht="15" hidden="false" customHeight="false" outlineLevel="0" collapsed="false">
      <c r="A9869" s="0" t="n">
        <v>9868</v>
      </c>
      <c r="B9869" s="18" t="n">
        <v>1300896.56277203</v>
      </c>
      <c r="C9869" s="18" t="n">
        <v>671699.785929718</v>
      </c>
      <c r="D9869" s="0" t="n">
        <v>1</v>
      </c>
    </row>
    <row r="9870" customFormat="false" ht="15" hidden="false" customHeight="false" outlineLevel="0" collapsed="false">
      <c r="A9870" s="0" t="n">
        <v>9869</v>
      </c>
      <c r="B9870" s="18" t="n">
        <v>1275047.72239527</v>
      </c>
      <c r="C9870" s="18" t="n">
        <v>0</v>
      </c>
      <c r="D9870" s="0" t="n">
        <v>0</v>
      </c>
      <c r="E9870" s="19" t="n">
        <v>47.75</v>
      </c>
    </row>
    <row r="9871" customFormat="false" ht="15" hidden="false" customHeight="false" outlineLevel="0" collapsed="false">
      <c r="A9871" s="0" t="n">
        <v>9870</v>
      </c>
      <c r="B9871" s="18" t="n">
        <v>627790.461081218</v>
      </c>
      <c r="C9871" s="18" t="n">
        <v>0</v>
      </c>
      <c r="D9871" s="0" t="n">
        <v>0</v>
      </c>
      <c r="E9871" s="19" t="n">
        <v>35.0833333333333</v>
      </c>
    </row>
    <row r="9872" customFormat="false" ht="15" hidden="false" customHeight="false" outlineLevel="0" collapsed="false">
      <c r="A9872" s="0" t="n">
        <v>9871</v>
      </c>
      <c r="B9872" s="18" t="n">
        <v>737768.35695595</v>
      </c>
      <c r="C9872" s="18" t="n">
        <v>0</v>
      </c>
      <c r="D9872" s="0" t="n">
        <v>0</v>
      </c>
      <c r="E9872" s="19" t="n">
        <v>37.3333333333333</v>
      </c>
    </row>
    <row r="9873" customFormat="false" ht="15" hidden="false" customHeight="false" outlineLevel="0" collapsed="false">
      <c r="A9873" s="0" t="n">
        <v>9872</v>
      </c>
      <c r="B9873" s="18" t="n">
        <v>1620096.36709853</v>
      </c>
      <c r="C9873" s="18" t="n">
        <v>579100.707185281</v>
      </c>
      <c r="D9873" s="0" t="n">
        <v>1</v>
      </c>
    </row>
    <row r="9874" customFormat="false" ht="15" hidden="false" customHeight="false" outlineLevel="0" collapsed="false">
      <c r="A9874" s="0" t="n">
        <v>9873</v>
      </c>
      <c r="B9874" s="18" t="n">
        <v>1385034.4690574</v>
      </c>
      <c r="C9874" s="18" t="n">
        <v>8555464.9383599</v>
      </c>
      <c r="D9874" s="0" t="n">
        <v>1</v>
      </c>
    </row>
    <row r="9875" customFormat="false" ht="15" hidden="false" customHeight="false" outlineLevel="0" collapsed="false">
      <c r="A9875" s="0" t="n">
        <v>9874</v>
      </c>
      <c r="B9875" s="18" t="n">
        <v>682482.377052142</v>
      </c>
      <c r="C9875" s="18" t="n">
        <v>0</v>
      </c>
      <c r="D9875" s="0" t="n">
        <v>0</v>
      </c>
      <c r="E9875" s="19" t="n">
        <v>37.9166666666667</v>
      </c>
    </row>
    <row r="9876" customFormat="false" ht="15" hidden="false" customHeight="false" outlineLevel="0" collapsed="false">
      <c r="A9876" s="0" t="n">
        <v>9875</v>
      </c>
      <c r="B9876" s="18" t="n">
        <v>2011611.46817594</v>
      </c>
      <c r="C9876" s="18" t="n">
        <v>4117649.86582011</v>
      </c>
      <c r="D9876" s="0" t="n">
        <v>1</v>
      </c>
    </row>
    <row r="9877" customFormat="false" ht="15" hidden="false" customHeight="false" outlineLevel="0" collapsed="false">
      <c r="A9877" s="0" t="n">
        <v>9876</v>
      </c>
      <c r="B9877" s="18" t="n">
        <v>638973.708273347</v>
      </c>
      <c r="C9877" s="18" t="n">
        <v>0</v>
      </c>
      <c r="D9877" s="0" t="n">
        <v>0</v>
      </c>
      <c r="E9877" s="19" t="n">
        <v>38.0833333333333</v>
      </c>
    </row>
    <row r="9878" customFormat="false" ht="15" hidden="false" customHeight="false" outlineLevel="0" collapsed="false">
      <c r="A9878" s="0" t="n">
        <v>9877</v>
      </c>
      <c r="B9878" s="18" t="n">
        <v>1102845.90798156</v>
      </c>
      <c r="C9878" s="18" t="n">
        <v>4977885.58384426</v>
      </c>
      <c r="D9878" s="0" t="n">
        <v>1</v>
      </c>
    </row>
    <row r="9879" customFormat="false" ht="15" hidden="false" customHeight="false" outlineLevel="0" collapsed="false">
      <c r="A9879" s="0" t="n">
        <v>9878</v>
      </c>
      <c r="B9879" s="18" t="n">
        <v>584682.683098457</v>
      </c>
      <c r="C9879" s="18" t="n">
        <v>0</v>
      </c>
      <c r="D9879" s="0" t="n">
        <v>0</v>
      </c>
      <c r="E9879" s="19" t="n">
        <v>41.6666666666667</v>
      </c>
    </row>
    <row r="9880" customFormat="false" ht="15" hidden="false" customHeight="false" outlineLevel="0" collapsed="false">
      <c r="A9880" s="0" t="n">
        <v>9879</v>
      </c>
      <c r="B9880" s="18" t="n">
        <v>656042.563220543</v>
      </c>
      <c r="C9880" s="18" t="n">
        <v>0</v>
      </c>
      <c r="D9880" s="0" t="n">
        <v>0</v>
      </c>
      <c r="E9880" s="19" t="n">
        <v>47.1666666666667</v>
      </c>
    </row>
    <row r="9881" customFormat="false" ht="15" hidden="false" customHeight="false" outlineLevel="0" collapsed="false">
      <c r="A9881" s="0" t="n">
        <v>9880</v>
      </c>
      <c r="B9881" s="18" t="n">
        <v>709763.042685091</v>
      </c>
      <c r="C9881" s="18" t="n">
        <v>0</v>
      </c>
      <c r="D9881" s="0" t="n">
        <v>0</v>
      </c>
      <c r="E9881" s="19" t="n">
        <v>36.9166666666667</v>
      </c>
    </row>
    <row r="9882" customFormat="false" ht="15" hidden="false" customHeight="false" outlineLevel="0" collapsed="false">
      <c r="A9882" s="0" t="n">
        <v>9881</v>
      </c>
      <c r="B9882" s="18" t="n">
        <v>602269.199021989</v>
      </c>
      <c r="C9882" s="18" t="n">
        <v>0</v>
      </c>
      <c r="D9882" s="0" t="n">
        <v>0</v>
      </c>
      <c r="E9882" s="19" t="n">
        <v>39.5833333333333</v>
      </c>
    </row>
    <row r="9883" customFormat="false" ht="15" hidden="false" customHeight="false" outlineLevel="0" collapsed="false">
      <c r="A9883" s="0" t="n">
        <v>9882</v>
      </c>
      <c r="B9883" s="18" t="n">
        <v>1806290.13000045</v>
      </c>
      <c r="C9883" s="18" t="n">
        <v>4028145.34245061</v>
      </c>
      <c r="D9883" s="0" t="n">
        <v>1</v>
      </c>
    </row>
    <row r="9884" customFormat="false" ht="15" hidden="false" customHeight="false" outlineLevel="0" collapsed="false">
      <c r="A9884" s="0" t="n">
        <v>9883</v>
      </c>
      <c r="B9884" s="18" t="n">
        <v>685832.552531245</v>
      </c>
      <c r="C9884" s="18" t="n">
        <v>0</v>
      </c>
      <c r="D9884" s="0" t="n">
        <v>0</v>
      </c>
      <c r="E9884" s="19" t="n">
        <v>33.5833333333333</v>
      </c>
    </row>
    <row r="9885" customFormat="false" ht="15" hidden="false" customHeight="false" outlineLevel="0" collapsed="false">
      <c r="A9885" s="0" t="n">
        <v>9884</v>
      </c>
      <c r="B9885" s="18" t="n">
        <v>2451072.57469989</v>
      </c>
      <c r="C9885" s="18" t="n">
        <v>10171276.9552402</v>
      </c>
      <c r="D9885" s="0" t="n">
        <v>1</v>
      </c>
    </row>
    <row r="9886" customFormat="false" ht="15" hidden="false" customHeight="false" outlineLevel="0" collapsed="false">
      <c r="A9886" s="0" t="n">
        <v>9885</v>
      </c>
      <c r="B9886" s="18" t="n">
        <v>973308.407216598</v>
      </c>
      <c r="C9886" s="18" t="n">
        <v>0</v>
      </c>
      <c r="D9886" s="0" t="n">
        <v>0</v>
      </c>
      <c r="E9886" s="19" t="n">
        <v>49.3333333333333</v>
      </c>
    </row>
    <row r="9887" customFormat="false" ht="15" hidden="false" customHeight="false" outlineLevel="0" collapsed="false">
      <c r="A9887" s="0" t="n">
        <v>9886</v>
      </c>
      <c r="B9887" s="18" t="n">
        <v>1316312.36304639</v>
      </c>
      <c r="C9887" s="18" t="n">
        <v>0</v>
      </c>
      <c r="D9887" s="0" t="n">
        <v>0</v>
      </c>
      <c r="E9887" s="19" t="n">
        <v>43.75</v>
      </c>
    </row>
    <row r="9888" customFormat="false" ht="15" hidden="false" customHeight="false" outlineLevel="0" collapsed="false">
      <c r="A9888" s="0" t="n">
        <v>9887</v>
      </c>
      <c r="B9888" s="18" t="n">
        <v>399064.250469696</v>
      </c>
      <c r="C9888" s="18" t="n">
        <v>0</v>
      </c>
      <c r="D9888" s="0" t="n">
        <v>0</v>
      </c>
      <c r="E9888" s="19" t="n">
        <v>37.75</v>
      </c>
    </row>
    <row r="9889" customFormat="false" ht="15" hidden="false" customHeight="false" outlineLevel="0" collapsed="false">
      <c r="A9889" s="0" t="n">
        <v>9888</v>
      </c>
      <c r="B9889" s="18" t="n">
        <v>653621.594106636</v>
      </c>
      <c r="C9889" s="18" t="n">
        <v>0</v>
      </c>
      <c r="D9889" s="0" t="n">
        <v>0</v>
      </c>
      <c r="E9889" s="19" t="n">
        <v>36.3333333333333</v>
      </c>
    </row>
    <row r="9890" customFormat="false" ht="15" hidden="false" customHeight="false" outlineLevel="0" collapsed="false">
      <c r="A9890" s="0" t="n">
        <v>9889</v>
      </c>
      <c r="B9890" s="18" t="n">
        <v>1320935.11744413</v>
      </c>
      <c r="C9890" s="18" t="n">
        <v>698175.385784535</v>
      </c>
      <c r="D9890" s="0" t="n">
        <v>1</v>
      </c>
    </row>
    <row r="9891" customFormat="false" ht="15" hidden="false" customHeight="false" outlineLevel="0" collapsed="false">
      <c r="A9891" s="0" t="n">
        <v>9890</v>
      </c>
      <c r="B9891" s="18" t="n">
        <v>1501683.15558469</v>
      </c>
      <c r="C9891" s="18" t="n">
        <v>633459.254886968</v>
      </c>
      <c r="D9891" s="0" t="n">
        <v>1</v>
      </c>
    </row>
    <row r="9892" customFormat="false" ht="15" hidden="false" customHeight="false" outlineLevel="0" collapsed="false">
      <c r="A9892" s="0" t="n">
        <v>9891</v>
      </c>
      <c r="B9892" s="18" t="n">
        <v>1325514.19201465</v>
      </c>
      <c r="C9892" s="18" t="n">
        <v>480837.943358489</v>
      </c>
      <c r="D9892" s="0" t="n">
        <v>1</v>
      </c>
    </row>
    <row r="9893" customFormat="false" ht="15" hidden="false" customHeight="false" outlineLevel="0" collapsed="false">
      <c r="A9893" s="0" t="n">
        <v>9892</v>
      </c>
      <c r="B9893" s="18" t="n">
        <v>762446.800145469</v>
      </c>
      <c r="C9893" s="18" t="n">
        <v>0</v>
      </c>
      <c r="D9893" s="0" t="n">
        <v>0</v>
      </c>
      <c r="E9893" s="19" t="n">
        <v>41.5833333333333</v>
      </c>
    </row>
    <row r="9894" customFormat="false" ht="15" hidden="false" customHeight="false" outlineLevel="0" collapsed="false">
      <c r="A9894" s="0" t="n">
        <v>9893</v>
      </c>
      <c r="B9894" s="18" t="n">
        <v>750225.789191768</v>
      </c>
      <c r="C9894" s="18" t="n">
        <v>0</v>
      </c>
      <c r="D9894" s="0" t="n">
        <v>0</v>
      </c>
      <c r="E9894" s="19" t="n">
        <v>39.9166666666667</v>
      </c>
    </row>
    <row r="9895" customFormat="false" ht="15" hidden="false" customHeight="false" outlineLevel="0" collapsed="false">
      <c r="A9895" s="0" t="n">
        <v>9894</v>
      </c>
      <c r="B9895" s="18" t="n">
        <v>1876299.85065166</v>
      </c>
      <c r="C9895" s="18" t="n">
        <v>570112.342598432</v>
      </c>
      <c r="D9895" s="0" t="n">
        <v>1</v>
      </c>
    </row>
    <row r="9896" customFormat="false" ht="15" hidden="false" customHeight="false" outlineLevel="0" collapsed="false">
      <c r="A9896" s="0" t="n">
        <v>9895</v>
      </c>
      <c r="B9896" s="18" t="n">
        <v>350012.425171924</v>
      </c>
      <c r="C9896" s="18" t="n">
        <v>0</v>
      </c>
      <c r="D9896" s="0" t="n">
        <v>0</v>
      </c>
      <c r="E9896" s="19" t="n">
        <v>31</v>
      </c>
    </row>
    <row r="9897" customFormat="false" ht="15" hidden="false" customHeight="false" outlineLevel="0" collapsed="false">
      <c r="A9897" s="0" t="n">
        <v>9896</v>
      </c>
      <c r="B9897" s="18" t="n">
        <v>1652109.31923591</v>
      </c>
      <c r="C9897" s="18" t="n">
        <v>6255238.5885949</v>
      </c>
      <c r="D9897" s="0" t="n">
        <v>1</v>
      </c>
    </row>
    <row r="9898" customFormat="false" ht="15" hidden="false" customHeight="false" outlineLevel="0" collapsed="false">
      <c r="A9898" s="0" t="n">
        <v>9897</v>
      </c>
      <c r="B9898" s="18" t="n">
        <v>350789.224807883</v>
      </c>
      <c r="C9898" s="18" t="n">
        <v>0</v>
      </c>
      <c r="D9898" s="0" t="n">
        <v>0</v>
      </c>
      <c r="E9898" s="19" t="n">
        <v>35.1666666666667</v>
      </c>
    </row>
    <row r="9899" customFormat="false" ht="15" hidden="false" customHeight="false" outlineLevel="0" collapsed="false">
      <c r="A9899" s="0" t="n">
        <v>9898</v>
      </c>
      <c r="B9899" s="18" t="n">
        <v>793163.946205874</v>
      </c>
      <c r="C9899" s="18" t="n">
        <v>0</v>
      </c>
      <c r="D9899" s="0" t="n">
        <v>0</v>
      </c>
      <c r="E9899" s="19" t="n">
        <v>45.5</v>
      </c>
    </row>
    <row r="9900" customFormat="false" ht="15" hidden="false" customHeight="false" outlineLevel="0" collapsed="false">
      <c r="A9900" s="0" t="n">
        <v>9899</v>
      </c>
      <c r="B9900" s="18" t="n">
        <v>863267.410258571</v>
      </c>
      <c r="C9900" s="18" t="n">
        <v>0</v>
      </c>
      <c r="D9900" s="0" t="n">
        <v>0</v>
      </c>
      <c r="E9900" s="19" t="n">
        <v>39.25</v>
      </c>
    </row>
    <row r="9901" customFormat="false" ht="15" hidden="false" customHeight="false" outlineLevel="0" collapsed="false">
      <c r="A9901" s="0" t="n">
        <v>9900</v>
      </c>
      <c r="B9901" s="18" t="n">
        <v>513233.423180943</v>
      </c>
      <c r="C9901" s="18" t="n">
        <v>0</v>
      </c>
      <c r="D9901" s="0" t="n">
        <v>0</v>
      </c>
      <c r="E9901" s="19" t="n">
        <v>32.75</v>
      </c>
    </row>
    <row r="9902" customFormat="false" ht="15" hidden="false" customHeight="false" outlineLevel="0" collapsed="false">
      <c r="A9902" s="0" t="n">
        <v>9901</v>
      </c>
      <c r="B9902" s="18" t="n">
        <v>600070.714432919</v>
      </c>
      <c r="C9902" s="18" t="n">
        <v>0</v>
      </c>
      <c r="D9902" s="0" t="n">
        <v>0</v>
      </c>
      <c r="E9902" s="19" t="n">
        <v>35.0833333333333</v>
      </c>
    </row>
    <row r="9903" customFormat="false" ht="15" hidden="false" customHeight="false" outlineLevel="0" collapsed="false">
      <c r="A9903" s="0" t="n">
        <v>9902</v>
      </c>
      <c r="B9903" s="18" t="n">
        <v>1019434.62406951</v>
      </c>
      <c r="C9903" s="18" t="n">
        <v>0</v>
      </c>
      <c r="D9903" s="0" t="n">
        <v>0</v>
      </c>
      <c r="E9903" s="19" t="n">
        <v>47.25</v>
      </c>
    </row>
    <row r="9904" customFormat="false" ht="15" hidden="false" customHeight="false" outlineLevel="0" collapsed="false">
      <c r="A9904" s="0" t="n">
        <v>9903</v>
      </c>
      <c r="B9904" s="18" t="n">
        <v>602665.542893064</v>
      </c>
      <c r="C9904" s="18" t="n">
        <v>0</v>
      </c>
      <c r="D9904" s="0" t="n">
        <v>0</v>
      </c>
      <c r="E9904" s="19" t="n">
        <v>34.5</v>
      </c>
    </row>
    <row r="9905" customFormat="false" ht="15" hidden="false" customHeight="false" outlineLevel="0" collapsed="false">
      <c r="A9905" s="0" t="n">
        <v>9904</v>
      </c>
      <c r="B9905" s="18" t="n">
        <v>426681.25845502</v>
      </c>
      <c r="C9905" s="18" t="n">
        <v>0</v>
      </c>
      <c r="D9905" s="0" t="n">
        <v>0</v>
      </c>
      <c r="E9905" s="19" t="n">
        <v>31.25</v>
      </c>
    </row>
    <row r="9906" customFormat="false" ht="15" hidden="false" customHeight="false" outlineLevel="0" collapsed="false">
      <c r="A9906" s="0" t="n">
        <v>9905</v>
      </c>
      <c r="B9906" s="18" t="n">
        <v>554571.706997824</v>
      </c>
      <c r="C9906" s="18" t="n">
        <v>0</v>
      </c>
      <c r="D9906" s="0" t="n">
        <v>0</v>
      </c>
      <c r="E9906" s="19" t="n">
        <v>38.9166666666667</v>
      </c>
    </row>
    <row r="9907" customFormat="false" ht="15" hidden="false" customHeight="false" outlineLevel="0" collapsed="false">
      <c r="A9907" s="0" t="n">
        <v>9906</v>
      </c>
      <c r="B9907" s="18" t="n">
        <v>1245041.21573013</v>
      </c>
      <c r="C9907" s="18" t="n">
        <v>677310.524153741</v>
      </c>
      <c r="D9907" s="0" t="n">
        <v>1</v>
      </c>
    </row>
    <row r="9908" customFormat="false" ht="15" hidden="false" customHeight="false" outlineLevel="0" collapsed="false">
      <c r="A9908" s="0" t="n">
        <v>9907</v>
      </c>
      <c r="B9908" s="18" t="n">
        <v>328863.36106033</v>
      </c>
      <c r="C9908" s="18" t="n">
        <v>0</v>
      </c>
      <c r="D9908" s="0" t="n">
        <v>0</v>
      </c>
      <c r="E9908" s="19" t="n">
        <v>31.6666666666667</v>
      </c>
    </row>
    <row r="9909" customFormat="false" ht="15" hidden="false" customHeight="false" outlineLevel="0" collapsed="false">
      <c r="A9909" s="0" t="n">
        <v>9908</v>
      </c>
      <c r="B9909" s="18" t="n">
        <v>632481.614771644</v>
      </c>
      <c r="C9909" s="18" t="n">
        <v>0</v>
      </c>
      <c r="D9909" s="0" t="n">
        <v>0</v>
      </c>
      <c r="E9909" s="19" t="n">
        <v>34.9166666666667</v>
      </c>
    </row>
    <row r="9910" customFormat="false" ht="15" hidden="false" customHeight="false" outlineLevel="0" collapsed="false">
      <c r="A9910" s="0" t="n">
        <v>9909</v>
      </c>
      <c r="B9910" s="18" t="n">
        <v>2612922.1426533</v>
      </c>
      <c r="C9910" s="18" t="n">
        <v>7589009.94844648</v>
      </c>
      <c r="D9910" s="0" t="n">
        <v>1</v>
      </c>
    </row>
    <row r="9911" customFormat="false" ht="15" hidden="false" customHeight="false" outlineLevel="0" collapsed="false">
      <c r="A9911" s="0" t="n">
        <v>9910</v>
      </c>
      <c r="B9911" s="18" t="n">
        <v>1301757.13917274</v>
      </c>
      <c r="C9911" s="18" t="n">
        <v>464190.756430258</v>
      </c>
      <c r="D9911" s="0" t="n">
        <v>1</v>
      </c>
    </row>
    <row r="9912" customFormat="false" ht="15" hidden="false" customHeight="false" outlineLevel="0" collapsed="false">
      <c r="A9912" s="0" t="n">
        <v>9911</v>
      </c>
      <c r="B9912" s="18" t="n">
        <v>827596.614615228</v>
      </c>
      <c r="C9912" s="18" t="n">
        <v>0</v>
      </c>
      <c r="D9912" s="0" t="n">
        <v>0</v>
      </c>
      <c r="E9912" s="19" t="n">
        <v>49.3333333333333</v>
      </c>
    </row>
    <row r="9913" customFormat="false" ht="15" hidden="false" customHeight="false" outlineLevel="0" collapsed="false">
      <c r="A9913" s="0" t="n">
        <v>9912</v>
      </c>
      <c r="B9913" s="18" t="n">
        <v>1480072.56440302</v>
      </c>
      <c r="C9913" s="18" t="n">
        <v>0</v>
      </c>
      <c r="D9913" s="0" t="n">
        <v>0</v>
      </c>
      <c r="E9913" s="19" t="n">
        <v>45.0833333333333</v>
      </c>
    </row>
    <row r="9914" customFormat="false" ht="15" hidden="false" customHeight="false" outlineLevel="0" collapsed="false">
      <c r="A9914" s="0" t="n">
        <v>9913</v>
      </c>
      <c r="B9914" s="18" t="n">
        <v>2104661.70349484</v>
      </c>
      <c r="C9914" s="18" t="n">
        <v>6174014.07709985</v>
      </c>
      <c r="D9914" s="0" t="n">
        <v>1</v>
      </c>
    </row>
    <row r="9915" customFormat="false" ht="15" hidden="false" customHeight="false" outlineLevel="0" collapsed="false">
      <c r="A9915" s="0" t="n">
        <v>9914</v>
      </c>
      <c r="B9915" s="18" t="n">
        <v>823596.203101683</v>
      </c>
      <c r="C9915" s="18" t="n">
        <v>0</v>
      </c>
      <c r="D9915" s="0" t="n">
        <v>0</v>
      </c>
      <c r="E9915" s="19" t="n">
        <v>35.0833333333333</v>
      </c>
    </row>
    <row r="9916" customFormat="false" ht="15" hidden="false" customHeight="false" outlineLevel="0" collapsed="false">
      <c r="A9916" s="0" t="n">
        <v>9915</v>
      </c>
      <c r="B9916" s="18" t="n">
        <v>1367840.57001059</v>
      </c>
      <c r="C9916" s="18" t="n">
        <v>0</v>
      </c>
      <c r="D9916" s="0" t="n">
        <v>0</v>
      </c>
      <c r="E9916" s="19" t="n">
        <v>42.1666666666667</v>
      </c>
    </row>
    <row r="9917" customFormat="false" ht="15" hidden="false" customHeight="false" outlineLevel="0" collapsed="false">
      <c r="A9917" s="0" t="n">
        <v>9916</v>
      </c>
      <c r="B9917" s="18" t="n">
        <v>495836.141896374</v>
      </c>
      <c r="C9917" s="18" t="n">
        <v>0</v>
      </c>
      <c r="D9917" s="0" t="n">
        <v>0</v>
      </c>
      <c r="E9917" s="19" t="n">
        <v>32.25</v>
      </c>
    </row>
    <row r="9918" customFormat="false" ht="15" hidden="false" customHeight="false" outlineLevel="0" collapsed="false">
      <c r="A9918" s="0" t="n">
        <v>9917</v>
      </c>
      <c r="B9918" s="18" t="n">
        <v>551013.988271302</v>
      </c>
      <c r="C9918" s="18" t="n">
        <v>0</v>
      </c>
      <c r="D9918" s="0" t="n">
        <v>0</v>
      </c>
      <c r="E9918" s="19" t="n">
        <v>33.1666666666667</v>
      </c>
    </row>
    <row r="9919" customFormat="false" ht="15" hidden="false" customHeight="false" outlineLevel="0" collapsed="false">
      <c r="A9919" s="0" t="n">
        <v>9918</v>
      </c>
      <c r="B9919" s="18" t="n">
        <v>566964.192842894</v>
      </c>
      <c r="C9919" s="18" t="n">
        <v>0</v>
      </c>
      <c r="D9919" s="0" t="n">
        <v>0</v>
      </c>
      <c r="E9919" s="19" t="n">
        <v>36.1666666666667</v>
      </c>
    </row>
    <row r="9920" customFormat="false" ht="15" hidden="false" customHeight="false" outlineLevel="0" collapsed="false">
      <c r="A9920" s="0" t="n">
        <v>9919</v>
      </c>
      <c r="B9920" s="18" t="n">
        <v>1082233.31642894</v>
      </c>
      <c r="C9920" s="18" t="n">
        <v>0</v>
      </c>
      <c r="D9920" s="0" t="n">
        <v>0</v>
      </c>
      <c r="E9920" s="19" t="n">
        <v>52</v>
      </c>
    </row>
    <row r="9921" customFormat="false" ht="15" hidden="false" customHeight="false" outlineLevel="0" collapsed="false">
      <c r="A9921" s="0" t="n">
        <v>9920</v>
      </c>
      <c r="B9921" s="18" t="n">
        <v>2186794.00170905</v>
      </c>
      <c r="C9921" s="18" t="n">
        <v>2316311.00326102</v>
      </c>
      <c r="D9921" s="0" t="n">
        <v>1</v>
      </c>
    </row>
    <row r="9922" customFormat="false" ht="15" hidden="false" customHeight="false" outlineLevel="0" collapsed="false">
      <c r="A9922" s="0" t="n">
        <v>9921</v>
      </c>
      <c r="B9922" s="18" t="n">
        <v>730439.604414757</v>
      </c>
      <c r="C9922" s="18" t="n">
        <v>6188217.63932888</v>
      </c>
      <c r="D9922" s="0" t="n">
        <v>1</v>
      </c>
    </row>
    <row r="9923" customFormat="false" ht="15" hidden="false" customHeight="false" outlineLevel="0" collapsed="false">
      <c r="A9923" s="0" t="n">
        <v>9922</v>
      </c>
      <c r="B9923" s="18" t="n">
        <v>708860.737062017</v>
      </c>
      <c r="C9923" s="18" t="n">
        <v>0</v>
      </c>
      <c r="D9923" s="0" t="n">
        <v>0</v>
      </c>
      <c r="E9923" s="19" t="n">
        <v>40.6666666666667</v>
      </c>
    </row>
    <row r="9924" customFormat="false" ht="15" hidden="false" customHeight="false" outlineLevel="0" collapsed="false">
      <c r="A9924" s="0" t="n">
        <v>9923</v>
      </c>
      <c r="B9924" s="18" t="n">
        <v>480869.699431349</v>
      </c>
      <c r="C9924" s="18" t="n">
        <v>0</v>
      </c>
      <c r="D9924" s="0" t="n">
        <v>0</v>
      </c>
      <c r="E9924" s="19" t="n">
        <v>33.75</v>
      </c>
    </row>
    <row r="9925" customFormat="false" ht="15" hidden="false" customHeight="false" outlineLevel="0" collapsed="false">
      <c r="A9925" s="0" t="n">
        <v>9924</v>
      </c>
      <c r="B9925" s="18" t="n">
        <v>1988871.44955564</v>
      </c>
      <c r="C9925" s="18" t="n">
        <v>0</v>
      </c>
      <c r="D9925" s="0" t="n">
        <v>0</v>
      </c>
      <c r="E9925" s="19" t="n">
        <v>49.0833333333333</v>
      </c>
    </row>
    <row r="9926" customFormat="false" ht="15" hidden="false" customHeight="false" outlineLevel="0" collapsed="false">
      <c r="A9926" s="0" t="n">
        <v>9925</v>
      </c>
      <c r="B9926" s="18" t="n">
        <v>1223402.5693759</v>
      </c>
      <c r="C9926" s="18" t="n">
        <v>0</v>
      </c>
      <c r="D9926" s="0" t="n">
        <v>0</v>
      </c>
      <c r="E9926" s="19" t="n">
        <v>49.0833333333333</v>
      </c>
    </row>
    <row r="9927" customFormat="false" ht="15" hidden="false" customHeight="false" outlineLevel="0" collapsed="false">
      <c r="A9927" s="0" t="n">
        <v>9926</v>
      </c>
      <c r="B9927" s="18" t="n">
        <v>1508724.40500363</v>
      </c>
      <c r="C9927" s="18" t="n">
        <v>0</v>
      </c>
      <c r="D9927" s="0" t="n">
        <v>0</v>
      </c>
      <c r="E9927" s="19" t="n">
        <v>45.75</v>
      </c>
    </row>
    <row r="9928" customFormat="false" ht="15" hidden="false" customHeight="false" outlineLevel="0" collapsed="false">
      <c r="A9928" s="0" t="n">
        <v>9927</v>
      </c>
      <c r="B9928" s="18" t="n">
        <v>1022180.68405494</v>
      </c>
      <c r="C9928" s="18" t="n">
        <v>14516104.7462269</v>
      </c>
      <c r="D9928" s="0" t="n">
        <v>1</v>
      </c>
    </row>
    <row r="9929" customFormat="false" ht="15" hidden="false" customHeight="false" outlineLevel="0" collapsed="false">
      <c r="A9929" s="0" t="n">
        <v>9928</v>
      </c>
      <c r="B9929" s="18" t="n">
        <v>695002.535953274</v>
      </c>
      <c r="C9929" s="18" t="n">
        <v>0</v>
      </c>
      <c r="D9929" s="0" t="n">
        <v>0</v>
      </c>
      <c r="E9929" s="19" t="n">
        <v>40.1666666666667</v>
      </c>
    </row>
    <row r="9930" customFormat="false" ht="15" hidden="false" customHeight="false" outlineLevel="0" collapsed="false">
      <c r="A9930" s="0" t="n">
        <v>9929</v>
      </c>
      <c r="B9930" s="18" t="n">
        <v>691891.516364651</v>
      </c>
      <c r="C9930" s="18" t="n">
        <v>0</v>
      </c>
      <c r="D9930" s="0" t="n">
        <v>0</v>
      </c>
      <c r="E9930" s="19" t="n">
        <v>39.5833333333333</v>
      </c>
    </row>
    <row r="9931" customFormat="false" ht="15" hidden="false" customHeight="false" outlineLevel="0" collapsed="false">
      <c r="A9931" s="0" t="n">
        <v>9930</v>
      </c>
      <c r="B9931" s="18" t="n">
        <v>787966.452921992</v>
      </c>
      <c r="C9931" s="18" t="n">
        <v>0</v>
      </c>
      <c r="D9931" s="0" t="n">
        <v>0</v>
      </c>
      <c r="E9931" s="19" t="n">
        <v>37.9166666666667</v>
      </c>
    </row>
    <row r="9932" customFormat="false" ht="15" hidden="false" customHeight="false" outlineLevel="0" collapsed="false">
      <c r="A9932" s="0" t="n">
        <v>9931</v>
      </c>
      <c r="B9932" s="18" t="n">
        <v>3382966.09147864</v>
      </c>
      <c r="C9932" s="18" t="n">
        <v>16562209.7907446</v>
      </c>
      <c r="D9932" s="0" t="n">
        <v>1</v>
      </c>
    </row>
    <row r="9933" customFormat="false" ht="15" hidden="false" customHeight="false" outlineLevel="0" collapsed="false">
      <c r="A9933" s="0" t="n">
        <v>9932</v>
      </c>
      <c r="B9933" s="18" t="n">
        <v>742421.433996493</v>
      </c>
      <c r="C9933" s="18" t="n">
        <v>431518.552220208</v>
      </c>
      <c r="D9933" s="0" t="n">
        <v>1</v>
      </c>
    </row>
    <row r="9934" customFormat="false" ht="15" hidden="false" customHeight="false" outlineLevel="0" collapsed="false">
      <c r="A9934" s="0" t="n">
        <v>9933</v>
      </c>
      <c r="B9934" s="18" t="n">
        <v>1415471.20879357</v>
      </c>
      <c r="C9934" s="18" t="n">
        <v>0</v>
      </c>
      <c r="D9934" s="0" t="n">
        <v>0</v>
      </c>
      <c r="E9934" s="19" t="n">
        <v>43</v>
      </c>
    </row>
    <row r="9935" customFormat="false" ht="15" hidden="false" customHeight="false" outlineLevel="0" collapsed="false">
      <c r="A9935" s="0" t="n">
        <v>9934</v>
      </c>
      <c r="B9935" s="18" t="n">
        <v>692254.731636966</v>
      </c>
      <c r="C9935" s="18" t="n">
        <v>1395625.98737191</v>
      </c>
      <c r="D9935" s="0" t="n">
        <v>1</v>
      </c>
    </row>
    <row r="9936" customFormat="false" ht="15" hidden="false" customHeight="false" outlineLevel="0" collapsed="false">
      <c r="A9936" s="0" t="n">
        <v>9935</v>
      </c>
      <c r="B9936" s="18" t="n">
        <v>1917049.8370871</v>
      </c>
      <c r="C9936" s="18" t="n">
        <v>0</v>
      </c>
      <c r="D9936" s="0" t="n">
        <v>0</v>
      </c>
      <c r="E9936" s="19" t="n">
        <v>50.8333333333333</v>
      </c>
    </row>
    <row r="9937" customFormat="false" ht="15" hidden="false" customHeight="false" outlineLevel="0" collapsed="false">
      <c r="A9937" s="0" t="n">
        <v>9936</v>
      </c>
      <c r="B9937" s="18" t="n">
        <v>1180678.89346927</v>
      </c>
      <c r="C9937" s="18" t="n">
        <v>97517.3877653388</v>
      </c>
      <c r="D9937" s="0" t="n">
        <v>1</v>
      </c>
    </row>
    <row r="9938" customFormat="false" ht="15" hidden="false" customHeight="false" outlineLevel="0" collapsed="false">
      <c r="A9938" s="0" t="n">
        <v>9937</v>
      </c>
      <c r="B9938" s="18" t="n">
        <v>672126.468515302</v>
      </c>
      <c r="C9938" s="18" t="n">
        <v>0</v>
      </c>
      <c r="D9938" s="0" t="n">
        <v>0</v>
      </c>
      <c r="E9938" s="19" t="n">
        <v>35.4166666666667</v>
      </c>
    </row>
    <row r="9939" customFormat="false" ht="15" hidden="false" customHeight="false" outlineLevel="0" collapsed="false">
      <c r="A9939" s="0" t="n">
        <v>9938</v>
      </c>
      <c r="B9939" s="18" t="n">
        <v>1359805.37926772</v>
      </c>
      <c r="C9939" s="18" t="n">
        <v>5653672.03857609</v>
      </c>
      <c r="D9939" s="0" t="n">
        <v>1</v>
      </c>
    </row>
    <row r="9940" customFormat="false" ht="15" hidden="false" customHeight="false" outlineLevel="0" collapsed="false">
      <c r="A9940" s="0" t="n">
        <v>9939</v>
      </c>
      <c r="B9940" s="18" t="n">
        <v>601386.113751098</v>
      </c>
      <c r="C9940" s="18" t="n">
        <v>0</v>
      </c>
      <c r="D9940" s="0" t="n">
        <v>0</v>
      </c>
      <c r="E9940" s="19" t="n">
        <v>48.5</v>
      </c>
    </row>
    <row r="9941" customFormat="false" ht="15" hidden="false" customHeight="false" outlineLevel="0" collapsed="false">
      <c r="A9941" s="0" t="n">
        <v>9940</v>
      </c>
      <c r="B9941" s="18" t="n">
        <v>3140582.85293693</v>
      </c>
      <c r="C9941" s="18" t="n">
        <v>10491024.2098516</v>
      </c>
      <c r="D9941" s="0" t="n">
        <v>1</v>
      </c>
    </row>
    <row r="9942" customFormat="false" ht="15" hidden="false" customHeight="false" outlineLevel="0" collapsed="false">
      <c r="A9942" s="0" t="n">
        <v>9941</v>
      </c>
      <c r="B9942" s="18" t="n">
        <v>2577866.15246953</v>
      </c>
      <c r="C9942" s="18" t="n">
        <v>2335912.95658563</v>
      </c>
      <c r="D9942" s="0" t="n">
        <v>1</v>
      </c>
    </row>
    <row r="9943" customFormat="false" ht="15" hidden="false" customHeight="false" outlineLevel="0" collapsed="false">
      <c r="A9943" s="0" t="n">
        <v>9942</v>
      </c>
      <c r="B9943" s="18" t="n">
        <v>526250.219121512</v>
      </c>
      <c r="C9943" s="18" t="n">
        <v>0</v>
      </c>
      <c r="D9943" s="0" t="n">
        <v>0</v>
      </c>
      <c r="E9943" s="19" t="n">
        <v>38.25</v>
      </c>
    </row>
    <row r="9944" customFormat="false" ht="15" hidden="false" customHeight="false" outlineLevel="0" collapsed="false">
      <c r="A9944" s="0" t="n">
        <v>9943</v>
      </c>
      <c r="B9944" s="18" t="n">
        <v>1149060.28202323</v>
      </c>
      <c r="C9944" s="18" t="n">
        <v>2850197.96793068</v>
      </c>
      <c r="D9944" s="0" t="n">
        <v>1</v>
      </c>
    </row>
    <row r="9945" customFormat="false" ht="15" hidden="false" customHeight="false" outlineLevel="0" collapsed="false">
      <c r="A9945" s="0" t="n">
        <v>9944</v>
      </c>
      <c r="B9945" s="18" t="n">
        <v>587229.191989351</v>
      </c>
      <c r="C9945" s="18" t="n">
        <v>0</v>
      </c>
      <c r="D9945" s="0" t="n">
        <v>0</v>
      </c>
      <c r="E9945" s="19" t="n">
        <v>32.75</v>
      </c>
    </row>
    <row r="9946" customFormat="false" ht="15" hidden="false" customHeight="false" outlineLevel="0" collapsed="false">
      <c r="A9946" s="0" t="n">
        <v>9945</v>
      </c>
      <c r="B9946" s="18" t="n">
        <v>1133221.73576915</v>
      </c>
      <c r="C9946" s="18" t="n">
        <v>0</v>
      </c>
      <c r="D9946" s="0" t="n">
        <v>0</v>
      </c>
      <c r="E9946" s="19" t="n">
        <v>53.8333333333333</v>
      </c>
    </row>
    <row r="9947" customFormat="false" ht="15" hidden="false" customHeight="false" outlineLevel="0" collapsed="false">
      <c r="A9947" s="0" t="n">
        <v>9946</v>
      </c>
      <c r="B9947" s="18" t="n">
        <v>1137849.58417556</v>
      </c>
      <c r="C9947" s="18" t="n">
        <v>0</v>
      </c>
      <c r="D9947" s="0" t="n">
        <v>0</v>
      </c>
      <c r="E9947" s="19" t="n">
        <v>50.6666666666667</v>
      </c>
    </row>
    <row r="9948" customFormat="false" ht="15" hidden="false" customHeight="false" outlineLevel="0" collapsed="false">
      <c r="A9948" s="0" t="n">
        <v>9947</v>
      </c>
      <c r="B9948" s="18" t="n">
        <v>1595741.20501037</v>
      </c>
      <c r="C9948" s="18" t="n">
        <v>0</v>
      </c>
      <c r="D9948" s="0" t="n">
        <v>0</v>
      </c>
      <c r="E9948" s="19" t="n">
        <v>54.9166666666667</v>
      </c>
    </row>
    <row r="9949" customFormat="false" ht="15" hidden="false" customHeight="false" outlineLevel="0" collapsed="false">
      <c r="A9949" s="0" t="n">
        <v>9948</v>
      </c>
      <c r="B9949" s="18" t="n">
        <v>991954.195522592</v>
      </c>
      <c r="C9949" s="18" t="n">
        <v>0</v>
      </c>
      <c r="D9949" s="0" t="n">
        <v>0</v>
      </c>
      <c r="E9949" s="19" t="n">
        <v>39.0833333333333</v>
      </c>
    </row>
    <row r="9950" customFormat="false" ht="15" hidden="false" customHeight="false" outlineLevel="0" collapsed="false">
      <c r="A9950" s="0" t="n">
        <v>9949</v>
      </c>
      <c r="B9950" s="18" t="n">
        <v>1009638.92835483</v>
      </c>
      <c r="C9950" s="18" t="n">
        <v>0</v>
      </c>
      <c r="D9950" s="0" t="n">
        <v>0</v>
      </c>
      <c r="E9950" s="19" t="n">
        <v>39.4166666666667</v>
      </c>
    </row>
    <row r="9951" customFormat="false" ht="15" hidden="false" customHeight="false" outlineLevel="0" collapsed="false">
      <c r="A9951" s="0" t="n">
        <v>9950</v>
      </c>
      <c r="B9951" s="18" t="n">
        <v>1862971.59386659</v>
      </c>
      <c r="C9951" s="18" t="n">
        <v>13799194.1678655</v>
      </c>
      <c r="D9951" s="0" t="n">
        <v>1</v>
      </c>
    </row>
    <row r="9952" customFormat="false" ht="15" hidden="false" customHeight="false" outlineLevel="0" collapsed="false">
      <c r="A9952" s="0" t="n">
        <v>9951</v>
      </c>
      <c r="B9952" s="18" t="n">
        <v>761677.466366489</v>
      </c>
      <c r="C9952" s="18" t="n">
        <v>0</v>
      </c>
      <c r="D9952" s="0" t="n">
        <v>0</v>
      </c>
      <c r="E9952" s="19" t="n">
        <v>36.5833333333333</v>
      </c>
    </row>
    <row r="9953" customFormat="false" ht="15" hidden="false" customHeight="false" outlineLevel="0" collapsed="false">
      <c r="A9953" s="0" t="n">
        <v>9952</v>
      </c>
      <c r="B9953" s="18" t="n">
        <v>589119.848172488</v>
      </c>
      <c r="C9953" s="18" t="n">
        <v>0</v>
      </c>
      <c r="D9953" s="0" t="n">
        <v>0</v>
      </c>
      <c r="E9953" s="19" t="n">
        <v>37</v>
      </c>
    </row>
    <row r="9954" customFormat="false" ht="15" hidden="false" customHeight="false" outlineLevel="0" collapsed="false">
      <c r="A9954" s="0" t="n">
        <v>9953</v>
      </c>
      <c r="B9954" s="18" t="n">
        <v>1754931.7116055</v>
      </c>
      <c r="C9954" s="18" t="n">
        <v>14205111.9655201</v>
      </c>
      <c r="D9954" s="0" t="n">
        <v>1</v>
      </c>
    </row>
    <row r="9955" customFormat="false" ht="15" hidden="false" customHeight="false" outlineLevel="0" collapsed="false">
      <c r="A9955" s="0" t="n">
        <v>9954</v>
      </c>
      <c r="B9955" s="18" t="n">
        <v>623718.114997672</v>
      </c>
      <c r="C9955" s="18" t="n">
        <v>0</v>
      </c>
      <c r="D9955" s="0" t="n">
        <v>0</v>
      </c>
      <c r="E9955" s="19" t="n">
        <v>38.75</v>
      </c>
    </row>
    <row r="9956" customFormat="false" ht="15" hidden="false" customHeight="false" outlineLevel="0" collapsed="false">
      <c r="A9956" s="0" t="n">
        <v>9955</v>
      </c>
      <c r="B9956" s="18" t="n">
        <v>774870.798295105</v>
      </c>
      <c r="C9956" s="18" t="n">
        <v>0</v>
      </c>
      <c r="D9956" s="0" t="n">
        <v>0</v>
      </c>
      <c r="E9956" s="19" t="n">
        <v>42.0833333333333</v>
      </c>
    </row>
    <row r="9957" customFormat="false" ht="15" hidden="false" customHeight="false" outlineLevel="0" collapsed="false">
      <c r="A9957" s="0" t="n">
        <v>9956</v>
      </c>
      <c r="B9957" s="18" t="n">
        <v>768806.561428429</v>
      </c>
      <c r="C9957" s="18" t="n">
        <v>0</v>
      </c>
      <c r="D9957" s="0" t="n">
        <v>0</v>
      </c>
      <c r="E9957" s="19" t="n">
        <v>37.6666666666667</v>
      </c>
    </row>
    <row r="9958" customFormat="false" ht="15" hidden="false" customHeight="false" outlineLevel="0" collapsed="false">
      <c r="A9958" s="0" t="n">
        <v>9957</v>
      </c>
      <c r="B9958" s="18" t="n">
        <v>761293.544095497</v>
      </c>
      <c r="C9958" s="18" t="n">
        <v>0</v>
      </c>
      <c r="D9958" s="0" t="n">
        <v>0</v>
      </c>
      <c r="E9958" s="19" t="n">
        <v>35</v>
      </c>
    </row>
    <row r="9959" customFormat="false" ht="15" hidden="false" customHeight="false" outlineLevel="0" collapsed="false">
      <c r="A9959" s="0" t="n">
        <v>9958</v>
      </c>
      <c r="B9959" s="18" t="n">
        <v>1347646.39305482</v>
      </c>
      <c r="C9959" s="18" t="n">
        <v>0</v>
      </c>
      <c r="D9959" s="0" t="n">
        <v>0</v>
      </c>
      <c r="E9959" s="19" t="n">
        <v>45.75</v>
      </c>
    </row>
    <row r="9960" customFormat="false" ht="15" hidden="false" customHeight="false" outlineLevel="0" collapsed="false">
      <c r="A9960" s="0" t="n">
        <v>9959</v>
      </c>
      <c r="B9960" s="18" t="n">
        <v>1644278.52780518</v>
      </c>
      <c r="C9960" s="18" t="n">
        <v>0</v>
      </c>
      <c r="D9960" s="0" t="n">
        <v>0</v>
      </c>
      <c r="E9960" s="19" t="n">
        <v>43.75</v>
      </c>
    </row>
    <row r="9961" customFormat="false" ht="15" hidden="false" customHeight="false" outlineLevel="0" collapsed="false">
      <c r="A9961" s="0" t="n">
        <v>9960</v>
      </c>
      <c r="B9961" s="18" t="n">
        <v>1250170.68869536</v>
      </c>
      <c r="C9961" s="18" t="n">
        <v>3903010.76336384</v>
      </c>
      <c r="D9961" s="0" t="n">
        <v>1</v>
      </c>
    </row>
    <row r="9962" customFormat="false" ht="15" hidden="false" customHeight="false" outlineLevel="0" collapsed="false">
      <c r="A9962" s="0" t="n">
        <v>9961</v>
      </c>
      <c r="B9962" s="18" t="n">
        <v>694954.531393852</v>
      </c>
      <c r="C9962" s="18" t="n">
        <v>0</v>
      </c>
      <c r="D9962" s="0" t="n">
        <v>0</v>
      </c>
      <c r="E9962" s="19" t="n">
        <v>34.0833333333333</v>
      </c>
    </row>
    <row r="9963" customFormat="false" ht="15" hidden="false" customHeight="false" outlineLevel="0" collapsed="false">
      <c r="A9963" s="0" t="n">
        <v>9962</v>
      </c>
      <c r="B9963" s="18" t="n">
        <v>479903.362421514</v>
      </c>
      <c r="C9963" s="18" t="n">
        <v>0</v>
      </c>
      <c r="D9963" s="0" t="n">
        <v>0</v>
      </c>
      <c r="E9963" s="19" t="n">
        <v>37.5833333333333</v>
      </c>
    </row>
    <row r="9964" customFormat="false" ht="15" hidden="false" customHeight="false" outlineLevel="0" collapsed="false">
      <c r="A9964" s="0" t="n">
        <v>9963</v>
      </c>
      <c r="B9964" s="18" t="n">
        <v>2278549.36237334</v>
      </c>
      <c r="C9964" s="18" t="n">
        <v>3196795.40557057</v>
      </c>
      <c r="D9964" s="0" t="n">
        <v>1</v>
      </c>
    </row>
    <row r="9965" customFormat="false" ht="15" hidden="false" customHeight="false" outlineLevel="0" collapsed="false">
      <c r="A9965" s="0" t="n">
        <v>9964</v>
      </c>
      <c r="B9965" s="18" t="n">
        <v>614162.541849238</v>
      </c>
      <c r="C9965" s="18" t="n">
        <v>0</v>
      </c>
      <c r="D9965" s="0" t="n">
        <v>0</v>
      </c>
      <c r="E9965" s="19" t="n">
        <v>36.75</v>
      </c>
    </row>
    <row r="9966" customFormat="false" ht="15" hidden="false" customHeight="false" outlineLevel="0" collapsed="false">
      <c r="A9966" s="0" t="n">
        <v>9965</v>
      </c>
      <c r="B9966" s="18" t="n">
        <v>2609432.67400635</v>
      </c>
      <c r="C9966" s="18" t="n">
        <v>7603524.21175383</v>
      </c>
      <c r="D9966" s="0" t="n">
        <v>1</v>
      </c>
    </row>
    <row r="9967" customFormat="false" ht="15" hidden="false" customHeight="false" outlineLevel="0" collapsed="false">
      <c r="A9967" s="0" t="n">
        <v>9966</v>
      </c>
      <c r="B9967" s="18" t="n">
        <v>995077.01104707</v>
      </c>
      <c r="C9967" s="18" t="n">
        <v>4133563.7682401</v>
      </c>
      <c r="D9967" s="0" t="n">
        <v>1</v>
      </c>
    </row>
    <row r="9968" customFormat="false" ht="15" hidden="false" customHeight="false" outlineLevel="0" collapsed="false">
      <c r="A9968" s="0" t="n">
        <v>9967</v>
      </c>
      <c r="B9968" s="18" t="n">
        <v>1113332.03039605</v>
      </c>
      <c r="C9968" s="18" t="n">
        <v>0</v>
      </c>
      <c r="D9968" s="0" t="n">
        <v>0</v>
      </c>
      <c r="E9968" s="19" t="n">
        <v>36.9166666666667</v>
      </c>
    </row>
    <row r="9969" customFormat="false" ht="15" hidden="false" customHeight="false" outlineLevel="0" collapsed="false">
      <c r="A9969" s="0" t="n">
        <v>9968</v>
      </c>
      <c r="B9969" s="18" t="n">
        <v>355425.763171021</v>
      </c>
      <c r="C9969" s="18" t="n">
        <v>0</v>
      </c>
      <c r="D9969" s="0" t="n">
        <v>0</v>
      </c>
      <c r="E9969" s="19" t="n">
        <v>32.75</v>
      </c>
    </row>
    <row r="9970" customFormat="false" ht="15" hidden="false" customHeight="false" outlineLevel="0" collapsed="false">
      <c r="A9970" s="0" t="n">
        <v>9969</v>
      </c>
      <c r="B9970" s="18" t="n">
        <v>474148.678326756</v>
      </c>
      <c r="C9970" s="18" t="n">
        <v>0</v>
      </c>
      <c r="D9970" s="0" t="n">
        <v>0</v>
      </c>
      <c r="E9970" s="19" t="n">
        <v>35.0833333333333</v>
      </c>
    </row>
    <row r="9971" customFormat="false" ht="15" hidden="false" customHeight="false" outlineLevel="0" collapsed="false">
      <c r="A9971" s="0" t="n">
        <v>9970</v>
      </c>
      <c r="B9971" s="18" t="n">
        <v>1306924.35681189</v>
      </c>
      <c r="C9971" s="18" t="n">
        <v>0</v>
      </c>
      <c r="D9971" s="0" t="n">
        <v>0</v>
      </c>
      <c r="E9971" s="19" t="n">
        <v>42.8333333333333</v>
      </c>
    </row>
    <row r="9972" customFormat="false" ht="15" hidden="false" customHeight="false" outlineLevel="0" collapsed="false">
      <c r="A9972" s="0" t="n">
        <v>9971</v>
      </c>
      <c r="B9972" s="18" t="n">
        <v>1508965.15851711</v>
      </c>
      <c r="C9972" s="18" t="n">
        <v>1990288.99874711</v>
      </c>
      <c r="D9972" s="0" t="n">
        <v>1</v>
      </c>
    </row>
    <row r="9973" customFormat="false" ht="15" hidden="false" customHeight="false" outlineLevel="0" collapsed="false">
      <c r="A9973" s="0" t="n">
        <v>9972</v>
      </c>
      <c r="B9973" s="18" t="n">
        <v>1074272.80542146</v>
      </c>
      <c r="C9973" s="18" t="n">
        <v>0</v>
      </c>
      <c r="D9973" s="0" t="n">
        <v>0</v>
      </c>
      <c r="E9973" s="19" t="n">
        <v>45.1666666666667</v>
      </c>
    </row>
    <row r="9974" customFormat="false" ht="15" hidden="false" customHeight="false" outlineLevel="0" collapsed="false">
      <c r="A9974" s="0" t="n">
        <v>9973</v>
      </c>
      <c r="B9974" s="18" t="n">
        <v>1422767.27699807</v>
      </c>
      <c r="C9974" s="18" t="n">
        <v>5324810.58075561</v>
      </c>
      <c r="D9974" s="0" t="n">
        <v>1</v>
      </c>
    </row>
    <row r="9975" customFormat="false" ht="15" hidden="false" customHeight="false" outlineLevel="0" collapsed="false">
      <c r="A9975" s="0" t="n">
        <v>9974</v>
      </c>
      <c r="B9975" s="18" t="n">
        <v>1247089.55755995</v>
      </c>
      <c r="C9975" s="18" t="n">
        <v>4159102.61667576</v>
      </c>
      <c r="D9975" s="0" t="n">
        <v>1</v>
      </c>
    </row>
    <row r="9976" customFormat="false" ht="15" hidden="false" customHeight="false" outlineLevel="0" collapsed="false">
      <c r="A9976" s="0" t="n">
        <v>9975</v>
      </c>
      <c r="B9976" s="18" t="n">
        <v>1047354.57266145</v>
      </c>
      <c r="C9976" s="18" t="n">
        <v>0</v>
      </c>
      <c r="D9976" s="0" t="n">
        <v>0</v>
      </c>
      <c r="E9976" s="19" t="n">
        <v>49.9166666666667</v>
      </c>
    </row>
    <row r="9977" customFormat="false" ht="15" hidden="false" customHeight="false" outlineLevel="0" collapsed="false">
      <c r="A9977" s="0" t="n">
        <v>9976</v>
      </c>
      <c r="B9977" s="18" t="n">
        <v>1151253.38718803</v>
      </c>
      <c r="C9977" s="18" t="n">
        <v>6357482.03744617</v>
      </c>
      <c r="D9977" s="0" t="n">
        <v>1</v>
      </c>
    </row>
    <row r="9978" customFormat="false" ht="15" hidden="false" customHeight="false" outlineLevel="0" collapsed="false">
      <c r="A9978" s="0" t="n">
        <v>9977</v>
      </c>
      <c r="B9978" s="18" t="n">
        <v>497322.754126932</v>
      </c>
      <c r="C9978" s="18" t="n">
        <v>0</v>
      </c>
      <c r="D9978" s="0" t="n">
        <v>0</v>
      </c>
      <c r="E9978" s="19" t="n">
        <v>35.6666666666667</v>
      </c>
    </row>
    <row r="9979" customFormat="false" ht="15" hidden="false" customHeight="false" outlineLevel="0" collapsed="false">
      <c r="A9979" s="0" t="n">
        <v>9978</v>
      </c>
      <c r="B9979" s="18" t="n">
        <v>1161225.57245495</v>
      </c>
      <c r="C9979" s="18" t="n">
        <v>774999.532933635</v>
      </c>
      <c r="D9979" s="0" t="n">
        <v>1</v>
      </c>
    </row>
    <row r="9980" customFormat="false" ht="15" hidden="false" customHeight="false" outlineLevel="0" collapsed="false">
      <c r="A9980" s="0" t="n">
        <v>9979</v>
      </c>
      <c r="B9980" s="18" t="n">
        <v>731778.987355033</v>
      </c>
      <c r="C9980" s="18" t="n">
        <v>0</v>
      </c>
      <c r="D9980" s="0" t="n">
        <v>0</v>
      </c>
      <c r="E9980" s="19" t="n">
        <v>36.3333333333333</v>
      </c>
    </row>
    <row r="9981" customFormat="false" ht="15" hidden="false" customHeight="false" outlineLevel="0" collapsed="false">
      <c r="A9981" s="0" t="n">
        <v>9980</v>
      </c>
      <c r="B9981" s="18" t="n">
        <v>2654488.31871537</v>
      </c>
      <c r="C9981" s="18" t="n">
        <v>9512640.65614664</v>
      </c>
      <c r="D9981" s="0" t="n">
        <v>1</v>
      </c>
    </row>
    <row r="9982" customFormat="false" ht="15" hidden="false" customHeight="false" outlineLevel="0" collapsed="false">
      <c r="A9982" s="0" t="n">
        <v>9981</v>
      </c>
      <c r="B9982" s="18" t="n">
        <v>1113339.29354216</v>
      </c>
      <c r="C9982" s="18" t="n">
        <v>0</v>
      </c>
      <c r="D9982" s="0" t="n">
        <v>0</v>
      </c>
      <c r="E9982" s="19" t="n">
        <v>45</v>
      </c>
    </row>
    <row r="9983" customFormat="false" ht="15" hidden="false" customHeight="false" outlineLevel="0" collapsed="false">
      <c r="A9983" s="0" t="n">
        <v>9982</v>
      </c>
      <c r="B9983" s="18" t="n">
        <v>1327924.85505302</v>
      </c>
      <c r="C9983" s="18" t="n">
        <v>958285.671390278</v>
      </c>
      <c r="D9983" s="0" t="n">
        <v>1</v>
      </c>
    </row>
    <row r="9984" customFormat="false" ht="15" hidden="false" customHeight="false" outlineLevel="0" collapsed="false">
      <c r="A9984" s="0" t="n">
        <v>9983</v>
      </c>
      <c r="B9984" s="18" t="n">
        <v>804723.777259416</v>
      </c>
      <c r="C9984" s="18" t="n">
        <v>0</v>
      </c>
      <c r="D9984" s="0" t="n">
        <v>0</v>
      </c>
      <c r="E9984" s="19" t="n">
        <v>46.6666666666667</v>
      </c>
    </row>
    <row r="9985" customFormat="false" ht="15" hidden="false" customHeight="false" outlineLevel="0" collapsed="false">
      <c r="A9985" s="0" t="n">
        <v>9984</v>
      </c>
      <c r="B9985" s="18" t="n">
        <v>676235.520397974</v>
      </c>
      <c r="C9985" s="18" t="n">
        <v>0</v>
      </c>
      <c r="D9985" s="0" t="n">
        <v>0</v>
      </c>
      <c r="E9985" s="19" t="n">
        <v>34.5</v>
      </c>
    </row>
    <row r="9986" customFormat="false" ht="15" hidden="false" customHeight="false" outlineLevel="0" collapsed="false">
      <c r="A9986" s="0" t="n">
        <v>9985</v>
      </c>
      <c r="B9986" s="18" t="n">
        <v>1335591.40721846</v>
      </c>
      <c r="C9986" s="18" t="n">
        <v>394873.687871828</v>
      </c>
      <c r="D9986" s="0" t="n">
        <v>1</v>
      </c>
    </row>
    <row r="9987" customFormat="false" ht="15" hidden="false" customHeight="false" outlineLevel="0" collapsed="false">
      <c r="A9987" s="0" t="n">
        <v>9986</v>
      </c>
      <c r="B9987" s="18" t="n">
        <v>3058474.71727568</v>
      </c>
      <c r="C9987" s="18" t="n">
        <v>5483525.50270942</v>
      </c>
      <c r="D9987" s="0" t="n">
        <v>1</v>
      </c>
    </row>
    <row r="9988" customFormat="false" ht="15" hidden="false" customHeight="false" outlineLevel="0" collapsed="false">
      <c r="A9988" s="0" t="n">
        <v>9987</v>
      </c>
      <c r="B9988" s="18" t="n">
        <v>467933.852930248</v>
      </c>
      <c r="C9988" s="18" t="n">
        <v>0</v>
      </c>
      <c r="D9988" s="0" t="n">
        <v>0</v>
      </c>
      <c r="E9988" s="19" t="n">
        <v>36.6666666666667</v>
      </c>
    </row>
    <row r="9989" customFormat="false" ht="15" hidden="false" customHeight="false" outlineLevel="0" collapsed="false">
      <c r="A9989" s="0" t="n">
        <v>9988</v>
      </c>
      <c r="B9989" s="18" t="n">
        <v>508664.892246125</v>
      </c>
      <c r="C9989" s="18" t="n">
        <v>0</v>
      </c>
      <c r="D9989" s="0" t="n">
        <v>0</v>
      </c>
      <c r="E9989" s="19" t="n">
        <v>34.0833333333333</v>
      </c>
    </row>
    <row r="9990" customFormat="false" ht="15" hidden="false" customHeight="false" outlineLevel="0" collapsed="false">
      <c r="A9990" s="0" t="n">
        <v>9989</v>
      </c>
      <c r="B9990" s="18" t="n">
        <v>722325.55267477</v>
      </c>
      <c r="C9990" s="18" t="n">
        <v>225995.816905581</v>
      </c>
      <c r="D9990" s="0" t="n">
        <v>1</v>
      </c>
    </row>
    <row r="9991" customFormat="false" ht="15" hidden="false" customHeight="false" outlineLevel="0" collapsed="false">
      <c r="A9991" s="0" t="n">
        <v>9990</v>
      </c>
      <c r="B9991" s="18" t="n">
        <v>677509.685313136</v>
      </c>
      <c r="C9991" s="18" t="n">
        <v>0</v>
      </c>
      <c r="D9991" s="0" t="n">
        <v>0</v>
      </c>
      <c r="E9991" s="19" t="n">
        <v>37.3333333333333</v>
      </c>
    </row>
    <row r="9992" customFormat="false" ht="15" hidden="false" customHeight="false" outlineLevel="0" collapsed="false">
      <c r="A9992" s="0" t="n">
        <v>9991</v>
      </c>
      <c r="B9992" s="18" t="n">
        <v>810723.474106211</v>
      </c>
      <c r="C9992" s="18" t="n">
        <v>0</v>
      </c>
      <c r="D9992" s="0" t="n">
        <v>0</v>
      </c>
      <c r="E9992" s="19" t="n">
        <v>40.5</v>
      </c>
    </row>
    <row r="9993" customFormat="false" ht="15" hidden="false" customHeight="false" outlineLevel="0" collapsed="false">
      <c r="A9993" s="0" t="n">
        <v>9992</v>
      </c>
      <c r="B9993" s="18" t="n">
        <v>327754.695625095</v>
      </c>
      <c r="C9993" s="18" t="n">
        <v>0</v>
      </c>
      <c r="D9993" s="0" t="n">
        <v>0</v>
      </c>
      <c r="E9993" s="19" t="n">
        <v>31.5833333333333</v>
      </c>
    </row>
    <row r="9994" customFormat="false" ht="15" hidden="false" customHeight="false" outlineLevel="0" collapsed="false">
      <c r="A9994" s="0" t="n">
        <v>9993</v>
      </c>
      <c r="B9994" s="18" t="n">
        <v>308183.773177169</v>
      </c>
      <c r="C9994" s="18" t="n">
        <v>0</v>
      </c>
      <c r="D9994" s="0" t="n">
        <v>0</v>
      </c>
      <c r="E9994" s="19" t="n">
        <v>30.6666666666667</v>
      </c>
    </row>
    <row r="9995" customFormat="false" ht="15" hidden="false" customHeight="false" outlineLevel="0" collapsed="false">
      <c r="A9995" s="0" t="n">
        <v>9994</v>
      </c>
      <c r="B9995" s="18" t="n">
        <v>1135677.30303599</v>
      </c>
      <c r="C9995" s="18" t="n">
        <v>0</v>
      </c>
      <c r="D9995" s="0" t="n">
        <v>0</v>
      </c>
      <c r="E9995" s="19" t="n">
        <v>40.3333333333333</v>
      </c>
    </row>
    <row r="9996" customFormat="false" ht="15" hidden="false" customHeight="false" outlineLevel="0" collapsed="false">
      <c r="A9996" s="0" t="n">
        <v>9995</v>
      </c>
      <c r="B9996" s="18" t="n">
        <v>566410.962932834</v>
      </c>
      <c r="C9996" s="18" t="n">
        <v>0</v>
      </c>
      <c r="D9996" s="0" t="n">
        <v>0</v>
      </c>
      <c r="E9996" s="19" t="n">
        <v>37.5</v>
      </c>
    </row>
    <row r="9997" customFormat="false" ht="15" hidden="false" customHeight="false" outlineLevel="0" collapsed="false">
      <c r="A9997" s="0" t="n">
        <v>9996</v>
      </c>
      <c r="B9997" s="18" t="n">
        <v>1482453.21932599</v>
      </c>
      <c r="C9997" s="18" t="n">
        <v>0</v>
      </c>
      <c r="D9997" s="0" t="n">
        <v>0</v>
      </c>
      <c r="E9997" s="19" t="n">
        <v>43.1666666666667</v>
      </c>
    </row>
    <row r="9998" customFormat="false" ht="15" hidden="false" customHeight="false" outlineLevel="0" collapsed="false">
      <c r="A9998" s="0" t="n">
        <v>9997</v>
      </c>
      <c r="B9998" s="18" t="n">
        <v>1204430.60008493</v>
      </c>
      <c r="C9998" s="18" t="n">
        <v>3669328.05262614</v>
      </c>
      <c r="D9998" s="0" t="n">
        <v>1</v>
      </c>
    </row>
    <row r="9999" customFormat="false" ht="15" hidden="false" customHeight="false" outlineLevel="0" collapsed="false">
      <c r="A9999" s="0" t="n">
        <v>9998</v>
      </c>
      <c r="B9999" s="18" t="n">
        <v>1330067.15341009</v>
      </c>
      <c r="C9999" s="18" t="n">
        <v>3941993.06592039</v>
      </c>
      <c r="D9999" s="0" t="n">
        <v>1</v>
      </c>
    </row>
    <row r="10000" customFormat="false" ht="15" hidden="false" customHeight="false" outlineLevel="0" collapsed="false">
      <c r="A10000" s="0" t="n">
        <v>9999</v>
      </c>
      <c r="B10000" s="18" t="n">
        <v>1905155.8182771</v>
      </c>
      <c r="C10000" s="18" t="n">
        <v>5558090.5963876</v>
      </c>
      <c r="D10000" s="0" t="n">
        <v>1</v>
      </c>
    </row>
    <row r="10001" customFormat="false" ht="15" hidden="false" customHeight="false" outlineLevel="0" collapsed="false">
      <c r="A10001" s="0" t="n">
        <v>10000</v>
      </c>
      <c r="B10001" s="18" t="n">
        <v>717232.331746505</v>
      </c>
      <c r="C10001" s="18" t="n">
        <v>0</v>
      </c>
      <c r="D10001" s="0" t="n">
        <v>0</v>
      </c>
      <c r="E10001" s="19" t="n">
        <v>43.3333333333333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5" min="3" style="0" width="20"/>
  </cols>
  <sheetData>
    <row r="1" customFormat="false" ht="28.35" hidden="false" customHeight="false" outlineLevel="0" collapsed="false">
      <c r="A1" s="4" t="s">
        <v>46</v>
      </c>
      <c r="B1" s="4" t="s">
        <v>47</v>
      </c>
      <c r="C1" s="4" t="s">
        <v>15</v>
      </c>
      <c r="D1" s="4" t="s">
        <v>48</v>
      </c>
      <c r="E1" s="4" t="s">
        <v>49</v>
      </c>
    </row>
    <row r="2" customFormat="false" ht="15" hidden="false" customHeight="false" outlineLevel="0" collapsed="false">
      <c r="A2" s="0" t="n">
        <v>1</v>
      </c>
      <c r="B2" s="0" t="n">
        <f aca="false">Summary!$B$7+A2</f>
        <v>26</v>
      </c>
      <c r="C2" s="18" t="n">
        <f aca="false">Summary!$B$20*(1+Summary!$B$11)^(A2-1)</f>
        <v>60000</v>
      </c>
      <c r="D2" s="18" t="n">
        <f aca="false">C2/12</f>
        <v>5000</v>
      </c>
      <c r="E2" s="18" t="n">
        <f aca="false">C2/(1+Summary!$B$11)^(B2-1)</f>
        <v>32363.4353669568</v>
      </c>
    </row>
    <row r="3" customFormat="false" ht="15" hidden="false" customHeight="false" outlineLevel="0" collapsed="false">
      <c r="A3" s="0" t="n">
        <v>2</v>
      </c>
      <c r="B3" s="0" t="n">
        <f aca="false">Summary!$B$7+A3</f>
        <v>27</v>
      </c>
      <c r="C3" s="18" t="n">
        <f aca="false">Summary!$B$20*(1+Summary!$B$11)^(A3-1)</f>
        <v>61500</v>
      </c>
      <c r="D3" s="18" t="n">
        <f aca="false">C3/12</f>
        <v>5125</v>
      </c>
      <c r="E3" s="18" t="n">
        <f aca="false">C3/(1+Summary!$B$11)^(B3-1)</f>
        <v>32363.4353669568</v>
      </c>
    </row>
    <row r="4" customFormat="false" ht="15" hidden="false" customHeight="false" outlineLevel="0" collapsed="false">
      <c r="A4" s="0" t="n">
        <v>3</v>
      </c>
      <c r="B4" s="0" t="n">
        <f aca="false">Summary!$B$7+A4</f>
        <v>28</v>
      </c>
      <c r="C4" s="18" t="n">
        <f aca="false">Summary!$B$20*(1+Summary!$B$11)^(A4-1)</f>
        <v>63037.5</v>
      </c>
      <c r="D4" s="18" t="n">
        <f aca="false">C4/12</f>
        <v>5253.125</v>
      </c>
      <c r="E4" s="18" t="n">
        <f aca="false">C4/(1+Summary!$B$11)^(B4-1)</f>
        <v>32363.4353669568</v>
      </c>
    </row>
    <row r="5" customFormat="false" ht="15" hidden="false" customHeight="false" outlineLevel="0" collapsed="false">
      <c r="A5" s="0" t="n">
        <v>4</v>
      </c>
      <c r="B5" s="0" t="n">
        <f aca="false">Summary!$B$7+A5</f>
        <v>29</v>
      </c>
      <c r="C5" s="18" t="n">
        <f aca="false">Summary!$B$20*(1+Summary!$B$11)^(A5-1)</f>
        <v>64613.4375</v>
      </c>
      <c r="D5" s="18" t="n">
        <f aca="false">C5/12</f>
        <v>5384.453125</v>
      </c>
      <c r="E5" s="18" t="n">
        <f aca="false">C5/(1+Summary!$B$11)^(B5-1)</f>
        <v>32363.4353669568</v>
      </c>
    </row>
    <row r="6" customFormat="false" ht="15" hidden="false" customHeight="false" outlineLevel="0" collapsed="false">
      <c r="A6" s="0" t="n">
        <v>5</v>
      </c>
      <c r="B6" s="0" t="n">
        <f aca="false">Summary!$B$7+A6</f>
        <v>30</v>
      </c>
      <c r="C6" s="18" t="n">
        <f aca="false">Summary!$B$20*(1+Summary!$B$11)^(A6-1)</f>
        <v>66228.7734375</v>
      </c>
      <c r="D6" s="18" t="n">
        <f aca="false">C6/12</f>
        <v>5519.064453125</v>
      </c>
      <c r="E6" s="18" t="n">
        <f aca="false">C6/(1+Summary!$B$11)^(B6-1)</f>
        <v>32363.4353669568</v>
      </c>
    </row>
    <row r="7" customFormat="false" ht="15" hidden="false" customHeight="false" outlineLevel="0" collapsed="false">
      <c r="A7" s="0" t="n">
        <v>6</v>
      </c>
      <c r="B7" s="0" t="n">
        <f aca="false">Summary!$B$7+A7</f>
        <v>31</v>
      </c>
      <c r="C7" s="18" t="n">
        <f aca="false">Summary!$B$20*(1+Summary!$B$11)^(A7-1)</f>
        <v>67884.4927734375</v>
      </c>
      <c r="D7" s="18" t="n">
        <f aca="false">C7/12</f>
        <v>5657.04106445312</v>
      </c>
      <c r="E7" s="18" t="n">
        <f aca="false">C7/(1+Summary!$B$11)^(B7-1)</f>
        <v>32363.4353669568</v>
      </c>
    </row>
    <row r="8" customFormat="false" ht="15" hidden="false" customHeight="false" outlineLevel="0" collapsed="false">
      <c r="A8" s="0" t="n">
        <v>7</v>
      </c>
      <c r="B8" s="0" t="n">
        <f aca="false">Summary!$B$7+A8</f>
        <v>32</v>
      </c>
      <c r="C8" s="18" t="n">
        <f aca="false">Summary!$B$20*(1+Summary!$B$11)^(A8-1)</f>
        <v>69581.6050927734</v>
      </c>
      <c r="D8" s="18" t="n">
        <f aca="false">C8/12</f>
        <v>5798.46709106445</v>
      </c>
      <c r="E8" s="18" t="n">
        <f aca="false">C8/(1+Summary!$B$11)^(B8-1)</f>
        <v>32363.4353669568</v>
      </c>
    </row>
    <row r="9" customFormat="false" ht="15" hidden="false" customHeight="false" outlineLevel="0" collapsed="false">
      <c r="A9" s="0" t="n">
        <v>8</v>
      </c>
      <c r="B9" s="0" t="n">
        <f aca="false">Summary!$B$7+A9</f>
        <v>33</v>
      </c>
      <c r="C9" s="18" t="n">
        <f aca="false">Summary!$B$20*(1+Summary!$B$11)^(A9-1)</f>
        <v>71321.1452200927</v>
      </c>
      <c r="D9" s="18" t="n">
        <f aca="false">C9/12</f>
        <v>5943.42876834106</v>
      </c>
      <c r="E9" s="18" t="n">
        <f aca="false">C9/(1+Summary!$B$11)^(B9-1)</f>
        <v>32363.4353669568</v>
      </c>
    </row>
    <row r="10" customFormat="false" ht="15" hidden="false" customHeight="false" outlineLevel="0" collapsed="false">
      <c r="A10" s="0" t="n">
        <v>9</v>
      </c>
      <c r="B10" s="0" t="n">
        <f aca="false">Summary!$B$7+A10</f>
        <v>34</v>
      </c>
      <c r="C10" s="18" t="n">
        <f aca="false">Summary!$B$20*(1+Summary!$B$11)^(A10-1)</f>
        <v>73104.173850595</v>
      </c>
      <c r="D10" s="18" t="n">
        <f aca="false">C10/12</f>
        <v>6092.01448754959</v>
      </c>
      <c r="E10" s="18" t="n">
        <f aca="false">C10/(1+Summary!$B$11)^(B10-1)</f>
        <v>32363.4353669568</v>
      </c>
    </row>
    <row r="11" customFormat="false" ht="15" hidden="false" customHeight="false" outlineLevel="0" collapsed="false">
      <c r="A11" s="0" t="n">
        <v>10</v>
      </c>
      <c r="B11" s="0" t="n">
        <f aca="false">Summary!$B$7+A11</f>
        <v>35</v>
      </c>
      <c r="C11" s="18" t="n">
        <f aca="false">Summary!$B$20*(1+Summary!$B$11)^(A11-1)</f>
        <v>74931.7781968599</v>
      </c>
      <c r="D11" s="18" t="n">
        <f aca="false">C11/12</f>
        <v>6244.31484973833</v>
      </c>
      <c r="E11" s="18" t="n">
        <f aca="false">C11/(1+Summary!$B$11)^(B11-1)</f>
        <v>32363.4353669568</v>
      </c>
    </row>
    <row r="12" customFormat="false" ht="15" hidden="false" customHeight="false" outlineLevel="0" collapsed="false">
      <c r="A12" s="0" t="n">
        <v>11</v>
      </c>
      <c r="B12" s="0" t="n">
        <f aca="false">Summary!$B$7+A12</f>
        <v>36</v>
      </c>
      <c r="C12" s="18" t="n">
        <f aca="false">Summary!$B$20*(1+Summary!$B$11)^(A12-1)</f>
        <v>76805.0726517814</v>
      </c>
      <c r="D12" s="18" t="n">
        <f aca="false">C12/12</f>
        <v>6400.42272098178</v>
      </c>
      <c r="E12" s="18" t="n">
        <f aca="false">C12/(1+Summary!$B$11)^(B12-1)</f>
        <v>32363.4353669568</v>
      </c>
    </row>
    <row r="13" customFormat="false" ht="15" hidden="false" customHeight="false" outlineLevel="0" collapsed="false">
      <c r="A13" s="0" t="n">
        <v>12</v>
      </c>
      <c r="B13" s="0" t="n">
        <f aca="false">Summary!$B$7+A13</f>
        <v>37</v>
      </c>
      <c r="C13" s="18" t="n">
        <f aca="false">Summary!$B$20*(1+Summary!$B$11)^(A13-1)</f>
        <v>78725.1994680759</v>
      </c>
      <c r="D13" s="18" t="n">
        <f aca="false">C13/12</f>
        <v>6560.43328900633</v>
      </c>
      <c r="E13" s="18" t="n">
        <f aca="false">C13/(1+Summary!$B$11)^(B13-1)</f>
        <v>32363.4353669568</v>
      </c>
    </row>
    <row r="14" customFormat="false" ht="15" hidden="false" customHeight="false" outlineLevel="0" collapsed="false">
      <c r="A14" s="0" t="n">
        <v>13</v>
      </c>
      <c r="B14" s="0" t="n">
        <f aca="false">Summary!$B$7+A14</f>
        <v>38</v>
      </c>
      <c r="C14" s="18" t="n">
        <f aca="false">Summary!$B$20*(1+Summary!$B$11)^(A14-1)</f>
        <v>80693.3294547778</v>
      </c>
      <c r="D14" s="18" t="n">
        <f aca="false">C14/12</f>
        <v>6724.44412123149</v>
      </c>
      <c r="E14" s="18" t="n">
        <f aca="false">C14/(1+Summary!$B$11)^(B14-1)</f>
        <v>32363.4353669568</v>
      </c>
    </row>
    <row r="15" customFormat="false" ht="15" hidden="false" customHeight="false" outlineLevel="0" collapsed="false">
      <c r="A15" s="0" t="n">
        <v>14</v>
      </c>
      <c r="B15" s="0" t="n">
        <f aca="false">Summary!$B$7+A15</f>
        <v>39</v>
      </c>
      <c r="C15" s="18" t="n">
        <f aca="false">Summary!$B$20*(1+Summary!$B$11)^(A15-1)</f>
        <v>82710.6626911473</v>
      </c>
      <c r="D15" s="18" t="n">
        <f aca="false">C15/12</f>
        <v>6892.55522426227</v>
      </c>
      <c r="E15" s="18" t="n">
        <f aca="false">C15/(1+Summary!$B$11)^(B15-1)</f>
        <v>32363.4353669568</v>
      </c>
    </row>
    <row r="16" customFormat="false" ht="15" hidden="false" customHeight="false" outlineLevel="0" collapsed="false">
      <c r="A16" s="0" t="n">
        <v>15</v>
      </c>
      <c r="B16" s="0" t="n">
        <f aca="false">Summary!$B$7+A16</f>
        <v>40</v>
      </c>
      <c r="C16" s="18" t="n">
        <f aca="false">Summary!$B$20*(1+Summary!$B$11)^(A16-1)</f>
        <v>84778.4292584259</v>
      </c>
      <c r="D16" s="18" t="n">
        <f aca="false">C16/12</f>
        <v>7064.86910486883</v>
      </c>
      <c r="E16" s="18" t="n">
        <f aca="false">C16/(1+Summary!$B$11)^(B16-1)</f>
        <v>32363.4353669568</v>
      </c>
    </row>
    <row r="17" customFormat="false" ht="15" hidden="false" customHeight="false" outlineLevel="0" collapsed="false">
      <c r="A17" s="0" t="n">
        <v>16</v>
      </c>
      <c r="B17" s="0" t="n">
        <f aca="false">Summary!$B$7+A17</f>
        <v>41</v>
      </c>
      <c r="C17" s="18" t="n">
        <f aca="false">Summary!$B$20*(1+Summary!$B$11)^(A17-1)</f>
        <v>86897.8899898866</v>
      </c>
      <c r="D17" s="18" t="n">
        <f aca="false">C17/12</f>
        <v>7241.49083249055</v>
      </c>
      <c r="E17" s="18" t="n">
        <f aca="false">C17/(1+Summary!$B$11)^(B17-1)</f>
        <v>32363.4353669568</v>
      </c>
    </row>
    <row r="18" customFormat="false" ht="15" hidden="false" customHeight="false" outlineLevel="0" collapsed="false">
      <c r="A18" s="0" t="n">
        <v>17</v>
      </c>
      <c r="B18" s="0" t="n">
        <f aca="false">Summary!$B$7+A18</f>
        <v>42</v>
      </c>
      <c r="C18" s="18" t="n">
        <f aca="false">Summary!$B$20*(1+Summary!$B$11)^(A18-1)</f>
        <v>89070.3372396337</v>
      </c>
      <c r="D18" s="18" t="n">
        <f aca="false">C18/12</f>
        <v>7422.52810330281</v>
      </c>
      <c r="E18" s="18" t="n">
        <f aca="false">C18/(1+Summary!$B$11)^(B18-1)</f>
        <v>32363.4353669568</v>
      </c>
    </row>
    <row r="19" customFormat="false" ht="15" hidden="false" customHeight="false" outlineLevel="0" collapsed="false">
      <c r="A19" s="0" t="n">
        <v>18</v>
      </c>
      <c r="B19" s="0" t="n">
        <f aca="false">Summary!$B$7+A19</f>
        <v>43</v>
      </c>
      <c r="C19" s="18" t="n">
        <f aca="false">Summary!$B$20*(1+Summary!$B$11)^(A19-1)</f>
        <v>91297.0956706246</v>
      </c>
      <c r="D19" s="18" t="n">
        <f aca="false">C19/12</f>
        <v>7608.09130588538</v>
      </c>
      <c r="E19" s="18" t="n">
        <f aca="false">C19/(1+Summary!$B$11)^(B19-1)</f>
        <v>32363.4353669568</v>
      </c>
    </row>
    <row r="20" customFormat="false" ht="15" hidden="false" customHeight="false" outlineLevel="0" collapsed="false">
      <c r="A20" s="0" t="n">
        <v>19</v>
      </c>
      <c r="B20" s="0" t="n">
        <f aca="false">Summary!$B$7+A20</f>
        <v>44</v>
      </c>
      <c r="C20" s="18" t="n">
        <f aca="false">Summary!$B$20*(1+Summary!$B$11)^(A20-1)</f>
        <v>93579.5230623902</v>
      </c>
      <c r="D20" s="18" t="n">
        <f aca="false">C20/12</f>
        <v>7798.29358853251</v>
      </c>
      <c r="E20" s="18" t="n">
        <f aca="false">C20/(1+Summary!$B$11)^(B20-1)</f>
        <v>32363.4353669568</v>
      </c>
    </row>
    <row r="21" customFormat="false" ht="15" hidden="false" customHeight="false" outlineLevel="0" collapsed="false">
      <c r="A21" s="0" t="n">
        <v>20</v>
      </c>
      <c r="B21" s="0" t="n">
        <f aca="false">Summary!$B$7+A21</f>
        <v>45</v>
      </c>
      <c r="C21" s="18" t="n">
        <f aca="false">Summary!$B$20*(1+Summary!$B$11)^(A21-1)</f>
        <v>95919.0111389499</v>
      </c>
      <c r="D21" s="18" t="n">
        <f aca="false">C21/12</f>
        <v>7993.25092824583</v>
      </c>
      <c r="E21" s="18" t="n">
        <f aca="false">C21/(1+Summary!$B$11)^(B21-1)</f>
        <v>32363.4353669568</v>
      </c>
    </row>
    <row r="22" customFormat="false" ht="15" hidden="false" customHeight="false" outlineLevel="0" collapsed="false">
      <c r="A22" s="0" t="n">
        <v>21</v>
      </c>
      <c r="B22" s="0" t="n">
        <f aca="false">Summary!$B$7+A22</f>
        <v>46</v>
      </c>
      <c r="C22" s="18" t="n">
        <f aca="false">Summary!$B$20*(1+Summary!$B$11)^(A22-1)</f>
        <v>98316.9864174237</v>
      </c>
      <c r="D22" s="18" t="n">
        <f aca="false">C22/12</f>
        <v>8193.08220145197</v>
      </c>
      <c r="E22" s="18" t="n">
        <f aca="false">C22/(1+Summary!$B$11)^(B22-1)</f>
        <v>32363.4353669568</v>
      </c>
    </row>
    <row r="23" customFormat="false" ht="15" hidden="false" customHeight="false" outlineLevel="0" collapsed="false">
      <c r="A23" s="0" t="n">
        <v>22</v>
      </c>
      <c r="B23" s="0" t="n">
        <f aca="false">Summary!$B$7+A23</f>
        <v>47</v>
      </c>
      <c r="C23" s="18" t="n">
        <f aca="false">Summary!$B$20*(1+Summary!$B$11)^(A23-1)</f>
        <v>100774.911077859</v>
      </c>
      <c r="D23" s="18" t="n">
        <f aca="false">C23/12</f>
        <v>8397.90925648827</v>
      </c>
      <c r="E23" s="18" t="n">
        <f aca="false">C23/(1+Summary!$B$11)^(B23-1)</f>
        <v>32363.4353669568</v>
      </c>
    </row>
    <row r="24" customFormat="false" ht="15" hidden="false" customHeight="false" outlineLevel="0" collapsed="false">
      <c r="A24" s="0" t="n">
        <v>23</v>
      </c>
      <c r="B24" s="0" t="n">
        <f aca="false">Summary!$B$7+A24</f>
        <v>48</v>
      </c>
      <c r="C24" s="18" t="n">
        <f aca="false">Summary!$B$20*(1+Summary!$B$11)^(A24-1)</f>
        <v>103294.283854806</v>
      </c>
      <c r="D24" s="18" t="n">
        <f aca="false">C24/12</f>
        <v>8607.85698790048</v>
      </c>
      <c r="E24" s="18" t="n">
        <f aca="false">C24/(1+Summary!$B$11)^(B24-1)</f>
        <v>32363.4353669568</v>
      </c>
    </row>
    <row r="25" customFormat="false" ht="15" hidden="false" customHeight="false" outlineLevel="0" collapsed="false">
      <c r="A25" s="0" t="n">
        <v>24</v>
      </c>
      <c r="B25" s="0" t="n">
        <f aca="false">Summary!$B$7+A25</f>
        <v>49</v>
      </c>
      <c r="C25" s="18" t="n">
        <f aca="false">Summary!$B$20*(1+Summary!$B$11)^(A25-1)</f>
        <v>105876.640951176</v>
      </c>
      <c r="D25" s="18" t="n">
        <f aca="false">C25/12</f>
        <v>8823.05341259799</v>
      </c>
      <c r="E25" s="18" t="n">
        <f aca="false">C25/(1+Summary!$B$11)^(B25-1)</f>
        <v>32363.4353669568</v>
      </c>
    </row>
    <row r="26" customFormat="false" ht="15" hidden="false" customHeight="false" outlineLevel="0" collapsed="false">
      <c r="A26" s="0" t="n">
        <v>25</v>
      </c>
      <c r="B26" s="0" t="n">
        <f aca="false">Summary!$B$7+A26</f>
        <v>50</v>
      </c>
      <c r="C26" s="18" t="n">
        <f aca="false">Summary!$B$20*(1+Summary!$B$11)^(A26-1)</f>
        <v>108523.556974955</v>
      </c>
      <c r="D26" s="18" t="n">
        <f aca="false">C26/12</f>
        <v>9043.62974791294</v>
      </c>
      <c r="E26" s="18" t="n">
        <f aca="false">C26/(1+Summary!$B$11)^(B26-1)</f>
        <v>32363.4353669568</v>
      </c>
    </row>
    <row r="27" customFormat="false" ht="15" hidden="false" customHeight="false" outlineLevel="0" collapsed="false">
      <c r="A27" s="0" t="n">
        <v>26</v>
      </c>
      <c r="B27" s="0" t="n">
        <f aca="false">Summary!$B$7+A27</f>
        <v>51</v>
      </c>
      <c r="C27" s="18" t="n">
        <f aca="false">Summary!$B$20*(1+Summary!$B$11)^(A27-1)</f>
        <v>111236.645899329</v>
      </c>
      <c r="D27" s="18" t="n">
        <f aca="false">C27/12</f>
        <v>9269.72049161076</v>
      </c>
      <c r="E27" s="18" t="n">
        <f aca="false">C27/(1+Summary!$B$11)^(B27-1)</f>
        <v>32363.4353669568</v>
      </c>
    </row>
    <row r="28" customFormat="false" ht="15" hidden="false" customHeight="false" outlineLevel="0" collapsed="false">
      <c r="A28" s="0" t="n">
        <v>27</v>
      </c>
      <c r="B28" s="0" t="n">
        <f aca="false">Summary!$B$7+A28</f>
        <v>52</v>
      </c>
      <c r="C28" s="18" t="n">
        <f aca="false">Summary!$B$20*(1+Summary!$B$11)^(A28-1)</f>
        <v>114017.562046812</v>
      </c>
      <c r="D28" s="18" t="n">
        <f aca="false">C28/12</f>
        <v>9501.46350390103</v>
      </c>
      <c r="E28" s="18" t="n">
        <f aca="false">C28/(1+Summary!$B$11)^(B28-1)</f>
        <v>32363.4353669568</v>
      </c>
    </row>
    <row r="29" customFormat="false" ht="15" hidden="false" customHeight="false" outlineLevel="0" collapsed="false">
      <c r="A29" s="0" t="n">
        <v>28</v>
      </c>
      <c r="B29" s="0" t="n">
        <f aca="false">Summary!$B$7+A29</f>
        <v>53</v>
      </c>
      <c r="C29" s="18" t="n">
        <f aca="false">Summary!$B$20*(1+Summary!$B$11)^(A29-1)</f>
        <v>116868.001097983</v>
      </c>
      <c r="D29" s="18" t="n">
        <f aca="false">C29/12</f>
        <v>9739.00009149855</v>
      </c>
      <c r="E29" s="18" t="n">
        <f aca="false">C29/(1+Summary!$B$11)^(B29-1)</f>
        <v>32363.4353669568</v>
      </c>
    </row>
    <row r="30" customFormat="false" ht="15" hidden="false" customHeight="false" outlineLevel="0" collapsed="false">
      <c r="A30" s="0" t="n">
        <v>29</v>
      </c>
      <c r="B30" s="0" t="n">
        <f aca="false">Summary!$B$7+A30</f>
        <v>54</v>
      </c>
      <c r="C30" s="18" t="n">
        <f aca="false">Summary!$B$20*(1+Summary!$B$11)^(A30-1)</f>
        <v>119789.701125432</v>
      </c>
      <c r="D30" s="18" t="n">
        <f aca="false">C30/12</f>
        <v>9982.47509378602</v>
      </c>
      <c r="E30" s="18" t="n">
        <f aca="false">C30/(1+Summary!$B$11)^(B30-1)</f>
        <v>32363.4353669568</v>
      </c>
    </row>
    <row r="31" customFormat="false" ht="15" hidden="false" customHeight="false" outlineLevel="0" collapsed="false">
      <c r="A31" s="0" t="n">
        <v>30</v>
      </c>
      <c r="B31" s="0" t="n">
        <f aca="false">Summary!$B$7+A31</f>
        <v>55</v>
      </c>
      <c r="C31" s="18" t="n">
        <f aca="false">Summary!$B$20*(1+Summary!$B$11)^(A31-1)</f>
        <v>122784.443653568</v>
      </c>
      <c r="D31" s="18" t="n">
        <f aca="false">C31/12</f>
        <v>10232.0369711307</v>
      </c>
      <c r="E31" s="18" t="n">
        <f aca="false">C31/(1+Summary!$B$11)^(B31-1)</f>
        <v>32363.4353669568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7" min="3" style="0" width="14"/>
    <col collapsed="false" customWidth="true" hidden="false" outlineLevel="0" max="8" min="8" style="0" width="22"/>
  </cols>
  <sheetData>
    <row r="1" customFormat="false" ht="28.35" hidden="false" customHeight="false" outlineLevel="0" collapsed="false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</row>
    <row r="2" customFormat="false" ht="15" hidden="false" customHeight="false" outlineLevel="0" collapsed="false">
      <c r="A2" s="0" t="n">
        <v>0</v>
      </c>
      <c r="B2" s="0" t="s">
        <v>58</v>
      </c>
      <c r="C2" s="20" t="n">
        <v>50000</v>
      </c>
      <c r="D2" s="20" t="n">
        <v>50000</v>
      </c>
      <c r="E2" s="20" t="n">
        <v>50000</v>
      </c>
      <c r="F2" s="20" t="n">
        <v>50000</v>
      </c>
      <c r="G2" s="20" t="n">
        <v>50000</v>
      </c>
      <c r="H2" s="20" t="n">
        <v>50000</v>
      </c>
    </row>
    <row r="3" customFormat="false" ht="15" hidden="false" customHeight="false" outlineLevel="0" collapsed="false">
      <c r="A3" s="0" t="n">
        <v>1</v>
      </c>
      <c r="B3" s="0" t="s">
        <v>58</v>
      </c>
      <c r="C3" s="20" t="n">
        <v>52390.82</v>
      </c>
      <c r="D3" s="20" t="n">
        <v>59567.61</v>
      </c>
      <c r="E3" s="20" t="n">
        <v>65106.31</v>
      </c>
      <c r="F3" s="20" t="n">
        <v>71209.09</v>
      </c>
      <c r="G3" s="20" t="n">
        <v>81698.52</v>
      </c>
      <c r="H3" s="20" t="n">
        <v>63518.35</v>
      </c>
    </row>
    <row r="4" customFormat="false" ht="15" hidden="false" customHeight="false" outlineLevel="0" collapsed="false">
      <c r="A4" s="0" t="n">
        <v>2</v>
      </c>
      <c r="B4" s="0" t="s">
        <v>58</v>
      </c>
      <c r="C4" s="20" t="n">
        <v>61306.66</v>
      </c>
      <c r="D4" s="20" t="n">
        <v>72389.52</v>
      </c>
      <c r="E4" s="20" t="n">
        <v>81336.44</v>
      </c>
      <c r="F4" s="20" t="n">
        <v>91750.36</v>
      </c>
      <c r="G4" s="20" t="n">
        <v>109942.67</v>
      </c>
      <c r="H4" s="20" t="n">
        <v>77417.19</v>
      </c>
    </row>
    <row r="5" customFormat="false" ht="15" hidden="false" customHeight="false" outlineLevel="0" collapsed="false">
      <c r="A5" s="0" t="n">
        <v>3</v>
      </c>
      <c r="B5" s="0" t="s">
        <v>58</v>
      </c>
      <c r="C5" s="20" t="n">
        <v>70549.3</v>
      </c>
      <c r="D5" s="20" t="n">
        <v>85768.38</v>
      </c>
      <c r="E5" s="20" t="n">
        <v>98607.77</v>
      </c>
      <c r="F5" s="20" t="n">
        <v>113532.62</v>
      </c>
      <c r="G5" s="20" t="n">
        <v>140667.49</v>
      </c>
      <c r="H5" s="20" t="n">
        <v>91567.12</v>
      </c>
    </row>
    <row r="6" customFormat="false" ht="15" hidden="false" customHeight="false" outlineLevel="0" collapsed="false">
      <c r="A6" s="0" t="n">
        <v>4</v>
      </c>
      <c r="B6" s="0" t="s">
        <v>58</v>
      </c>
      <c r="C6" s="20" t="n">
        <v>80092.28</v>
      </c>
      <c r="D6" s="20" t="n">
        <v>100011.24</v>
      </c>
      <c r="E6" s="20" t="n">
        <v>116622.26</v>
      </c>
      <c r="F6" s="20" t="n">
        <v>137035.8</v>
      </c>
      <c r="G6" s="20" t="n">
        <v>174029.03</v>
      </c>
      <c r="H6" s="20" t="n">
        <v>105654.01</v>
      </c>
    </row>
    <row r="7" customFormat="false" ht="15" hidden="false" customHeight="false" outlineLevel="0" collapsed="false">
      <c r="A7" s="0" t="n">
        <v>5</v>
      </c>
      <c r="B7" s="0" t="s">
        <v>58</v>
      </c>
      <c r="C7" s="20" t="n">
        <v>89836.22</v>
      </c>
      <c r="D7" s="20" t="n">
        <v>114348.22</v>
      </c>
      <c r="E7" s="20" t="n">
        <v>135226.14</v>
      </c>
      <c r="F7" s="20" t="n">
        <v>161793.97</v>
      </c>
      <c r="G7" s="20" t="n">
        <v>210334.85</v>
      </c>
      <c r="H7" s="20" t="n">
        <v>119520.21</v>
      </c>
    </row>
    <row r="8" customFormat="false" ht="15" hidden="false" customHeight="false" outlineLevel="0" collapsed="false">
      <c r="A8" s="0" t="n">
        <v>6</v>
      </c>
      <c r="B8" s="0" t="s">
        <v>58</v>
      </c>
      <c r="C8" s="20" t="n">
        <v>100773.21</v>
      </c>
      <c r="D8" s="20" t="n">
        <v>130157.98</v>
      </c>
      <c r="E8" s="20" t="n">
        <v>155888.73</v>
      </c>
      <c r="F8" s="20" t="n">
        <v>188156.78</v>
      </c>
      <c r="G8" s="20" t="n">
        <v>249431.21</v>
      </c>
      <c r="H8" s="20" t="n">
        <v>134422.36</v>
      </c>
    </row>
    <row r="9" customFormat="false" ht="15" hidden="false" customHeight="false" outlineLevel="0" collapsed="false">
      <c r="A9" s="0" t="n">
        <v>7</v>
      </c>
      <c r="B9" s="0" t="s">
        <v>58</v>
      </c>
      <c r="C9" s="20" t="n">
        <v>111785.27</v>
      </c>
      <c r="D9" s="20" t="n">
        <v>146562.52</v>
      </c>
      <c r="E9" s="20" t="n">
        <v>177937.77</v>
      </c>
      <c r="F9" s="20" t="n">
        <v>217947.72</v>
      </c>
      <c r="G9" s="20" t="n">
        <v>292373.93</v>
      </c>
      <c r="H9" s="20" t="n">
        <v>149692.86</v>
      </c>
    </row>
    <row r="10" customFormat="false" ht="15" hidden="false" customHeight="false" outlineLevel="0" collapsed="false">
      <c r="A10" s="0" t="n">
        <v>8</v>
      </c>
      <c r="B10" s="0" t="s">
        <v>58</v>
      </c>
      <c r="C10" s="20" t="n">
        <v>122711.47</v>
      </c>
      <c r="D10" s="20" t="n">
        <v>163607</v>
      </c>
      <c r="E10" s="20" t="n">
        <v>201457.76</v>
      </c>
      <c r="F10" s="20" t="n">
        <v>249577.32</v>
      </c>
      <c r="G10" s="20" t="n">
        <v>341007.6</v>
      </c>
      <c r="H10" s="20" t="n">
        <v>165345.76</v>
      </c>
    </row>
    <row r="11" customFormat="false" ht="15" hidden="false" customHeight="false" outlineLevel="0" collapsed="false">
      <c r="A11" s="0" t="n">
        <v>9</v>
      </c>
      <c r="B11" s="0" t="s">
        <v>58</v>
      </c>
      <c r="C11" s="20" t="n">
        <v>134418.52</v>
      </c>
      <c r="D11" s="20" t="n">
        <v>181562.97</v>
      </c>
      <c r="E11" s="20" t="n">
        <v>225989.54</v>
      </c>
      <c r="F11" s="20" t="n">
        <v>283404.15</v>
      </c>
      <c r="G11" s="20" t="n">
        <v>397642.46</v>
      </c>
      <c r="H11" s="20" t="n">
        <v>180956.23</v>
      </c>
    </row>
    <row r="12" customFormat="false" ht="15" hidden="false" customHeight="false" outlineLevel="0" collapsed="false">
      <c r="A12" s="0" t="n">
        <v>10</v>
      </c>
      <c r="B12" s="0" t="s">
        <v>58</v>
      </c>
      <c r="C12" s="20" t="n">
        <v>145537.65</v>
      </c>
      <c r="D12" s="20" t="n">
        <v>200590.26</v>
      </c>
      <c r="E12" s="20" t="n">
        <v>251873.94</v>
      </c>
      <c r="F12" s="20" t="n">
        <v>319448.71</v>
      </c>
      <c r="G12" s="20" t="n">
        <v>454772.85</v>
      </c>
      <c r="H12" s="20" t="n">
        <v>196763.52</v>
      </c>
    </row>
    <row r="13" customFormat="false" ht="15" hidden="false" customHeight="false" outlineLevel="0" collapsed="false">
      <c r="A13" s="0" t="n">
        <v>11</v>
      </c>
      <c r="B13" s="0" t="s">
        <v>58</v>
      </c>
      <c r="C13" s="20" t="n">
        <v>158577.68</v>
      </c>
      <c r="D13" s="20" t="n">
        <v>219981.26</v>
      </c>
      <c r="E13" s="20" t="n">
        <v>280487.42</v>
      </c>
      <c r="F13" s="20" t="n">
        <v>358213.67</v>
      </c>
      <c r="G13" s="20" t="n">
        <v>520183.87</v>
      </c>
      <c r="H13" s="20" t="n">
        <v>213772.02</v>
      </c>
    </row>
    <row r="14" customFormat="false" ht="15" hidden="false" customHeight="false" outlineLevel="0" collapsed="false">
      <c r="A14" s="0" t="n">
        <v>12</v>
      </c>
      <c r="B14" s="0" t="s">
        <v>58</v>
      </c>
      <c r="C14" s="20" t="n">
        <v>171597.5</v>
      </c>
      <c r="D14" s="20" t="n">
        <v>240854.56</v>
      </c>
      <c r="E14" s="20" t="n">
        <v>309081.23</v>
      </c>
      <c r="F14" s="20" t="n">
        <v>399629.39</v>
      </c>
      <c r="G14" s="20" t="n">
        <v>589681.63</v>
      </c>
      <c r="H14" s="20" t="n">
        <v>229819.17</v>
      </c>
    </row>
    <row r="15" customFormat="false" ht="15" hidden="false" customHeight="false" outlineLevel="0" collapsed="false">
      <c r="A15" s="0" t="n">
        <v>13</v>
      </c>
      <c r="B15" s="0" t="s">
        <v>58</v>
      </c>
      <c r="C15" s="20" t="n">
        <v>184973.48</v>
      </c>
      <c r="D15" s="20" t="n">
        <v>261770.88</v>
      </c>
      <c r="E15" s="20" t="n">
        <v>341094.7</v>
      </c>
      <c r="F15" s="20" t="n">
        <v>443217.4</v>
      </c>
      <c r="G15" s="20" t="n">
        <v>664292.97</v>
      </c>
      <c r="H15" s="20" t="n">
        <v>247437.05</v>
      </c>
    </row>
    <row r="16" customFormat="false" ht="15" hidden="false" customHeight="false" outlineLevel="0" collapsed="false">
      <c r="A16" s="0" t="n">
        <v>14</v>
      </c>
      <c r="B16" s="0" t="s">
        <v>58</v>
      </c>
      <c r="C16" s="20" t="n">
        <v>199050.22</v>
      </c>
      <c r="D16" s="20" t="n">
        <v>285741.48</v>
      </c>
      <c r="E16" s="20" t="n">
        <v>373938.87</v>
      </c>
      <c r="F16" s="20" t="n">
        <v>490158.44</v>
      </c>
      <c r="G16" s="20" t="n">
        <v>754010.11</v>
      </c>
      <c r="H16" s="20" t="n">
        <v>264646.71</v>
      </c>
    </row>
    <row r="17" customFormat="false" ht="15" hidden="false" customHeight="false" outlineLevel="0" collapsed="false">
      <c r="A17" s="0" t="n">
        <v>15</v>
      </c>
      <c r="B17" s="0" t="s">
        <v>58</v>
      </c>
      <c r="C17" s="20" t="n">
        <v>213667.96</v>
      </c>
      <c r="D17" s="20" t="n">
        <v>309691.4</v>
      </c>
      <c r="E17" s="20" t="n">
        <v>408582.42</v>
      </c>
      <c r="F17" s="20" t="n">
        <v>541486.61</v>
      </c>
      <c r="G17" s="20" t="n">
        <v>841868.2</v>
      </c>
      <c r="H17" s="20" t="n">
        <v>282112.09</v>
      </c>
    </row>
    <row r="18" customFormat="false" ht="15" hidden="false" customHeight="false" outlineLevel="0" collapsed="false">
      <c r="A18" s="0" t="n">
        <v>16</v>
      </c>
      <c r="B18" s="0" t="s">
        <v>58</v>
      </c>
      <c r="C18" s="20" t="n">
        <v>225764.44</v>
      </c>
      <c r="D18" s="20" t="n">
        <v>333558.7</v>
      </c>
      <c r="E18" s="20" t="n">
        <v>443568.16</v>
      </c>
      <c r="F18" s="20" t="n">
        <v>597675.16</v>
      </c>
      <c r="G18" s="20" t="n">
        <v>934922.1</v>
      </c>
      <c r="H18" s="20" t="n">
        <v>298798.57</v>
      </c>
    </row>
    <row r="19" customFormat="false" ht="15" hidden="false" customHeight="false" outlineLevel="0" collapsed="false">
      <c r="A19" s="0" t="n">
        <v>17</v>
      </c>
      <c r="B19" s="0" t="s">
        <v>58</v>
      </c>
      <c r="C19" s="20" t="n">
        <v>239661.01</v>
      </c>
      <c r="D19" s="20" t="n">
        <v>358227.64</v>
      </c>
      <c r="E19" s="20" t="n">
        <v>482348.39</v>
      </c>
      <c r="F19" s="20" t="n">
        <v>654105.71</v>
      </c>
      <c r="G19" s="20" t="n">
        <v>1041241.36</v>
      </c>
      <c r="H19" s="20" t="n">
        <v>316996.98</v>
      </c>
    </row>
    <row r="20" customFormat="false" ht="15" hidden="false" customHeight="false" outlineLevel="0" collapsed="false">
      <c r="A20" s="0" t="n">
        <v>18</v>
      </c>
      <c r="B20" s="0" t="s">
        <v>58</v>
      </c>
      <c r="C20" s="20" t="n">
        <v>255109.67</v>
      </c>
      <c r="D20" s="20" t="n">
        <v>385804.49</v>
      </c>
      <c r="E20" s="20" t="n">
        <v>524796.04</v>
      </c>
      <c r="F20" s="20" t="n">
        <v>724922.77</v>
      </c>
      <c r="G20" s="20" t="n">
        <v>1159028.16</v>
      </c>
      <c r="H20" s="20" t="n">
        <v>336481.33</v>
      </c>
    </row>
    <row r="21" customFormat="false" ht="15" hidden="false" customHeight="false" outlineLevel="0" collapsed="false">
      <c r="A21" s="0" t="n">
        <v>19</v>
      </c>
      <c r="B21" s="0" t="s">
        <v>58</v>
      </c>
      <c r="C21" s="20" t="n">
        <v>269055.82</v>
      </c>
      <c r="D21" s="20" t="n">
        <v>414887.91</v>
      </c>
      <c r="E21" s="20" t="n">
        <v>569193.16</v>
      </c>
      <c r="F21" s="20" t="n">
        <v>788607.49</v>
      </c>
      <c r="G21" s="20" t="n">
        <v>1288428.46</v>
      </c>
      <c r="H21" s="20" t="n">
        <v>356046.1</v>
      </c>
    </row>
    <row r="22" customFormat="false" ht="15" hidden="false" customHeight="false" outlineLevel="0" collapsed="false">
      <c r="A22" s="0" t="n">
        <v>20</v>
      </c>
      <c r="B22" s="0" t="s">
        <v>58</v>
      </c>
      <c r="C22" s="20" t="n">
        <v>287829.78</v>
      </c>
      <c r="D22" s="20" t="n">
        <v>445353.16</v>
      </c>
      <c r="E22" s="20" t="n">
        <v>612448.63</v>
      </c>
      <c r="F22" s="20" t="n">
        <v>860943.65</v>
      </c>
      <c r="G22" s="20" t="n">
        <v>1413870.66</v>
      </c>
      <c r="H22" s="20" t="n">
        <v>373759.6</v>
      </c>
    </row>
    <row r="23" customFormat="false" ht="15" hidden="false" customHeight="false" outlineLevel="0" collapsed="false">
      <c r="A23" s="0" t="n">
        <v>21</v>
      </c>
      <c r="B23" s="0" t="s">
        <v>58</v>
      </c>
      <c r="C23" s="20" t="n">
        <v>305443.45</v>
      </c>
      <c r="D23" s="20" t="n">
        <v>477342.47</v>
      </c>
      <c r="E23" s="20" t="n">
        <v>660727.47</v>
      </c>
      <c r="F23" s="20" t="n">
        <v>937750.49</v>
      </c>
      <c r="G23" s="20" t="n">
        <v>1583662.97</v>
      </c>
      <c r="H23" s="20" t="n">
        <v>393388.08</v>
      </c>
    </row>
    <row r="24" customFormat="false" ht="15" hidden="false" customHeight="false" outlineLevel="0" collapsed="false">
      <c r="A24" s="0" t="n">
        <v>22</v>
      </c>
      <c r="B24" s="0" t="s">
        <v>58</v>
      </c>
      <c r="C24" s="20" t="n">
        <v>325671.66</v>
      </c>
      <c r="D24" s="20" t="n">
        <v>508926.73</v>
      </c>
      <c r="E24" s="20" t="n">
        <v>718109.53</v>
      </c>
      <c r="F24" s="20" t="n">
        <v>1020801.09</v>
      </c>
      <c r="G24" s="20" t="n">
        <v>1733097.24</v>
      </c>
      <c r="H24" s="20" t="n">
        <v>417124.46</v>
      </c>
    </row>
    <row r="25" customFormat="false" ht="15" hidden="false" customHeight="false" outlineLevel="0" collapsed="false">
      <c r="A25" s="0" t="n">
        <v>23</v>
      </c>
      <c r="B25" s="0" t="s">
        <v>58</v>
      </c>
      <c r="C25" s="20" t="n">
        <v>343130.53</v>
      </c>
      <c r="D25" s="20" t="n">
        <v>539362.47</v>
      </c>
      <c r="E25" s="20" t="n">
        <v>771614.67</v>
      </c>
      <c r="F25" s="20" t="n">
        <v>1112148.48</v>
      </c>
      <c r="G25" s="20" t="n">
        <v>1909362.12</v>
      </c>
      <c r="H25" s="20" t="n">
        <v>437271.9</v>
      </c>
    </row>
    <row r="26" customFormat="false" ht="15" hidden="false" customHeight="false" outlineLevel="0" collapsed="false">
      <c r="A26" s="0" t="n">
        <v>24</v>
      </c>
      <c r="B26" s="0" t="s">
        <v>58</v>
      </c>
      <c r="C26" s="20" t="n">
        <v>360709.95</v>
      </c>
      <c r="D26" s="20" t="n">
        <v>579622.09</v>
      </c>
      <c r="E26" s="20" t="n">
        <v>827898.25</v>
      </c>
      <c r="F26" s="20" t="n">
        <v>1207043.12</v>
      </c>
      <c r="G26" s="20" t="n">
        <v>2102907.51</v>
      </c>
      <c r="H26" s="20" t="n">
        <v>457724.54</v>
      </c>
    </row>
    <row r="27" customFormat="false" ht="15" hidden="false" customHeight="false" outlineLevel="0" collapsed="false">
      <c r="A27" s="0" t="n">
        <v>25</v>
      </c>
      <c r="B27" s="0" t="s">
        <v>59</v>
      </c>
      <c r="C27" s="20" t="n">
        <v>379110.17</v>
      </c>
      <c r="D27" s="20" t="n">
        <v>613794.61</v>
      </c>
      <c r="E27" s="20" t="n">
        <v>889155.36</v>
      </c>
      <c r="F27" s="20" t="n">
        <v>1311405.16</v>
      </c>
      <c r="G27" s="20" t="n">
        <v>2351360.96</v>
      </c>
      <c r="H27" s="20" t="n">
        <v>479602.03</v>
      </c>
    </row>
    <row r="28" customFormat="false" ht="15" hidden="false" customHeight="false" outlineLevel="0" collapsed="false">
      <c r="A28" s="0" t="n">
        <v>26</v>
      </c>
      <c r="B28" s="0" t="s">
        <v>60</v>
      </c>
      <c r="C28" s="20" t="n">
        <v>327905.45</v>
      </c>
      <c r="D28" s="20" t="n">
        <v>578398.08</v>
      </c>
      <c r="E28" s="20" t="n">
        <v>883072.52</v>
      </c>
      <c r="F28" s="20" t="n">
        <v>1353533.91</v>
      </c>
      <c r="G28" s="20" t="n">
        <v>2471448.83</v>
      </c>
      <c r="H28" s="20" t="n">
        <v>464703.42</v>
      </c>
    </row>
    <row r="29" customFormat="false" ht="15" hidden="false" customHeight="false" outlineLevel="0" collapsed="false">
      <c r="A29" s="0" t="n">
        <v>27</v>
      </c>
      <c r="B29" s="0" t="s">
        <v>60</v>
      </c>
      <c r="C29" s="20" t="n">
        <v>274272.4</v>
      </c>
      <c r="D29" s="20" t="n">
        <v>546790.28</v>
      </c>
      <c r="E29" s="20" t="n">
        <v>869975.51</v>
      </c>
      <c r="F29" s="20" t="n">
        <v>1385848.08</v>
      </c>
      <c r="G29" s="20" t="n">
        <v>2625099.62</v>
      </c>
      <c r="H29" s="20" t="n">
        <v>446645.19</v>
      </c>
    </row>
    <row r="30" customFormat="false" ht="15" hidden="false" customHeight="false" outlineLevel="0" collapsed="false">
      <c r="A30" s="0" t="n">
        <v>28</v>
      </c>
      <c r="B30" s="0" t="s">
        <v>60</v>
      </c>
      <c r="C30" s="20" t="n">
        <v>220434.96</v>
      </c>
      <c r="D30" s="20" t="n">
        <v>511857.33</v>
      </c>
      <c r="E30" s="20" t="n">
        <v>856115.22</v>
      </c>
      <c r="F30" s="20" t="n">
        <v>1416025.85</v>
      </c>
      <c r="G30" s="20" t="n">
        <v>2798851.62</v>
      </c>
      <c r="H30" s="20" t="n">
        <v>428809.09</v>
      </c>
    </row>
    <row r="31" customFormat="false" ht="15" hidden="false" customHeight="false" outlineLevel="0" collapsed="false">
      <c r="A31" s="0" t="n">
        <v>29</v>
      </c>
      <c r="B31" s="0" t="s">
        <v>60</v>
      </c>
      <c r="C31" s="20" t="n">
        <v>163419.79</v>
      </c>
      <c r="D31" s="20" t="n">
        <v>466600.32</v>
      </c>
      <c r="E31" s="20" t="n">
        <v>837790.21</v>
      </c>
      <c r="F31" s="20" t="n">
        <v>1440300.35</v>
      </c>
      <c r="G31" s="20" t="n">
        <v>2919617.79</v>
      </c>
      <c r="H31" s="20" t="n">
        <v>409395.62</v>
      </c>
    </row>
    <row r="32" customFormat="false" ht="15" hidden="false" customHeight="false" outlineLevel="0" collapsed="false">
      <c r="A32" s="0" t="n">
        <v>30</v>
      </c>
      <c r="B32" s="0" t="s">
        <v>60</v>
      </c>
      <c r="C32" s="20" t="n">
        <v>100395.66</v>
      </c>
      <c r="D32" s="20" t="n">
        <v>420042.95</v>
      </c>
      <c r="E32" s="20" t="n">
        <v>820351.36</v>
      </c>
      <c r="F32" s="20" t="n">
        <v>1477316.17</v>
      </c>
      <c r="G32" s="20" t="n">
        <v>3088745.56</v>
      </c>
      <c r="H32" s="20" t="n">
        <v>391096.51</v>
      </c>
    </row>
    <row r="33" customFormat="false" ht="15" hidden="false" customHeight="false" outlineLevel="0" collapsed="false">
      <c r="A33" s="0" t="n">
        <v>31</v>
      </c>
      <c r="B33" s="0" t="s">
        <v>60</v>
      </c>
      <c r="C33" s="20" t="n">
        <v>35914.61</v>
      </c>
      <c r="D33" s="20" t="n">
        <v>369121.74</v>
      </c>
      <c r="E33" s="20" t="n">
        <v>797524.45</v>
      </c>
      <c r="F33" s="20" t="n">
        <v>1509229.65</v>
      </c>
      <c r="G33" s="20" t="n">
        <v>3336595.18</v>
      </c>
      <c r="H33" s="20" t="n">
        <v>370940.44</v>
      </c>
    </row>
    <row r="34" customFormat="false" ht="15" hidden="false" customHeight="false" outlineLevel="0" collapsed="false">
      <c r="A34" s="0" t="n">
        <v>32</v>
      </c>
      <c r="B34" s="0" t="s">
        <v>60</v>
      </c>
      <c r="C34" s="20" t="n">
        <v>0</v>
      </c>
      <c r="D34" s="20" t="n">
        <v>314385.75</v>
      </c>
      <c r="E34" s="20" t="n">
        <v>771316.52</v>
      </c>
      <c r="F34" s="20" t="n">
        <v>1525139.46</v>
      </c>
      <c r="G34" s="20" t="n">
        <v>3491065.24</v>
      </c>
      <c r="H34" s="20" t="n">
        <v>350000.72</v>
      </c>
    </row>
    <row r="35" customFormat="false" ht="15" hidden="false" customHeight="false" outlineLevel="0" collapsed="false">
      <c r="A35" s="0" t="n">
        <v>33</v>
      </c>
      <c r="B35" s="0" t="s">
        <v>60</v>
      </c>
      <c r="C35" s="20" t="n">
        <v>0</v>
      </c>
      <c r="D35" s="20" t="n">
        <v>253950.07</v>
      </c>
      <c r="E35" s="20" t="n">
        <v>732730.65</v>
      </c>
      <c r="F35" s="20" t="n">
        <v>1549440.45</v>
      </c>
      <c r="G35" s="20" t="n">
        <v>3721179.67</v>
      </c>
      <c r="H35" s="20" t="n">
        <v>324382.04</v>
      </c>
    </row>
    <row r="36" customFormat="false" ht="15" hidden="false" customHeight="false" outlineLevel="0" collapsed="false">
      <c r="A36" s="0" t="n">
        <v>34</v>
      </c>
      <c r="B36" s="0" t="s">
        <v>60</v>
      </c>
      <c r="C36" s="20" t="n">
        <v>0</v>
      </c>
      <c r="D36" s="20" t="n">
        <v>190597.2</v>
      </c>
      <c r="E36" s="20" t="n">
        <v>697458.09</v>
      </c>
      <c r="F36" s="20" t="n">
        <v>1576841.59</v>
      </c>
      <c r="G36" s="20" t="n">
        <v>4013949.54</v>
      </c>
      <c r="H36" s="20" t="n">
        <v>301235.88</v>
      </c>
    </row>
    <row r="37" customFormat="false" ht="15" hidden="false" customHeight="false" outlineLevel="0" collapsed="false">
      <c r="A37" s="0" t="n">
        <v>35</v>
      </c>
      <c r="B37" s="0" t="s">
        <v>60</v>
      </c>
      <c r="C37" s="20" t="n">
        <v>0</v>
      </c>
      <c r="D37" s="20" t="n">
        <v>121708.87</v>
      </c>
      <c r="E37" s="20" t="n">
        <v>659828.72</v>
      </c>
      <c r="F37" s="20" t="n">
        <v>1584130.2</v>
      </c>
      <c r="G37" s="20" t="n">
        <v>4234734.47</v>
      </c>
      <c r="H37" s="20" t="n">
        <v>278032.73</v>
      </c>
    </row>
    <row r="38" customFormat="false" ht="15" hidden="false" customHeight="false" outlineLevel="0" collapsed="false">
      <c r="A38" s="0" t="n">
        <v>36</v>
      </c>
      <c r="B38" s="0" t="s">
        <v>60</v>
      </c>
      <c r="C38" s="20" t="n">
        <v>0</v>
      </c>
      <c r="D38" s="20" t="n">
        <v>49214.44</v>
      </c>
      <c r="E38" s="20" t="n">
        <v>604547.08</v>
      </c>
      <c r="F38" s="20" t="n">
        <v>1621730.91</v>
      </c>
      <c r="G38" s="20" t="n">
        <v>4377768.35</v>
      </c>
      <c r="H38" s="20" t="n">
        <v>248525.51</v>
      </c>
    </row>
    <row r="39" customFormat="false" ht="15" hidden="false" customHeight="false" outlineLevel="0" collapsed="false">
      <c r="A39" s="0" t="n">
        <v>37</v>
      </c>
      <c r="B39" s="0" t="s">
        <v>60</v>
      </c>
      <c r="C39" s="20" t="n">
        <v>0</v>
      </c>
      <c r="D39" s="20" t="n">
        <v>0</v>
      </c>
      <c r="E39" s="20" t="n">
        <v>562268.85</v>
      </c>
      <c r="F39" s="20" t="n">
        <v>1617915.88</v>
      </c>
      <c r="G39" s="20" t="n">
        <v>4661918.32</v>
      </c>
      <c r="H39" s="20" t="n">
        <v>225507.51</v>
      </c>
    </row>
    <row r="40" customFormat="false" ht="15" hidden="false" customHeight="false" outlineLevel="0" collapsed="false">
      <c r="A40" s="0" t="n">
        <v>38</v>
      </c>
      <c r="B40" s="0" t="s">
        <v>60</v>
      </c>
      <c r="C40" s="20" t="n">
        <v>0</v>
      </c>
      <c r="D40" s="20" t="n">
        <v>0</v>
      </c>
      <c r="E40" s="20" t="n">
        <v>505211.64</v>
      </c>
      <c r="F40" s="20" t="n">
        <v>1637404.31</v>
      </c>
      <c r="G40" s="20" t="n">
        <v>4895361.28</v>
      </c>
      <c r="H40" s="20" t="n">
        <v>197681.7</v>
      </c>
    </row>
    <row r="41" customFormat="false" ht="15" hidden="false" customHeight="false" outlineLevel="0" collapsed="false">
      <c r="A41" s="0" t="n">
        <v>39</v>
      </c>
      <c r="B41" s="0" t="s">
        <v>60</v>
      </c>
      <c r="C41" s="20" t="n">
        <v>0</v>
      </c>
      <c r="D41" s="20" t="n">
        <v>0</v>
      </c>
      <c r="E41" s="20" t="n">
        <v>449316.1</v>
      </c>
      <c r="F41" s="20" t="n">
        <v>1646298.95</v>
      </c>
      <c r="G41" s="20" t="n">
        <v>5252314.58</v>
      </c>
      <c r="H41" s="20" t="n">
        <v>171522.55</v>
      </c>
    </row>
    <row r="42" customFormat="false" ht="15" hidden="false" customHeight="false" outlineLevel="0" collapsed="false">
      <c r="A42" s="0" t="n">
        <v>40</v>
      </c>
      <c r="B42" s="0" t="s">
        <v>60</v>
      </c>
      <c r="C42" s="20" t="n">
        <v>0</v>
      </c>
      <c r="D42" s="20" t="n">
        <v>0</v>
      </c>
      <c r="E42" s="20" t="n">
        <v>386420.42</v>
      </c>
      <c r="F42" s="20" t="n">
        <v>1674597.59</v>
      </c>
      <c r="G42" s="20" t="n">
        <v>5522818.83</v>
      </c>
      <c r="H42" s="20" t="n">
        <v>143914.8</v>
      </c>
    </row>
    <row r="43" customFormat="false" ht="15" hidden="false" customHeight="false" outlineLevel="0" collapsed="false">
      <c r="A43" s="0" t="n">
        <v>41</v>
      </c>
      <c r="B43" s="0" t="s">
        <v>60</v>
      </c>
      <c r="C43" s="20" t="n">
        <v>0</v>
      </c>
      <c r="D43" s="20" t="n">
        <v>0</v>
      </c>
      <c r="E43" s="20" t="n">
        <v>307237.1</v>
      </c>
      <c r="F43" s="20" t="n">
        <v>1672689.13</v>
      </c>
      <c r="G43" s="20" t="n">
        <v>5830236.35</v>
      </c>
      <c r="H43" s="20" t="n">
        <v>111633.66</v>
      </c>
    </row>
    <row r="44" customFormat="false" ht="15" hidden="false" customHeight="false" outlineLevel="0" collapsed="false">
      <c r="A44" s="0" t="n">
        <v>42</v>
      </c>
      <c r="B44" s="0" t="s">
        <v>60</v>
      </c>
      <c r="C44" s="20" t="n">
        <v>0</v>
      </c>
      <c r="D44" s="20" t="n">
        <v>0</v>
      </c>
      <c r="E44" s="20" t="n">
        <v>235712.53</v>
      </c>
      <c r="F44" s="20" t="n">
        <v>1678733.97</v>
      </c>
      <c r="G44" s="20" t="n">
        <v>6144354.32</v>
      </c>
      <c r="H44" s="20" t="n">
        <v>83556.51</v>
      </c>
    </row>
    <row r="45" customFormat="false" ht="15" hidden="false" customHeight="false" outlineLevel="0" collapsed="false">
      <c r="A45" s="0" t="n">
        <v>43</v>
      </c>
      <c r="B45" s="0" t="s">
        <v>60</v>
      </c>
      <c r="C45" s="20" t="n">
        <v>0</v>
      </c>
      <c r="D45" s="20" t="n">
        <v>0</v>
      </c>
      <c r="E45" s="20" t="n">
        <v>158757.97</v>
      </c>
      <c r="F45" s="20" t="n">
        <v>1692746.22</v>
      </c>
      <c r="G45" s="20" t="n">
        <v>6502642.48</v>
      </c>
      <c r="H45" s="20" t="n">
        <v>54904.67</v>
      </c>
    </row>
    <row r="46" customFormat="false" ht="15" hidden="false" customHeight="false" outlineLevel="0" collapsed="false">
      <c r="A46" s="0" t="n">
        <v>44</v>
      </c>
      <c r="B46" s="0" t="s">
        <v>60</v>
      </c>
      <c r="C46" s="20" t="n">
        <v>0</v>
      </c>
      <c r="D46" s="20" t="n">
        <v>0</v>
      </c>
      <c r="E46" s="20" t="n">
        <v>70352.03</v>
      </c>
      <c r="F46" s="20" t="n">
        <v>1683789.12</v>
      </c>
      <c r="G46" s="20" t="n">
        <v>6991502.93</v>
      </c>
      <c r="H46" s="20" t="n">
        <v>23737.04</v>
      </c>
    </row>
    <row r="47" customFormat="false" ht="15" hidden="false" customHeight="false" outlineLevel="0" collapsed="false">
      <c r="A47" s="0" t="n">
        <v>45</v>
      </c>
      <c r="B47" s="0" t="s">
        <v>60</v>
      </c>
      <c r="C47" s="20" t="n">
        <v>0</v>
      </c>
      <c r="D47" s="20" t="n">
        <v>0</v>
      </c>
      <c r="E47" s="20" t="n">
        <v>0</v>
      </c>
      <c r="F47" s="20" t="n">
        <v>1666675.7</v>
      </c>
      <c r="G47" s="20" t="n">
        <v>7194207.38</v>
      </c>
      <c r="H47" s="20" t="n">
        <v>0</v>
      </c>
    </row>
    <row r="48" customFormat="false" ht="15" hidden="false" customHeight="false" outlineLevel="0" collapsed="false">
      <c r="A48" s="0" t="n">
        <v>46</v>
      </c>
      <c r="B48" s="0" t="s">
        <v>60</v>
      </c>
      <c r="C48" s="20" t="n">
        <v>0</v>
      </c>
      <c r="D48" s="20" t="n">
        <v>0</v>
      </c>
      <c r="E48" s="20" t="n">
        <v>0</v>
      </c>
      <c r="F48" s="20" t="n">
        <v>1654855.47</v>
      </c>
      <c r="G48" s="20" t="n">
        <v>7697214.34</v>
      </c>
      <c r="H48" s="20" t="n">
        <v>0</v>
      </c>
    </row>
    <row r="49" customFormat="false" ht="15" hidden="false" customHeight="false" outlineLevel="0" collapsed="false">
      <c r="A49" s="0" t="n">
        <v>47</v>
      </c>
      <c r="B49" s="0" t="s">
        <v>60</v>
      </c>
      <c r="C49" s="20" t="n">
        <v>0</v>
      </c>
      <c r="D49" s="20" t="n">
        <v>0</v>
      </c>
      <c r="E49" s="20" t="n">
        <v>0</v>
      </c>
      <c r="F49" s="20" t="n">
        <v>1649178.52</v>
      </c>
      <c r="G49" s="20" t="n">
        <v>8150445.59</v>
      </c>
      <c r="H49" s="20" t="n">
        <v>0</v>
      </c>
    </row>
    <row r="50" customFormat="false" ht="15" hidden="false" customHeight="false" outlineLevel="0" collapsed="false">
      <c r="A50" s="0" t="n">
        <v>48</v>
      </c>
      <c r="B50" s="0" t="s">
        <v>60</v>
      </c>
      <c r="C50" s="20" t="n">
        <v>0</v>
      </c>
      <c r="D50" s="20" t="n">
        <v>0</v>
      </c>
      <c r="E50" s="20" t="n">
        <v>0</v>
      </c>
      <c r="F50" s="20" t="n">
        <v>1628445.91</v>
      </c>
      <c r="G50" s="20" t="n">
        <v>8605907.84</v>
      </c>
      <c r="H50" s="20" t="n">
        <v>0</v>
      </c>
    </row>
    <row r="51" customFormat="false" ht="15" hidden="false" customHeight="false" outlineLevel="0" collapsed="false">
      <c r="A51" s="0" t="n">
        <v>49</v>
      </c>
      <c r="B51" s="0" t="s">
        <v>60</v>
      </c>
      <c r="C51" s="20" t="n">
        <v>0</v>
      </c>
      <c r="D51" s="20" t="n">
        <v>0</v>
      </c>
      <c r="E51" s="20" t="n">
        <v>0</v>
      </c>
      <c r="F51" s="20" t="n">
        <v>1615770.08</v>
      </c>
      <c r="G51" s="20" t="n">
        <v>8999754.8</v>
      </c>
      <c r="H51" s="20" t="n">
        <v>0</v>
      </c>
    </row>
    <row r="52" customFormat="false" ht="15" hidden="false" customHeight="false" outlineLevel="0" collapsed="false">
      <c r="A52" s="0" t="n">
        <v>50</v>
      </c>
      <c r="B52" s="0" t="s">
        <v>60</v>
      </c>
      <c r="C52" s="20" t="n">
        <v>0</v>
      </c>
      <c r="D52" s="20" t="n">
        <v>0</v>
      </c>
      <c r="E52" s="20" t="n">
        <v>0</v>
      </c>
      <c r="F52" s="20" t="n">
        <v>1584208.22</v>
      </c>
      <c r="G52" s="20" t="n">
        <v>9413637.72</v>
      </c>
      <c r="H52" s="20" t="n">
        <v>0</v>
      </c>
    </row>
    <row r="53" customFormat="false" ht="15" hidden="false" customHeight="false" outlineLevel="0" collapsed="false">
      <c r="A53" s="0" t="n">
        <v>51</v>
      </c>
      <c r="B53" s="0" t="s">
        <v>60</v>
      </c>
      <c r="C53" s="20" t="n">
        <v>0</v>
      </c>
      <c r="D53" s="20" t="n">
        <v>0</v>
      </c>
      <c r="E53" s="20" t="n">
        <v>0</v>
      </c>
      <c r="F53" s="20" t="n">
        <v>1558645.64</v>
      </c>
      <c r="G53" s="20" t="n">
        <v>10102680.7</v>
      </c>
      <c r="H53" s="20" t="n">
        <v>0</v>
      </c>
    </row>
    <row r="54" customFormat="false" ht="15" hidden="false" customHeight="false" outlineLevel="0" collapsed="false">
      <c r="A54" s="0" t="n">
        <v>52</v>
      </c>
      <c r="B54" s="0" t="s">
        <v>60</v>
      </c>
      <c r="C54" s="20" t="n">
        <v>0</v>
      </c>
      <c r="D54" s="20" t="n">
        <v>0</v>
      </c>
      <c r="E54" s="20" t="n">
        <v>0</v>
      </c>
      <c r="F54" s="20" t="n">
        <v>1521570.51</v>
      </c>
      <c r="G54" s="20" t="n">
        <v>10691567.53</v>
      </c>
      <c r="H54" s="20" t="n">
        <v>0</v>
      </c>
    </row>
    <row r="55" customFormat="false" ht="15" hidden="false" customHeight="false" outlineLevel="0" collapsed="false">
      <c r="A55" s="0" t="n">
        <v>53</v>
      </c>
      <c r="B55" s="0" t="s">
        <v>60</v>
      </c>
      <c r="C55" s="20" t="n">
        <v>0</v>
      </c>
      <c r="D55" s="20" t="n">
        <v>0</v>
      </c>
      <c r="E55" s="20" t="n">
        <v>0</v>
      </c>
      <c r="F55" s="20" t="n">
        <v>1480498.45</v>
      </c>
      <c r="G55" s="20" t="n">
        <v>11200751.95</v>
      </c>
      <c r="H55" s="20" t="n">
        <v>0</v>
      </c>
    </row>
    <row r="56" customFormat="false" ht="15" hidden="false" customHeight="false" outlineLevel="0" collapsed="false">
      <c r="A56" s="0" t="n">
        <v>54</v>
      </c>
      <c r="B56" s="0" t="s">
        <v>60</v>
      </c>
      <c r="C56" s="20" t="n">
        <v>0</v>
      </c>
      <c r="D56" s="20" t="n">
        <v>0</v>
      </c>
      <c r="E56" s="20" t="n">
        <v>0</v>
      </c>
      <c r="F56" s="20" t="n">
        <v>1426507.45</v>
      </c>
      <c r="G56" s="20" t="n">
        <v>12143037.77</v>
      </c>
      <c r="H56" s="20" t="n">
        <v>0</v>
      </c>
    </row>
    <row r="57" customFormat="false" ht="15" hidden="false" customHeight="false" outlineLevel="0" collapsed="false">
      <c r="A57" s="0" t="n">
        <v>55</v>
      </c>
      <c r="B57" s="0" t="s">
        <v>60</v>
      </c>
      <c r="C57" s="20" t="n">
        <v>0</v>
      </c>
      <c r="D57" s="20" t="n">
        <v>0</v>
      </c>
      <c r="E57" s="20" t="n">
        <v>0</v>
      </c>
      <c r="F57" s="20" t="n">
        <v>1380278.25</v>
      </c>
      <c r="G57" s="20" t="n">
        <v>12757754.77</v>
      </c>
      <c r="H57" s="2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7" t="s">
        <v>61</v>
      </c>
    </row>
    <row r="2" customFormat="false" ht="15" hidden="false" customHeight="false" outlineLevel="0" collapsed="false">
      <c r="A2" s="5" t="s">
        <v>62</v>
      </c>
      <c r="B2" s="6" t="n">
        <v>869767.913625808</v>
      </c>
    </row>
    <row r="4" customFormat="false" ht="28.35" hidden="false" customHeight="false" outlineLevel="0" collapsed="false">
      <c r="A4" s="4" t="s">
        <v>63</v>
      </c>
      <c r="B4" s="4" t="s">
        <v>64</v>
      </c>
      <c r="C4" s="4" t="s">
        <v>18</v>
      </c>
    </row>
    <row r="5" customFormat="false" ht="15" hidden="false" customHeight="false" outlineLevel="0" collapsed="false">
      <c r="A5" s="21" t="n">
        <v>0.02</v>
      </c>
      <c r="B5" s="18" t="n">
        <f aca="false">A5*$B$2</f>
        <v>17395.3582725162</v>
      </c>
      <c r="C5" s="21" t="n">
        <v>0.972</v>
      </c>
    </row>
    <row r="6" customFormat="false" ht="15" hidden="false" customHeight="false" outlineLevel="0" collapsed="false">
      <c r="A6" s="21" t="n">
        <v>0.025</v>
      </c>
      <c r="B6" s="18" t="n">
        <f aca="false">A6*$B$2</f>
        <v>21744.1978406452</v>
      </c>
      <c r="C6" s="21" t="n">
        <v>0.9345</v>
      </c>
    </row>
    <row r="7" customFormat="false" ht="15" hidden="false" customHeight="false" outlineLevel="0" collapsed="false">
      <c r="A7" s="21" t="n">
        <v>0.03</v>
      </c>
      <c r="B7" s="18" t="n">
        <f aca="false">A7*$B$2</f>
        <v>26093.0374087742</v>
      </c>
      <c r="C7" s="21" t="n">
        <v>0.868</v>
      </c>
    </row>
    <row r="8" customFormat="false" ht="15" hidden="false" customHeight="false" outlineLevel="0" collapsed="false">
      <c r="A8" s="21" t="n">
        <v>0.035</v>
      </c>
      <c r="B8" s="18" t="n">
        <f aca="false">A8*$B$2</f>
        <v>30441.8769769033</v>
      </c>
      <c r="C8" s="21" t="n">
        <v>0.787</v>
      </c>
    </row>
    <row r="9" customFormat="false" ht="15" hidden="false" customHeight="false" outlineLevel="0" collapsed="false">
      <c r="A9" s="21" t="n">
        <v>0.04</v>
      </c>
      <c r="B9" s="18" t="n">
        <f aca="false">A9*$B$2</f>
        <v>34790.7165450323</v>
      </c>
      <c r="C9" s="21" t="n">
        <v>0.6865</v>
      </c>
    </row>
    <row r="10" customFormat="false" ht="15" hidden="false" customHeight="false" outlineLevel="0" collapsed="false">
      <c r="A10" s="21" t="n">
        <v>0.045</v>
      </c>
      <c r="B10" s="18" t="n">
        <f aca="false">A10*$B$2</f>
        <v>39139.5561131613</v>
      </c>
      <c r="C10" s="21" t="n">
        <v>0.5935</v>
      </c>
    </row>
    <row r="11" customFormat="false" ht="15" hidden="false" customHeight="false" outlineLevel="0" collapsed="false">
      <c r="A11" s="21" t="n">
        <v>0.05</v>
      </c>
      <c r="B11" s="18" t="n">
        <f aca="false">A11*$B$2</f>
        <v>43488.3956812904</v>
      </c>
      <c r="C11" s="21" t="n">
        <v>0.499</v>
      </c>
    </row>
    <row r="12" customFormat="false" ht="15" hidden="false" customHeight="false" outlineLevel="0" collapsed="false">
      <c r="A12" s="21" t="n">
        <v>0.055</v>
      </c>
      <c r="B12" s="18" t="n">
        <f aca="false">A12*$B$2</f>
        <v>47837.2352494194</v>
      </c>
      <c r="C12" s="21" t="n">
        <v>0.404</v>
      </c>
    </row>
    <row r="13" customFormat="false" ht="15" hidden="false" customHeight="false" outlineLevel="0" collapsed="false">
      <c r="A13" s="21" t="n">
        <v>0.06</v>
      </c>
      <c r="B13" s="18" t="n">
        <f aca="false">A13*$B$2</f>
        <v>52186.0748175485</v>
      </c>
      <c r="C13" s="21" t="n">
        <v>0.3255</v>
      </c>
    </row>
    <row r="14" customFormat="false" ht="15" hidden="false" customHeight="false" outlineLevel="0" collapsed="false">
      <c r="A14" s="21" t="n">
        <v>0.065</v>
      </c>
      <c r="B14" s="18" t="n">
        <f aca="false">A14*$B$2</f>
        <v>56534.9143856775</v>
      </c>
      <c r="C14" s="21" t="n">
        <v>0.2585</v>
      </c>
    </row>
    <row r="15" customFormat="false" ht="15" hidden="false" customHeight="false" outlineLevel="0" collapsed="false">
      <c r="A15" s="21" t="n">
        <v>0.07</v>
      </c>
      <c r="B15" s="18" t="n">
        <f aca="false">A15*$B$2</f>
        <v>60883.7539538065</v>
      </c>
      <c r="C15" s="21" t="n">
        <v>0.203</v>
      </c>
    </row>
    <row r="16" customFormat="false" ht="15" hidden="false" customHeight="false" outlineLevel="0" collapsed="false">
      <c r="A16" s="21" t="n">
        <v>0.075</v>
      </c>
      <c r="B16" s="18" t="n">
        <f aca="false">A16*$B$2</f>
        <v>65232.5935219356</v>
      </c>
      <c r="C16" s="21" t="n">
        <v>0.155</v>
      </c>
    </row>
    <row r="17" customFormat="false" ht="15" hidden="false" customHeight="false" outlineLevel="0" collapsed="false">
      <c r="A17" s="21" t="n">
        <v>0.08</v>
      </c>
      <c r="B17" s="18" t="n">
        <f aca="false">A17*$B$2</f>
        <v>69581.4330900646</v>
      </c>
      <c r="C17" s="21" t="n">
        <v>0.124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2026-10-01T19:44:01Z</dcterms:created>
  <dc:creator>openpyxl</dc:creator>
  <dc:description/>
  <dc:language>en-US</dc:language>
  <cp:lastModifiedBy/>
  <dcterms:modified xsi:type="dcterms:W3CDTF">2026-10-01T19:44:05Z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